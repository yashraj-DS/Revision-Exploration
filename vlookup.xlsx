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xr:revisionPtr revIDLastSave="55" documentId="11_AFEC356F229194AA8B4A4EA4B4E1F07DA739FE59" xr6:coauthVersionLast="47" xr6:coauthVersionMax="47" xr10:uidLastSave="{F16C6FFA-A3E5-48BE-BCD3-DD6774C8E50A}"/>
  <bookViews>
    <workbookView xWindow="-120" yWindow="-120" windowWidth="20730" windowHeight="11160" activeTab="18" xr2:uid="{00000000-000D-0000-FFFF-FFFF00000000}"/>
  </bookViews>
  <sheets>
    <sheet name="vlookup" sheetId="1" r:id="rId1"/>
    <sheet name="vlookup(range)" sheetId="2" r:id="rId2"/>
    <sheet name="IF Error Vlookup" sheetId="3" r:id="rId3"/>
    <sheet name="Nested Vlookup" sheetId="4" r:id="rId4"/>
    <sheet name="Filter using Vlookup" sheetId="6" r:id="rId5"/>
    <sheet name="Double Vlookup" sheetId="7" r:id="rId6"/>
    <sheet name="MultiTable Vlookup" sheetId="8" r:id="rId7"/>
    <sheet name="vlookup muliple sheet" sheetId="9" r:id="rId8"/>
    <sheet name="Data 1" sheetId="10" r:id="rId9"/>
    <sheet name="Data 2" sheetId="11" r:id="rId10"/>
    <sheet name="Data 3" sheetId="12" r:id="rId11"/>
    <sheet name="Reverse Vlookup" sheetId="13" r:id="rId12"/>
    <sheet name="Reverse Lookup With Index&amp;Match" sheetId="14" r:id="rId13"/>
    <sheet name="Vlookup + Match" sheetId="15" r:id="rId14"/>
    <sheet name="BackupData" sheetId="16" r:id="rId15"/>
    <sheet name="Vlook with find" sheetId="17" r:id="rId16"/>
    <sheet name="2 Lookups Value" sheetId="18" r:id="rId17"/>
    <sheet name="Vlookup Twist" sheetId="19" r:id="rId18"/>
    <sheet name="Use Vlookup to create MIS" sheetId="20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9" l="1" a="1"/>
  <c r="H7" i="19"/>
  <c r="H4" i="19" a="1"/>
  <c r="H4" i="19"/>
  <c r="H3" i="17"/>
  <c r="I3" i="17"/>
  <c r="J3" i="17"/>
  <c r="H4" i="17"/>
  <c r="I4" i="17"/>
  <c r="J4" i="17"/>
  <c r="H5" i="17"/>
  <c r="I5" i="17"/>
  <c r="J5" i="17"/>
  <c r="H6" i="17"/>
  <c r="I6" i="17"/>
  <c r="J6" i="17"/>
  <c r="H7" i="17"/>
  <c r="I7" i="17"/>
  <c r="J7" i="17"/>
  <c r="H8" i="17"/>
  <c r="I8" i="17"/>
  <c r="J8" i="17"/>
  <c r="H9" i="17"/>
  <c r="I9" i="17"/>
  <c r="J9" i="17"/>
  <c r="H10" i="17"/>
  <c r="I10" i="17"/>
  <c r="J10" i="17"/>
  <c r="H11" i="17"/>
  <c r="I11" i="17"/>
  <c r="J11" i="17"/>
  <c r="H12" i="17"/>
  <c r="I12" i="17"/>
  <c r="J12" i="17"/>
  <c r="H13" i="17"/>
  <c r="I13" i="17"/>
  <c r="J13" i="17"/>
  <c r="I2" i="17"/>
  <c r="J2" i="17"/>
  <c r="H2" i="17"/>
  <c r="I2" i="18"/>
  <c r="A3" i="18"/>
  <c r="A4" i="18"/>
  <c r="A5" i="18"/>
  <c r="A6" i="18"/>
  <c r="A7" i="18"/>
  <c r="A8" i="18"/>
  <c r="A2" i="18"/>
  <c r="E15" i="4"/>
  <c r="I2" i="3"/>
  <c r="K7" i="1"/>
  <c r="H7" i="1"/>
  <c r="I7" i="1"/>
  <c r="J7" i="1"/>
  <c r="H2" i="1"/>
  <c r="I2" i="1"/>
  <c r="J2" i="1"/>
  <c r="F15" i="4"/>
  <c r="G15" i="4"/>
  <c r="H15" i="4"/>
  <c r="J2" i="3"/>
  <c r="K2" i="3"/>
  <c r="L2" i="3"/>
  <c r="G3" i="2"/>
  <c r="G4" i="2"/>
  <c r="G5" i="2"/>
  <c r="G6" i="2"/>
  <c r="G7" i="2"/>
  <c r="G8" i="2"/>
  <c r="G9" i="2"/>
  <c r="G10" i="2"/>
  <c r="G11" i="2"/>
  <c r="G2" i="2"/>
  <c r="D11" i="14" l="1"/>
  <c r="D10" i="14"/>
  <c r="D9" i="14"/>
  <c r="D8" i="14"/>
  <c r="D7" i="14"/>
  <c r="D6" i="14"/>
  <c r="D5" i="14"/>
  <c r="D4" i="14"/>
  <c r="D3" i="14"/>
  <c r="D2" i="14"/>
  <c r="E11" i="13"/>
  <c r="E10" i="13"/>
  <c r="E9" i="13"/>
  <c r="E8" i="13"/>
  <c r="E7" i="13"/>
  <c r="E6" i="13"/>
  <c r="E5" i="13"/>
  <c r="E4" i="13"/>
  <c r="E3" i="13"/>
  <c r="E2" i="13"/>
  <c r="F16" i="8"/>
  <c r="F15" i="8"/>
  <c r="J6" i="7"/>
  <c r="K6" i="7"/>
  <c r="I6" i="7"/>
  <c r="A12" i="6"/>
  <c r="A13" i="6"/>
  <c r="A14" i="6"/>
  <c r="A15" i="6"/>
  <c r="A16" i="6"/>
  <c r="A17" i="6"/>
  <c r="A18" i="6"/>
  <c r="A19" i="6"/>
  <c r="A20" i="6"/>
  <c r="A21" i="6"/>
  <c r="A22" i="6"/>
  <c r="D12" i="6"/>
  <c r="D13" i="6"/>
  <c r="D14" i="6"/>
  <c r="D15" i="6"/>
  <c r="D16" i="6"/>
  <c r="D17" i="6"/>
  <c r="D18" i="6"/>
  <c r="D19" i="6"/>
  <c r="D20" i="6"/>
  <c r="D21" i="6"/>
  <c r="D22" i="6"/>
  <c r="A3" i="6"/>
  <c r="A4" i="6"/>
  <c r="A5" i="6"/>
  <c r="A6" i="6"/>
  <c r="A7" i="6"/>
  <c r="A8" i="6"/>
  <c r="A9" i="6"/>
  <c r="A10" i="6"/>
  <c r="A11" i="6"/>
  <c r="A2" i="6"/>
  <c r="F11" i="7"/>
  <c r="F10" i="7"/>
  <c r="F9" i="7"/>
  <c r="F8" i="7"/>
  <c r="F7" i="7"/>
  <c r="F6" i="7"/>
  <c r="F5" i="7"/>
  <c r="F4" i="7"/>
  <c r="F3" i="7"/>
  <c r="F2" i="7"/>
  <c r="D11" i="6"/>
  <c r="D10" i="6"/>
  <c r="D9" i="6"/>
  <c r="D8" i="6"/>
  <c r="D7" i="6"/>
  <c r="D6" i="6"/>
  <c r="D5" i="6"/>
  <c r="D4" i="6"/>
  <c r="D3" i="6"/>
  <c r="D2" i="6"/>
  <c r="G14" i="1"/>
  <c r="E11" i="3"/>
  <c r="E10" i="3"/>
  <c r="E9" i="3"/>
  <c r="E8" i="3"/>
  <c r="E7" i="3"/>
  <c r="E6" i="3"/>
  <c r="E5" i="3"/>
  <c r="E4" i="3"/>
  <c r="E3" i="3"/>
  <c r="E2" i="3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E2" i="2"/>
  <c r="F2" i="2" s="1"/>
  <c r="E3" i="1"/>
  <c r="E4" i="1"/>
  <c r="E5" i="1"/>
  <c r="E6" i="1"/>
  <c r="E7" i="1"/>
  <c r="E8" i="1"/>
  <c r="E9" i="1"/>
  <c r="E10" i="1"/>
  <c r="E11" i="1"/>
  <c r="E2" i="1"/>
  <c r="I6" i="6" l="1"/>
  <c r="I7" i="6"/>
  <c r="I8" i="6"/>
  <c r="I9" i="6"/>
  <c r="I10" i="6"/>
  <c r="I11" i="6"/>
  <c r="I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6" i="6"/>
  <c r="J12" i="6"/>
  <c r="J11" i="6"/>
  <c r="J10" i="6"/>
  <c r="J9" i="6"/>
  <c r="K2" i="1"/>
  <c r="J8" i="6"/>
  <c r="L6" i="7"/>
  <c r="J7" i="6"/>
  <c r="J6" i="6"/>
  <c r="G12" i="1"/>
  <c r="G13" i="1"/>
  <c r="G16" i="1"/>
  <c r="G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<sst xmlns="http://schemas.openxmlformats.org/spreadsheetml/2006/main" count="618" uniqueCount="121">
  <si>
    <t>Salesman ID</t>
  </si>
  <si>
    <t>Salesman</t>
  </si>
  <si>
    <t>Zone</t>
  </si>
  <si>
    <t>Product</t>
  </si>
  <si>
    <t>Sales</t>
  </si>
  <si>
    <t>Aman</t>
  </si>
  <si>
    <t>South</t>
  </si>
  <si>
    <t>PC</t>
  </si>
  <si>
    <t>Suman</t>
  </si>
  <si>
    <t>North</t>
  </si>
  <si>
    <t>Laptop</t>
  </si>
  <si>
    <t>Rohit</t>
  </si>
  <si>
    <t>West</t>
  </si>
  <si>
    <t>Amit</t>
  </si>
  <si>
    <t>East</t>
  </si>
  <si>
    <t>Arun</t>
  </si>
  <si>
    <t>Keyboard</t>
  </si>
  <si>
    <t>Sanjay</t>
  </si>
  <si>
    <t>Mouse</t>
  </si>
  <si>
    <t>Sumit</t>
  </si>
  <si>
    <t>Window</t>
  </si>
  <si>
    <t>Rohan</t>
  </si>
  <si>
    <t>Ritik</t>
  </si>
  <si>
    <t>Karan</t>
  </si>
  <si>
    <t>Performance</t>
  </si>
  <si>
    <t>Area Code</t>
  </si>
  <si>
    <t>Target</t>
  </si>
  <si>
    <t>Poor</t>
  </si>
  <si>
    <t>Average</t>
  </si>
  <si>
    <t>Good</t>
  </si>
  <si>
    <t>Best</t>
  </si>
  <si>
    <t>Product ID</t>
  </si>
  <si>
    <t>Pr1001</t>
  </si>
  <si>
    <t>Pr1002</t>
  </si>
  <si>
    <t>Pr1003</t>
  </si>
  <si>
    <t>Pr1004</t>
  </si>
  <si>
    <t>Pr1005</t>
  </si>
  <si>
    <t>Pr1006</t>
  </si>
  <si>
    <t>Pr1007</t>
  </si>
  <si>
    <t>Pr1008</t>
  </si>
  <si>
    <t>Pr1009</t>
  </si>
  <si>
    <t>Pr1010</t>
  </si>
  <si>
    <t>Unique ID</t>
  </si>
  <si>
    <t>Bill No.</t>
  </si>
  <si>
    <t>Quantity</t>
  </si>
  <si>
    <t>Enter Bill No.</t>
  </si>
  <si>
    <t>Vlookup in multiple sheet</t>
  </si>
  <si>
    <t>Choose formula</t>
  </si>
  <si>
    <t>Index &amp; Match</t>
  </si>
  <si>
    <t>Jan</t>
  </si>
  <si>
    <t>Monitor</t>
  </si>
  <si>
    <t>LED</t>
  </si>
  <si>
    <t>LCD</t>
  </si>
  <si>
    <t>PENDRIVE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</si>
  <si>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</si>
  <si>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</si>
  <si>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</si>
  <si>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</si>
  <si>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</si>
  <si>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</si>
  <si>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</si>
  <si>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</si>
  <si>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</si>
  <si>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</si>
  <si>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</si>
  <si>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Branch</t>
  </si>
  <si>
    <t>Price</t>
  </si>
  <si>
    <t>1100012311,11234901,11</t>
  </si>
  <si>
    <t>Delhi</t>
  </si>
  <si>
    <t>1100-234</t>
  </si>
  <si>
    <t>Mumbai</t>
  </si>
  <si>
    <t>1100-235</t>
  </si>
  <si>
    <t>1100012313,1123121,23</t>
  </si>
  <si>
    <t>Bangluru</t>
  </si>
  <si>
    <t>1100-236</t>
  </si>
  <si>
    <t>Bhopal</t>
  </si>
  <si>
    <t>1100-324</t>
  </si>
  <si>
    <t>1100-453</t>
  </si>
  <si>
    <t>1100012316,234,3</t>
  </si>
  <si>
    <t>1100-568</t>
  </si>
  <si>
    <t>1100012317,0</t>
  </si>
  <si>
    <t>1100-230</t>
  </si>
  <si>
    <t>1100-987</t>
  </si>
  <si>
    <t>1100-345</t>
  </si>
  <si>
    <t>1100012320,345,90</t>
  </si>
  <si>
    <t>1100-090</t>
  </si>
  <si>
    <t>1100012321,89</t>
  </si>
  <si>
    <t>Ghaziabad</t>
  </si>
  <si>
    <t>1100-212</t>
  </si>
  <si>
    <t>1100012322,90,76777</t>
  </si>
  <si>
    <t>1100-467</t>
  </si>
  <si>
    <t>Name</t>
  </si>
  <si>
    <t>Course</t>
  </si>
  <si>
    <t>Paid Fees</t>
  </si>
  <si>
    <t>Ajay Sharma</t>
  </si>
  <si>
    <t>Tally</t>
  </si>
  <si>
    <t>Vikas Singh</t>
  </si>
  <si>
    <t>Excel</t>
  </si>
  <si>
    <t>Raj Jadhav</t>
  </si>
  <si>
    <t>Anil Kumar</t>
  </si>
  <si>
    <t>First Name</t>
  </si>
  <si>
    <t>Last Name</t>
  </si>
  <si>
    <t>Total Salary</t>
  </si>
  <si>
    <t>Solve These Query Using Vlookup</t>
  </si>
  <si>
    <t>Ravi</t>
  </si>
  <si>
    <t>Singh</t>
  </si>
  <si>
    <t>Verma</t>
  </si>
  <si>
    <t>Q.1</t>
  </si>
  <si>
    <t>Tiwari</t>
  </si>
  <si>
    <t>Ravi Verma</t>
  </si>
  <si>
    <t>Pandey</t>
  </si>
  <si>
    <t>Shankar</t>
  </si>
  <si>
    <t>Singhaniya</t>
  </si>
  <si>
    <t>Q.2</t>
  </si>
  <si>
    <t>RajeshKumar</t>
  </si>
  <si>
    <t>Kumar</t>
  </si>
  <si>
    <t>Q.3</t>
  </si>
  <si>
    <t>Rajesh</t>
  </si>
  <si>
    <t>Vikas</t>
  </si>
  <si>
    <t>Shukla</t>
  </si>
  <si>
    <t>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</si>
</sst>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Impact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3" borderId="1" xfId="0" applyFont="1" applyFill="1" applyBorder="1"/>
    <xf numFmtId="0" fontId="1" fillId="2" borderId="1" xfId="0" applyFont="1" applyFill="1" applyBorder="1"/>
    <xf numFmtId="0" fontId="1" fillId="4" borderId="0" xfId="0" applyFont="1" applyFill="1"/>
    <xf numFmtId="0" fontId="1" fillId="5" borderId="1" xfId="0" applyFon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1" fillId="4" borderId="1" xfId="0" applyFont="1" applyFill="1" applyBorder="1"/>
    <xf numFmtId="0" fontId="6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5" fillId="6" borderId="0" xfId="0" applyFont="1" applyFill="1" applyAlignment="1">
      <alignment horizontal="center"/>
    </xf>
    <xf numFmtId="0" fontId="6" fillId="0" borderId="1" xfId="0" applyFont="1" applyBorder="1"/>
    <xf numFmtId="0" fontId="6" fillId="9" borderId="0" xfId="0" applyFont="1" applyFill="1"/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workbookViewId="0">
      <selection activeCell="I9" sqref="I9"/>
    </sheetView>
  </sheetViews>
  <sheetFormatPr defaultRowHeight="15"/>
  <cols>
    <col min="1" max="1" width="11.7109375" bestFit="1" customWidth="1"/>
    <col min="2" max="2" width="9.42578125" bestFit="1" customWidth="1"/>
    <col min="3" max="3" width="10.28515625" bestFit="1" customWidth="1"/>
    <col min="7" max="7" width="11.7109375" bestFit="1" customWidth="1"/>
    <col min="8" max="8" width="9.42578125" bestFit="1" customWidth="1"/>
    <col min="9" max="9" width="7.85546875" bestFit="1" customWidth="1"/>
    <col min="10" max="10" width="5.42578125" bestFit="1" customWidth="1"/>
    <col min="11" max="11" width="5.5703125" bestFit="1" customWidth="1"/>
    <col min="12" max="12" width="5.85546875" bestFit="1" customWidth="1"/>
    <col min="13" max="13" width="6.140625" bestFit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3" t="s">
        <v>0</v>
      </c>
      <c r="H1" s="3" t="s">
        <v>1</v>
      </c>
      <c r="I1" s="3" t="s">
        <v>3</v>
      </c>
      <c r="J1" s="3" t="s">
        <v>2</v>
      </c>
      <c r="K1" s="3" t="s">
        <v>4</v>
      </c>
    </row>
    <row r="2" spans="1:12">
      <c r="A2">
        <v>1001</v>
      </c>
      <c r="B2" s="1" t="s">
        <v>5</v>
      </c>
      <c r="C2" s="1" t="s">
        <v>6</v>
      </c>
      <c r="D2" s="1" t="s">
        <v>7</v>
      </c>
      <c r="E2" s="1">
        <f ca="1">RANDBETWEEN(10,30)</f>
        <v>27</v>
      </c>
      <c r="F2" s="1"/>
      <c r="G2" s="1">
        <v>1010</v>
      </c>
      <c r="H2" t="str">
        <f>VLOOKUP($G$2,$A$1:$E$11,MATCH(H$1,$A$1:$E$1,0),0)</f>
        <v>Karan</v>
      </c>
      <c r="I2" t="str">
        <f t="shared" ref="I2:K2" si="0">VLOOKUP($G$2,$A$1:$E$11,MATCH(I$1,$A$1:$E$1,0),0)</f>
        <v>Keyboard</v>
      </c>
      <c r="J2" t="str">
        <f t="shared" si="0"/>
        <v>West</v>
      </c>
      <c r="K2">
        <f t="shared" ca="1" si="0"/>
        <v>10</v>
      </c>
    </row>
    <row r="3" spans="1:12">
      <c r="A3">
        <v>1002</v>
      </c>
      <c r="B3" s="1" t="s">
        <v>8</v>
      </c>
      <c r="C3" t="s">
        <v>9</v>
      </c>
      <c r="D3" s="1" t="s">
        <v>10</v>
      </c>
      <c r="E3" s="1">
        <f t="shared" ref="E3:E11" ca="1" si="1">RANDBETWEEN(10,30)</f>
        <v>21</v>
      </c>
      <c r="F3" s="1"/>
      <c r="G3" s="1">
        <v>1001</v>
      </c>
      <c r="L3" s="1"/>
    </row>
    <row r="4" spans="1:12">
      <c r="A4">
        <v>1003</v>
      </c>
      <c r="B4" s="1" t="s">
        <v>11</v>
      </c>
      <c r="C4" t="s">
        <v>12</v>
      </c>
      <c r="D4" s="1" t="s">
        <v>7</v>
      </c>
      <c r="E4" s="1">
        <f t="shared" ca="1" si="1"/>
        <v>22</v>
      </c>
      <c r="F4" s="1"/>
    </row>
    <row r="5" spans="1:12">
      <c r="A5">
        <v>1004</v>
      </c>
      <c r="B5" s="1" t="s">
        <v>13</v>
      </c>
      <c r="C5" t="s">
        <v>14</v>
      </c>
      <c r="D5" s="1" t="s">
        <v>10</v>
      </c>
      <c r="E5" s="1">
        <f t="shared" ca="1" si="1"/>
        <v>12</v>
      </c>
      <c r="F5" s="1"/>
    </row>
    <row r="6" spans="1:12">
      <c r="A6">
        <v>1005</v>
      </c>
      <c r="B6" s="1" t="s">
        <v>15</v>
      </c>
      <c r="C6" t="s">
        <v>14</v>
      </c>
      <c r="D6" s="1" t="s">
        <v>16</v>
      </c>
      <c r="E6" s="1">
        <f t="shared" ca="1" si="1"/>
        <v>22</v>
      </c>
      <c r="F6" s="1"/>
      <c r="G6" s="3" t="s">
        <v>0</v>
      </c>
      <c r="H6" s="1">
        <v>1006</v>
      </c>
      <c r="I6">
        <v>1008</v>
      </c>
      <c r="J6">
        <v>1010</v>
      </c>
      <c r="K6">
        <v>1001</v>
      </c>
    </row>
    <row r="7" spans="1:12">
      <c r="A7">
        <v>1006</v>
      </c>
      <c r="B7" s="1" t="s">
        <v>17</v>
      </c>
      <c r="C7" t="s">
        <v>12</v>
      </c>
      <c r="D7" s="1" t="s">
        <v>18</v>
      </c>
      <c r="E7" s="1">
        <f t="shared" ca="1" si="1"/>
        <v>22</v>
      </c>
      <c r="F7" s="1"/>
      <c r="G7" s="3" t="s">
        <v>1</v>
      </c>
      <c r="H7" t="str">
        <f>VLOOKUP(H$6,$A$1:$E$11,MATCH($G7,$A$1:$E$1,0),0)</f>
        <v>Sanjay</v>
      </c>
      <c r="I7" t="str">
        <f t="shared" ref="I7:K7" si="2">VLOOKUP(I$6,$A$1:$E$11,MATCH($G7,$A$1:$E$1,0),0)</f>
        <v>Rohan</v>
      </c>
      <c r="J7" t="str">
        <f t="shared" si="2"/>
        <v>Karan</v>
      </c>
      <c r="K7" t="str">
        <f t="shared" si="2"/>
        <v>Aman</v>
      </c>
    </row>
    <row r="8" spans="1:12">
      <c r="A8">
        <v>1007</v>
      </c>
      <c r="B8" s="1" t="s">
        <v>19</v>
      </c>
      <c r="C8" t="s">
        <v>9</v>
      </c>
      <c r="D8" s="1" t="s">
        <v>20</v>
      </c>
      <c r="E8" s="1">
        <f t="shared" ca="1" si="1"/>
        <v>21</v>
      </c>
      <c r="F8" s="1"/>
      <c r="G8" s="3" t="s">
        <v>3</v>
      </c>
    </row>
    <row r="9" spans="1:12">
      <c r="A9">
        <v>1008</v>
      </c>
      <c r="B9" s="1" t="s">
        <v>21</v>
      </c>
      <c r="C9" t="s">
        <v>9</v>
      </c>
      <c r="D9" s="1" t="s">
        <v>20</v>
      </c>
      <c r="E9" s="1">
        <f t="shared" ca="1" si="1"/>
        <v>15</v>
      </c>
      <c r="F9" s="1"/>
      <c r="G9" s="3" t="s">
        <v>2</v>
      </c>
    </row>
    <row r="10" spans="1:12">
      <c r="A10">
        <v>1009</v>
      </c>
      <c r="B10" s="1" t="s">
        <v>22</v>
      </c>
      <c r="C10" t="s">
        <v>12</v>
      </c>
      <c r="D10" s="1" t="s">
        <v>18</v>
      </c>
      <c r="E10" s="1">
        <f t="shared" ca="1" si="1"/>
        <v>15</v>
      </c>
      <c r="F10" s="1"/>
      <c r="G10" s="3" t="s">
        <v>4</v>
      </c>
    </row>
    <row r="11" spans="1:12">
      <c r="A11">
        <v>1010</v>
      </c>
      <c r="B11" s="1" t="s">
        <v>23</v>
      </c>
      <c r="C11" t="s">
        <v>12</v>
      </c>
      <c r="D11" s="1" t="s">
        <v>16</v>
      </c>
      <c r="E11" s="1">
        <f t="shared" ca="1" si="1"/>
        <v>10</v>
      </c>
      <c r="F11" s="1"/>
    </row>
    <row r="12" spans="1:12">
      <c r="E12" s="1"/>
      <c r="F12" s="1"/>
      <c r="G12" t="str">
        <f>VLOOKUP($H$6,$A$1:$E$11,ROW()-10,0)</f>
        <v>Sanjay</v>
      </c>
    </row>
    <row r="13" spans="1:12" ht="15.75">
      <c r="A13" s="4">
        <v>1001</v>
      </c>
      <c r="B13" s="2"/>
      <c r="E13" s="1"/>
      <c r="G13" t="str">
        <f t="shared" ref="G13:G15" si="3">VLOOKUP($H$6,$A$1:$E$11,ROW()-10,0)</f>
        <v>West</v>
      </c>
    </row>
    <row r="14" spans="1:12" ht="15.75">
      <c r="A14" s="4" t="s">
        <v>5</v>
      </c>
      <c r="B14" s="2"/>
      <c r="E14" s="1"/>
      <c r="G14" t="str">
        <f t="shared" si="3"/>
        <v>Mouse</v>
      </c>
    </row>
    <row r="15" spans="1:12" ht="15.75">
      <c r="A15" s="5" t="s">
        <v>6</v>
      </c>
      <c r="B15" s="2"/>
      <c r="E15" s="1"/>
      <c r="G15">
        <f t="shared" ca="1" si="3"/>
        <v>22</v>
      </c>
    </row>
    <row r="16" spans="1:12" ht="15.75">
      <c r="A16" s="5" t="s">
        <v>7</v>
      </c>
      <c r="B16" s="2"/>
      <c r="E16" s="1"/>
      <c r="G16" t="str">
        <f t="shared" ref="G16" si="4">VLOOKUP($H$6,$A$1:$E$11,2,0)</f>
        <v>Sanjay</v>
      </c>
    </row>
    <row r="17" spans="1:5" ht="15.75">
      <c r="A17" s="5">
        <v>14</v>
      </c>
      <c r="B17" s="2"/>
      <c r="E17" s="1"/>
    </row>
    <row r="18" spans="1:5" ht="15.75">
      <c r="A18" s="1"/>
      <c r="B18" s="2"/>
      <c r="E18" s="1"/>
    </row>
    <row r="19" spans="1:5" ht="15.75">
      <c r="A19" s="1"/>
      <c r="B19" s="2"/>
    </row>
    <row r="20" spans="1:5" ht="15.75">
      <c r="A20" s="1"/>
      <c r="B20" s="2"/>
    </row>
    <row r="21" spans="1:5" ht="15.75">
      <c r="A21" s="1"/>
      <c r="B21" s="2"/>
    </row>
    <row r="22" spans="1:5" ht="15.75">
      <c r="A22" s="1"/>
      <c r="B22" s="2"/>
    </row>
    <row r="23" spans="1:5" ht="15.75">
      <c r="A23" s="1"/>
      <c r="B23" s="2"/>
    </row>
    <row r="24" spans="1:5" ht="15.75">
      <c r="A24" s="1"/>
      <c r="B24" s="2"/>
    </row>
    <row r="25" spans="1:5" ht="15.75">
      <c r="A25" s="1"/>
      <c r="B25" s="2"/>
    </row>
    <row r="26" spans="1:5">
      <c r="A26" s="1"/>
    </row>
  </sheetData>
  <dataValidations count="1">
    <dataValidation type="list" allowBlank="1" showInputMessage="1" showErrorMessage="1" sqref="H6 G2" xr:uid="{00000000-0002-0000-0000-000000000000}">
      <formula1>$A$2:$A$11</formula1>
    </dataValidation>
  </dataValidations>
  <pageMargins left="0.7" right="0.7" top="0.75" bottom="0.75" header="0.3" footer="0.3"/>
  <pageSetup paperSize="12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selection activeCell="E24" sqref="E24"/>
    </sheetView>
  </sheetViews>
  <sheetFormatPr defaultRowHeight="15"/>
  <cols>
    <col min="6" max="6" width="12.42578125" bestFit="1" customWidth="1"/>
    <col min="7" max="7" width="10.140625" bestFit="1" customWidth="1"/>
    <col min="10" max="10" width="12.42578125" bestFit="1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24</v>
      </c>
      <c r="G1" s="3" t="s">
        <v>25</v>
      </c>
      <c r="I1" s="7" t="s">
        <v>26</v>
      </c>
      <c r="J1" s="7" t="s">
        <v>24</v>
      </c>
    </row>
    <row r="2" spans="1:10">
      <c r="A2">
        <v>1001</v>
      </c>
      <c r="B2" s="1" t="s">
        <v>5</v>
      </c>
      <c r="C2" s="1" t="s">
        <v>6</v>
      </c>
      <c r="D2" s="1" t="s">
        <v>7</v>
      </c>
      <c r="E2" s="1">
        <f ca="1">RANDBETWEEN(10,30)</f>
        <v>25</v>
      </c>
      <c r="F2" t="str">
        <f ca="1">VLOOKUP($E2,$I$1:$J$5,2,1)</f>
        <v>Poor</v>
      </c>
      <c r="G2">
        <f>VLOOKUP($C2,$I$7:$J$11,2,0)</f>
        <v>110085</v>
      </c>
      <c r="I2" s="4">
        <v>0</v>
      </c>
      <c r="J2" s="4" t="s">
        <v>27</v>
      </c>
    </row>
    <row r="3" spans="1:10">
      <c r="A3">
        <v>1002</v>
      </c>
      <c r="B3" s="1" t="s">
        <v>8</v>
      </c>
      <c r="C3" t="s">
        <v>9</v>
      </c>
      <c r="D3" s="1" t="s">
        <v>10</v>
      </c>
      <c r="E3" s="1">
        <f t="shared" ref="E3:E11" ca="1" si="0">RANDBETWEEN(10,30)</f>
        <v>12</v>
      </c>
      <c r="F3" t="str">
        <f t="shared" ref="F3:F11" ca="1" si="1">VLOOKUP($E3,$I$1:$J$5,2,1)</f>
        <v>Poor</v>
      </c>
      <c r="G3">
        <f t="shared" ref="G3:G11" si="2">VLOOKUP($C3,$I$7:$J$11,2,0)</f>
        <v>110086</v>
      </c>
      <c r="I3" s="4">
        <v>35</v>
      </c>
      <c r="J3" s="4" t="s">
        <v>28</v>
      </c>
    </row>
    <row r="4" spans="1:10">
      <c r="A4">
        <v>1003</v>
      </c>
      <c r="B4" s="1" t="s">
        <v>11</v>
      </c>
      <c r="C4" t="s">
        <v>12</v>
      </c>
      <c r="D4" s="1" t="s">
        <v>7</v>
      </c>
      <c r="E4" s="1">
        <f t="shared" ca="1" si="0"/>
        <v>11</v>
      </c>
      <c r="F4" t="str">
        <f t="shared" ca="1" si="1"/>
        <v>Poor</v>
      </c>
      <c r="G4">
        <f t="shared" si="2"/>
        <v>110087</v>
      </c>
      <c r="I4" s="4">
        <v>60</v>
      </c>
      <c r="J4" s="4" t="s">
        <v>29</v>
      </c>
    </row>
    <row r="5" spans="1:10">
      <c r="A5">
        <v>1004</v>
      </c>
      <c r="B5" s="1" t="s">
        <v>13</v>
      </c>
      <c r="C5" t="s">
        <v>14</v>
      </c>
      <c r="D5" s="1" t="s">
        <v>10</v>
      </c>
      <c r="E5" s="1">
        <f t="shared" ca="1" si="0"/>
        <v>29</v>
      </c>
      <c r="F5" t="str">
        <f t="shared" ca="1" si="1"/>
        <v>Poor</v>
      </c>
      <c r="G5">
        <f t="shared" si="2"/>
        <v>110088</v>
      </c>
      <c r="I5" s="4">
        <v>80</v>
      </c>
      <c r="J5" s="4" t="s">
        <v>30</v>
      </c>
    </row>
    <row r="6" spans="1:10">
      <c r="A6">
        <v>1005</v>
      </c>
      <c r="B6" s="1" t="s">
        <v>15</v>
      </c>
      <c r="C6" t="s">
        <v>14</v>
      </c>
      <c r="D6" s="1" t="s">
        <v>16</v>
      </c>
      <c r="E6" s="1">
        <f t="shared" ca="1" si="0"/>
        <v>17</v>
      </c>
      <c r="F6" t="str">
        <f t="shared" ca="1" si="1"/>
        <v>Poor</v>
      </c>
      <c r="G6">
        <f t="shared" si="2"/>
        <v>110088</v>
      </c>
    </row>
    <row r="7" spans="1:10">
      <c r="A7">
        <v>1006</v>
      </c>
      <c r="B7" s="1" t="s">
        <v>17</v>
      </c>
      <c r="C7" t="s">
        <v>12</v>
      </c>
      <c r="D7" s="1" t="s">
        <v>18</v>
      </c>
      <c r="E7" s="1">
        <f t="shared" ca="1" si="0"/>
        <v>13</v>
      </c>
      <c r="F7" t="str">
        <f t="shared" ca="1" si="1"/>
        <v>Poor</v>
      </c>
      <c r="G7">
        <f t="shared" si="2"/>
        <v>110087</v>
      </c>
      <c r="I7" s="6" t="s">
        <v>2</v>
      </c>
      <c r="J7" s="4" t="s">
        <v>25</v>
      </c>
    </row>
    <row r="8" spans="1:10">
      <c r="A8">
        <v>1007</v>
      </c>
      <c r="B8" s="1" t="s">
        <v>19</v>
      </c>
      <c r="C8" t="s">
        <v>9</v>
      </c>
      <c r="D8" s="1" t="s">
        <v>20</v>
      </c>
      <c r="E8" s="1">
        <f t="shared" ca="1" si="0"/>
        <v>22</v>
      </c>
      <c r="F8" t="str">
        <f t="shared" ca="1" si="1"/>
        <v>Poor</v>
      </c>
      <c r="G8">
        <f t="shared" si="2"/>
        <v>110086</v>
      </c>
      <c r="I8" s="4" t="s">
        <v>6</v>
      </c>
      <c r="J8" s="4">
        <v>110085</v>
      </c>
    </row>
    <row r="9" spans="1:10">
      <c r="A9">
        <v>1008</v>
      </c>
      <c r="B9" s="1" t="s">
        <v>21</v>
      </c>
      <c r="C9" t="s">
        <v>9</v>
      </c>
      <c r="D9" s="1" t="s">
        <v>20</v>
      </c>
      <c r="E9" s="1">
        <f t="shared" ca="1" si="0"/>
        <v>24</v>
      </c>
      <c r="F9" t="str">
        <f t="shared" ca="1" si="1"/>
        <v>Poor</v>
      </c>
      <c r="G9">
        <f t="shared" si="2"/>
        <v>110086</v>
      </c>
      <c r="I9" s="4" t="s">
        <v>9</v>
      </c>
      <c r="J9" s="4">
        <v>110086</v>
      </c>
    </row>
    <row r="10" spans="1:10">
      <c r="A10">
        <v>1009</v>
      </c>
      <c r="B10" s="1" t="s">
        <v>22</v>
      </c>
      <c r="C10" t="s">
        <v>12</v>
      </c>
      <c r="D10" s="1" t="s">
        <v>18</v>
      </c>
      <c r="E10" s="1">
        <f t="shared" ca="1" si="0"/>
        <v>26</v>
      </c>
      <c r="F10" t="str">
        <f t="shared" ca="1" si="1"/>
        <v>Poor</v>
      </c>
      <c r="G10">
        <f t="shared" si="2"/>
        <v>110087</v>
      </c>
      <c r="I10" s="4" t="s">
        <v>12</v>
      </c>
      <c r="J10" s="4">
        <v>110087</v>
      </c>
    </row>
    <row r="11" spans="1:10">
      <c r="A11">
        <v>1010</v>
      </c>
      <c r="B11" s="1" t="s">
        <v>23</v>
      </c>
      <c r="C11" t="s">
        <v>12</v>
      </c>
      <c r="D11" s="1" t="s">
        <v>16</v>
      </c>
      <c r="E11" s="1">
        <f t="shared" ca="1" si="0"/>
        <v>16</v>
      </c>
      <c r="F11" t="str">
        <f t="shared" ca="1" si="1"/>
        <v>Poor</v>
      </c>
      <c r="G11">
        <f t="shared" si="2"/>
        <v>110087</v>
      </c>
      <c r="I11" s="4" t="s">
        <v>14</v>
      </c>
      <c r="J11" s="4">
        <v>110088</v>
      </c>
    </row>
  </sheetData>
  <pageMargins left="0.7" right="0.7" top="0.75" bottom="0.75" header="0.3" footer="0.3"/>
  <pageSetup paperSize="12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>
      <selection activeCell="J9" sqref="J9"/>
    </sheetView>
  </sheetViews>
  <sheetFormatPr defaultRowHeight="15"/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H1" s="3" t="s">
        <v>0</v>
      </c>
      <c r="I1" s="3" t="s">
        <v>1</v>
      </c>
      <c r="J1" s="3" t="s">
        <v>3</v>
      </c>
      <c r="K1" s="3" t="s">
        <v>2</v>
      </c>
      <c r="L1" s="3" t="s">
        <v>4</v>
      </c>
    </row>
    <row r="2" spans="1:12">
      <c r="A2">
        <v>1001</v>
      </c>
      <c r="B2" s="1" t="s">
        <v>5</v>
      </c>
      <c r="C2" s="1" t="s">
        <v>6</v>
      </c>
      <c r="D2" s="1" t="s">
        <v>7</v>
      </c>
      <c r="E2" s="1">
        <f ca="1">RANDBETWEEN(10,30)</f>
        <v>23</v>
      </c>
      <c r="H2" s="1">
        <v>1010</v>
      </c>
      <c r="I2" t="str">
        <f>IFERROR(VLOOKUP($G$2,$A$1:$E$11,MATCH(I$1,B$1:F$1,0),0),"Karan ji")</f>
        <v>Karan ji</v>
      </c>
      <c r="J2" t="str">
        <f t="shared" ref="J2:L2" si="0">IFERROR(VLOOKUP($G$2,$A$1:$E$11,MATCH(J$1,C$1:G$1,0),0),"Karan ji")</f>
        <v>Karan ji</v>
      </c>
      <c r="K2" t="str">
        <f t="shared" si="0"/>
        <v>Karan ji</v>
      </c>
      <c r="L2" t="str">
        <f t="shared" si="0"/>
        <v>Karan ji</v>
      </c>
    </row>
    <row r="3" spans="1:12">
      <c r="A3">
        <v>1002</v>
      </c>
      <c r="B3" s="1" t="s">
        <v>8</v>
      </c>
      <c r="C3" t="s">
        <v>9</v>
      </c>
      <c r="D3" s="1" t="s">
        <v>10</v>
      </c>
      <c r="E3" s="1">
        <f t="shared" ref="E3:E11" ca="1" si="1">RANDBETWEEN(10,30)</f>
        <v>19</v>
      </c>
    </row>
    <row r="4" spans="1:12">
      <c r="A4">
        <v>1003</v>
      </c>
      <c r="B4" s="1" t="s">
        <v>11</v>
      </c>
      <c r="C4" t="s">
        <v>12</v>
      </c>
      <c r="D4" s="1" t="s">
        <v>7</v>
      </c>
      <c r="E4" s="1">
        <f t="shared" ca="1" si="1"/>
        <v>16</v>
      </c>
    </row>
    <row r="5" spans="1:12">
      <c r="A5">
        <v>1004</v>
      </c>
      <c r="B5" s="1" t="s">
        <v>13</v>
      </c>
      <c r="C5" t="s">
        <v>14</v>
      </c>
      <c r="D5" s="1" t="s">
        <v>10</v>
      </c>
      <c r="E5" s="1">
        <f t="shared" ca="1" si="1"/>
        <v>13</v>
      </c>
    </row>
    <row r="6" spans="1:12">
      <c r="A6">
        <v>1005</v>
      </c>
      <c r="B6" s="1" t="s">
        <v>15</v>
      </c>
      <c r="C6" t="s">
        <v>14</v>
      </c>
      <c r="D6" s="1" t="s">
        <v>16</v>
      </c>
      <c r="E6" s="1">
        <f t="shared" ca="1" si="1"/>
        <v>24</v>
      </c>
    </row>
    <row r="7" spans="1:12">
      <c r="A7">
        <v>1006</v>
      </c>
      <c r="B7" s="1" t="s">
        <v>17</v>
      </c>
      <c r="C7" t="s">
        <v>12</v>
      </c>
      <c r="D7" s="1" t="s">
        <v>18</v>
      </c>
      <c r="E7" s="1">
        <f t="shared" ca="1" si="1"/>
        <v>23</v>
      </c>
    </row>
    <row r="8" spans="1:12">
      <c r="A8">
        <v>1007</v>
      </c>
      <c r="B8" s="1" t="s">
        <v>19</v>
      </c>
      <c r="C8" t="s">
        <v>9</v>
      </c>
      <c r="D8" s="1" t="s">
        <v>20</v>
      </c>
      <c r="E8" s="1">
        <f t="shared" ca="1" si="1"/>
        <v>21</v>
      </c>
    </row>
    <row r="9" spans="1:12">
      <c r="A9">
        <v>1008</v>
      </c>
      <c r="B9" s="1" t="s">
        <v>21</v>
      </c>
      <c r="C9" t="s">
        <v>9</v>
      </c>
      <c r="D9" s="1" t="s">
        <v>20</v>
      </c>
      <c r="E9" s="1">
        <f t="shared" ca="1" si="1"/>
        <v>27</v>
      </c>
    </row>
    <row r="10" spans="1:12">
      <c r="A10">
        <v>1009</v>
      </c>
      <c r="B10" s="1" t="s">
        <v>22</v>
      </c>
      <c r="C10" t="s">
        <v>12</v>
      </c>
      <c r="D10" s="1" t="s">
        <v>18</v>
      </c>
      <c r="E10" s="1">
        <f t="shared" ca="1" si="1"/>
        <v>24</v>
      </c>
    </row>
    <row r="11" spans="1:12">
      <c r="A11">
        <v>1010</v>
      </c>
      <c r="B11" s="1" t="s">
        <v>23</v>
      </c>
      <c r="C11" t="s">
        <v>12</v>
      </c>
      <c r="D11" s="1" t="s">
        <v>16</v>
      </c>
      <c r="E11" s="1">
        <f t="shared" ca="1" si="1"/>
        <v>16</v>
      </c>
    </row>
  </sheetData>
  <dataValidations count="1">
    <dataValidation type="list" allowBlank="1" showInputMessage="1" showErrorMessage="1" sqref="H2" xr:uid="{00000000-0002-0000-0200-000000000000}">
      <formula1>$A$2:$A$11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E15" sqref="E15"/>
    </sheetView>
  </sheetViews>
  <sheetFormatPr defaultRowHeight="15"/>
  <cols>
    <col min="1" max="1" width="11.7109375" style="1" bestFit="1" customWidth="1"/>
    <col min="2" max="2" width="10.140625" style="1" bestFit="1" customWidth="1"/>
    <col min="3" max="3" width="9.140625" style="1"/>
    <col min="4" max="4" width="11.7109375" style="1" bestFit="1" customWidth="1"/>
    <col min="5" max="6" width="9.42578125" style="1" bestFit="1" customWidth="1"/>
    <col min="7" max="7" width="6.140625" style="1" bestFit="1" customWidth="1"/>
    <col min="8" max="8" width="5.5703125" style="1" bestFit="1" customWidth="1"/>
    <col min="9" max="16384" width="9.140625" style="1"/>
  </cols>
  <sheetData>
    <row r="1" spans="1:8">
      <c r="A1" s="12" t="s">
        <v>0</v>
      </c>
      <c r="B1" s="12" t="s">
        <v>31</v>
      </c>
      <c r="D1" s="12" t="s">
        <v>31</v>
      </c>
      <c r="E1" s="12" t="s">
        <v>1</v>
      </c>
      <c r="F1" s="12" t="s">
        <v>3</v>
      </c>
      <c r="G1" s="12" t="s">
        <v>2</v>
      </c>
      <c r="H1" s="12" t="s">
        <v>4</v>
      </c>
    </row>
    <row r="2" spans="1:8">
      <c r="A2" s="5">
        <v>1001</v>
      </c>
      <c r="B2" s="5" t="s">
        <v>32</v>
      </c>
      <c r="D2" s="5" t="s">
        <v>32</v>
      </c>
      <c r="E2" s="5" t="s">
        <v>5</v>
      </c>
      <c r="F2" s="5" t="s">
        <v>7</v>
      </c>
      <c r="G2" s="5" t="s">
        <v>6</v>
      </c>
      <c r="H2" s="5">
        <v>27</v>
      </c>
    </row>
    <row r="3" spans="1:8">
      <c r="A3" s="5">
        <v>1002</v>
      </c>
      <c r="B3" s="5" t="s">
        <v>33</v>
      </c>
      <c r="D3" s="5" t="s">
        <v>33</v>
      </c>
      <c r="E3" s="5" t="s">
        <v>8</v>
      </c>
      <c r="F3" s="5" t="s">
        <v>10</v>
      </c>
      <c r="G3" s="5" t="s">
        <v>9</v>
      </c>
      <c r="H3" s="5">
        <v>30</v>
      </c>
    </row>
    <row r="4" spans="1:8">
      <c r="A4" s="5">
        <v>1003</v>
      </c>
      <c r="B4" s="5" t="s">
        <v>34</v>
      </c>
      <c r="D4" s="5" t="s">
        <v>34</v>
      </c>
      <c r="E4" s="5" t="s">
        <v>11</v>
      </c>
      <c r="F4" s="5" t="s">
        <v>7</v>
      </c>
      <c r="G4" s="5" t="s">
        <v>12</v>
      </c>
      <c r="H4" s="5">
        <v>12</v>
      </c>
    </row>
    <row r="5" spans="1:8">
      <c r="A5" s="5">
        <v>1004</v>
      </c>
      <c r="B5" s="5" t="s">
        <v>35</v>
      </c>
      <c r="D5" s="5" t="s">
        <v>35</v>
      </c>
      <c r="E5" s="5" t="s">
        <v>13</v>
      </c>
      <c r="F5" s="5" t="s">
        <v>10</v>
      </c>
      <c r="G5" s="5" t="s">
        <v>14</v>
      </c>
      <c r="H5" s="5">
        <v>22</v>
      </c>
    </row>
    <row r="6" spans="1:8">
      <c r="A6" s="5">
        <v>1005</v>
      </c>
      <c r="B6" s="5" t="s">
        <v>36</v>
      </c>
      <c r="D6" s="5" t="s">
        <v>36</v>
      </c>
      <c r="E6" s="5" t="s">
        <v>15</v>
      </c>
      <c r="F6" s="5" t="s">
        <v>16</v>
      </c>
      <c r="G6" s="5" t="s">
        <v>14</v>
      </c>
      <c r="H6" s="5">
        <v>20</v>
      </c>
    </row>
    <row r="7" spans="1:8">
      <c r="A7" s="5">
        <v>1006</v>
      </c>
      <c r="B7" s="5" t="s">
        <v>37</v>
      </c>
      <c r="D7" s="5" t="s">
        <v>37</v>
      </c>
      <c r="E7" s="5" t="s">
        <v>17</v>
      </c>
      <c r="F7" s="5" t="s">
        <v>18</v>
      </c>
      <c r="G7" s="5" t="s">
        <v>12</v>
      </c>
      <c r="H7" s="5">
        <v>15</v>
      </c>
    </row>
    <row r="8" spans="1:8">
      <c r="A8" s="5">
        <v>1007</v>
      </c>
      <c r="B8" s="5" t="s">
        <v>38</v>
      </c>
      <c r="D8" s="5" t="s">
        <v>38</v>
      </c>
      <c r="E8" s="5" t="s">
        <v>19</v>
      </c>
      <c r="F8" s="5" t="s">
        <v>20</v>
      </c>
      <c r="G8" s="5" t="s">
        <v>9</v>
      </c>
      <c r="H8" s="5">
        <v>16</v>
      </c>
    </row>
    <row r="9" spans="1:8">
      <c r="A9" s="5">
        <v>1008</v>
      </c>
      <c r="B9" s="5" t="s">
        <v>39</v>
      </c>
      <c r="D9" s="5" t="s">
        <v>39</v>
      </c>
      <c r="E9" s="5" t="s">
        <v>21</v>
      </c>
      <c r="F9" s="5" t="s">
        <v>20</v>
      </c>
      <c r="G9" s="5" t="s">
        <v>9</v>
      </c>
      <c r="H9" s="5">
        <v>11</v>
      </c>
    </row>
    <row r="10" spans="1:8">
      <c r="A10" s="5">
        <v>1009</v>
      </c>
      <c r="B10" s="5" t="s">
        <v>40</v>
      </c>
      <c r="D10" s="5" t="s">
        <v>40</v>
      </c>
      <c r="E10" s="5" t="s">
        <v>22</v>
      </c>
      <c r="F10" s="5" t="s">
        <v>18</v>
      </c>
      <c r="G10" s="5" t="s">
        <v>12</v>
      </c>
      <c r="H10" s="5">
        <v>16</v>
      </c>
    </row>
    <row r="11" spans="1:8">
      <c r="A11" s="5">
        <v>1010</v>
      </c>
      <c r="B11" s="5" t="s">
        <v>41</v>
      </c>
      <c r="D11" s="5" t="s">
        <v>41</v>
      </c>
      <c r="E11" s="5" t="s">
        <v>23</v>
      </c>
      <c r="F11" s="5" t="s">
        <v>16</v>
      </c>
      <c r="G11" s="5" t="s">
        <v>12</v>
      </c>
      <c r="H11" s="5">
        <v>15</v>
      </c>
    </row>
    <row r="14" spans="1:8">
      <c r="D14" s="12" t="s">
        <v>0</v>
      </c>
      <c r="E14" s="12" t="s">
        <v>1</v>
      </c>
      <c r="F14" s="12" t="s">
        <v>3</v>
      </c>
      <c r="G14" s="12" t="s">
        <v>2</v>
      </c>
      <c r="H14" s="12" t="s">
        <v>4</v>
      </c>
    </row>
    <row r="15" spans="1:8">
      <c r="D15" s="5">
        <v>1009</v>
      </c>
      <c r="E15" s="5" t="str">
        <f>VLOOKUP(VLOOKUP($D$15,$A$1:$B$11,2,0),$D$1:$H$11,MATCH(E$14,$D$1:$H$1,0))</f>
        <v>Ritik</v>
      </c>
      <c r="F15" s="5" t="str">
        <f t="shared" ref="F15:H15" si="0">VLOOKUP(VLOOKUP($D$15,$A$1:$B$11,2,0),$D$1:$H$11,MATCH(F$14,$D$1:$H$1,0))</f>
        <v>Mouse</v>
      </c>
      <c r="G15" s="5" t="str">
        <f t="shared" si="0"/>
        <v>West</v>
      </c>
      <c r="H15" s="5">
        <f t="shared" si="0"/>
        <v>16</v>
      </c>
    </row>
  </sheetData>
  <phoneticPr fontId="4" type="noConversion"/>
  <dataValidations count="1">
    <dataValidation type="list" allowBlank="1" showInputMessage="1" showErrorMessage="1" sqref="D15" xr:uid="{00000000-0002-0000-0300-000000000000}">
      <formula1>$A$2:$A$11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workbookViewId="0">
      <selection activeCell="H2" sqref="H2"/>
    </sheetView>
  </sheetViews>
  <sheetFormatPr defaultRowHeight="15"/>
  <cols>
    <col min="1" max="1" width="9.7109375" bestFit="1" customWidth="1"/>
  </cols>
  <sheetData>
    <row r="1" spans="1:10">
      <c r="A1" s="7" t="s">
        <v>42</v>
      </c>
      <c r="B1" s="7" t="s">
        <v>3</v>
      </c>
      <c r="C1" s="7" t="s">
        <v>2</v>
      </c>
      <c r="D1" s="7" t="s">
        <v>4</v>
      </c>
      <c r="H1" s="7" t="s">
        <v>3</v>
      </c>
    </row>
    <row r="2" spans="1:10">
      <c r="A2" s="4" t="str">
        <f>B2&amp;COUNTIF($B$2:B2,B2)</f>
        <v>PC1</v>
      </c>
      <c r="B2" s="5" t="s">
        <v>7</v>
      </c>
      <c r="C2" s="5" t="s">
        <v>6</v>
      </c>
      <c r="D2" s="5">
        <f ca="1">RANDBETWEEN(10,30)</f>
        <v>20</v>
      </c>
      <c r="H2" t="s">
        <v>16</v>
      </c>
    </row>
    <row r="3" spans="1:10">
      <c r="A3" s="4" t="str">
        <f>B3&amp;COUNTIF($B$2:B3,B3)</f>
        <v>Laptop1</v>
      </c>
      <c r="B3" s="5" t="s">
        <v>10</v>
      </c>
      <c r="C3" s="4" t="s">
        <v>9</v>
      </c>
      <c r="D3" s="5">
        <f t="shared" ref="D3:D22" ca="1" si="0">RANDBETWEEN(10,30)</f>
        <v>29</v>
      </c>
    </row>
    <row r="4" spans="1:10">
      <c r="A4" s="4" t="str">
        <f>B4&amp;COUNTIF($B$2:B4,B4)</f>
        <v>PC2</v>
      </c>
      <c r="B4" s="5" t="s">
        <v>7</v>
      </c>
      <c r="C4" s="4" t="s">
        <v>12</v>
      </c>
      <c r="D4" s="5">
        <f t="shared" ca="1" si="0"/>
        <v>24</v>
      </c>
    </row>
    <row r="5" spans="1:10">
      <c r="A5" s="4" t="str">
        <f>B5&amp;COUNTIF($B$2:B5,B5)</f>
        <v>Laptop2</v>
      </c>
      <c r="B5" s="5" t="s">
        <v>10</v>
      </c>
      <c r="C5" s="4" t="s">
        <v>14</v>
      </c>
      <c r="D5" s="5">
        <f t="shared" ca="1" si="0"/>
        <v>21</v>
      </c>
      <c r="H5" s="7" t="s">
        <v>3</v>
      </c>
      <c r="I5" s="7" t="s">
        <v>2</v>
      </c>
      <c r="J5" s="7" t="s">
        <v>4</v>
      </c>
    </row>
    <row r="6" spans="1:10">
      <c r="A6" s="4" t="str">
        <f>B6&amp;COUNTIF($B$2:B6,B6)</f>
        <v>Keyboard1</v>
      </c>
      <c r="B6" s="5" t="s">
        <v>16</v>
      </c>
      <c r="C6" s="4" t="s">
        <v>14</v>
      </c>
      <c r="D6" s="5">
        <f t="shared" ca="1" si="0"/>
        <v>25</v>
      </c>
      <c r="H6" t="str">
        <f>IFERROR(VLOOKUP($H$2&amp;ROW()-5,$A$1:$D$22,MATCH(H$5,$A$1:$D$1,0),0),"")</f>
        <v>Keyboard</v>
      </c>
      <c r="I6" t="str">
        <f t="shared" ref="I6:J6" si="1">IFERROR(VLOOKUP($H$2&amp;ROW()-5,$A$1:$D$22,MATCH(I$5,$A$1:$D$1,0),0),"")</f>
        <v>East</v>
      </c>
      <c r="J6">
        <f t="shared" ca="1" si="1"/>
        <v>25</v>
      </c>
    </row>
    <row r="7" spans="1:10">
      <c r="A7" s="4" t="str">
        <f>B7&amp;COUNTIF($B$2:B7,B7)</f>
        <v>Mouse1</v>
      </c>
      <c r="B7" s="5" t="s">
        <v>18</v>
      </c>
      <c r="C7" s="4" t="s">
        <v>12</v>
      </c>
      <c r="D7" s="5">
        <f t="shared" ca="1" si="0"/>
        <v>19</v>
      </c>
      <c r="H7" t="str">
        <f t="shared" ref="H7:J20" si="2">IFERROR(VLOOKUP($H$2&amp;ROW()-5,$A$1:$D$22,MATCH(H$5,$A$1:$D$1,0),0),"")</f>
        <v>Keyboard</v>
      </c>
      <c r="I7" t="str">
        <f t="shared" si="2"/>
        <v>West</v>
      </c>
      <c r="J7">
        <f t="shared" ca="1" si="2"/>
        <v>26</v>
      </c>
    </row>
    <row r="8" spans="1:10">
      <c r="A8" s="4" t="str">
        <f>B8&amp;COUNTIF($B$2:B8,B8)</f>
        <v>Window1</v>
      </c>
      <c r="B8" s="5" t="s">
        <v>20</v>
      </c>
      <c r="C8" s="4" t="s">
        <v>9</v>
      </c>
      <c r="D8" s="5">
        <f t="shared" ca="1" si="0"/>
        <v>12</v>
      </c>
      <c r="H8" t="str">
        <f t="shared" si="2"/>
        <v>Keyboard</v>
      </c>
      <c r="I8" t="str">
        <f t="shared" si="2"/>
        <v>West</v>
      </c>
      <c r="J8">
        <f t="shared" ca="1" si="2"/>
        <v>23</v>
      </c>
    </row>
    <row r="9" spans="1:10">
      <c r="A9" s="4" t="str">
        <f>B9&amp;COUNTIF($B$2:B9,B9)</f>
        <v>Window2</v>
      </c>
      <c r="B9" s="5" t="s">
        <v>20</v>
      </c>
      <c r="C9" s="4" t="s">
        <v>9</v>
      </c>
      <c r="D9" s="5">
        <f t="shared" ca="1" si="0"/>
        <v>27</v>
      </c>
      <c r="H9" t="str">
        <f t="shared" si="2"/>
        <v/>
      </c>
      <c r="I9" t="str">
        <f t="shared" si="2"/>
        <v/>
      </c>
      <c r="J9" t="str">
        <f t="shared" si="2"/>
        <v/>
      </c>
    </row>
    <row r="10" spans="1:10">
      <c r="A10" s="4" t="str">
        <f>B10&amp;COUNTIF($B$2:B10,B10)</f>
        <v>Mouse2</v>
      </c>
      <c r="B10" s="5" t="s">
        <v>18</v>
      </c>
      <c r="C10" s="4" t="s">
        <v>12</v>
      </c>
      <c r="D10" s="5">
        <f t="shared" ca="1" si="0"/>
        <v>25</v>
      </c>
      <c r="H10" t="str">
        <f t="shared" si="2"/>
        <v/>
      </c>
      <c r="I10" t="str">
        <f t="shared" si="2"/>
        <v/>
      </c>
      <c r="J10" t="str">
        <f t="shared" si="2"/>
        <v/>
      </c>
    </row>
    <row r="11" spans="1:10">
      <c r="A11" s="4" t="str">
        <f>B11&amp;COUNTIF($B$2:B11,B11)</f>
        <v>Keyboard2</v>
      </c>
      <c r="B11" s="5" t="s">
        <v>16</v>
      </c>
      <c r="C11" s="4" t="s">
        <v>12</v>
      </c>
      <c r="D11" s="5">
        <f t="shared" ca="1" si="0"/>
        <v>26</v>
      </c>
      <c r="H11" t="str">
        <f t="shared" si="2"/>
        <v/>
      </c>
      <c r="I11" t="str">
        <f t="shared" si="2"/>
        <v/>
      </c>
      <c r="J11" t="str">
        <f t="shared" si="2"/>
        <v/>
      </c>
    </row>
    <row r="12" spans="1:10">
      <c r="A12" s="4" t="str">
        <f>B12&amp;COUNTIF($B$2:B12,B12)</f>
        <v>Mouse3</v>
      </c>
      <c r="B12" s="10" t="s">
        <v>18</v>
      </c>
      <c r="C12" s="11" t="s">
        <v>12</v>
      </c>
      <c r="D12" s="5">
        <f t="shared" ca="1" si="0"/>
        <v>14</v>
      </c>
      <c r="H12" t="str">
        <f t="shared" si="2"/>
        <v/>
      </c>
      <c r="I12" t="str">
        <f t="shared" si="2"/>
        <v/>
      </c>
      <c r="J12" t="str">
        <f t="shared" si="2"/>
        <v/>
      </c>
    </row>
    <row r="13" spans="1:10">
      <c r="A13" s="4" t="str">
        <f>B13&amp;COUNTIF($B$2:B13,B13)</f>
        <v>Mouse4</v>
      </c>
      <c r="B13" s="10" t="s">
        <v>18</v>
      </c>
      <c r="C13" s="11" t="s">
        <v>12</v>
      </c>
      <c r="D13" s="5">
        <f t="shared" ca="1" si="0"/>
        <v>14</v>
      </c>
      <c r="H13" t="str">
        <f t="shared" si="2"/>
        <v/>
      </c>
      <c r="I13" t="str">
        <f t="shared" si="2"/>
        <v/>
      </c>
      <c r="J13" t="str">
        <f t="shared" si="2"/>
        <v/>
      </c>
    </row>
    <row r="14" spans="1:10">
      <c r="A14" s="4" t="str">
        <f>B14&amp;COUNTIF($B$2:B14,B14)</f>
        <v>Mouse5</v>
      </c>
      <c r="B14" s="10" t="s">
        <v>18</v>
      </c>
      <c r="C14" s="11" t="s">
        <v>12</v>
      </c>
      <c r="D14" s="5">
        <f t="shared" ca="1" si="0"/>
        <v>26</v>
      </c>
      <c r="H14" t="str">
        <f t="shared" si="2"/>
        <v/>
      </c>
      <c r="I14" t="str">
        <f t="shared" si="2"/>
        <v/>
      </c>
      <c r="J14" t="str">
        <f t="shared" si="2"/>
        <v/>
      </c>
    </row>
    <row r="15" spans="1:10">
      <c r="A15" s="4" t="str">
        <f>B15&amp;COUNTIF($B$2:B15,B15)</f>
        <v>Keyboard3</v>
      </c>
      <c r="B15" s="10" t="s">
        <v>16</v>
      </c>
      <c r="C15" s="11" t="s">
        <v>12</v>
      </c>
      <c r="D15" s="5">
        <f t="shared" ca="1" si="0"/>
        <v>23</v>
      </c>
      <c r="H15" t="str">
        <f t="shared" si="2"/>
        <v/>
      </c>
      <c r="I15" t="str">
        <f t="shared" si="2"/>
        <v/>
      </c>
      <c r="J15" t="str">
        <f t="shared" si="2"/>
        <v/>
      </c>
    </row>
    <row r="16" spans="1:10">
      <c r="A16" s="4" t="str">
        <f>B16&amp;COUNTIF($B$2:B16,B16)</f>
        <v>Laptop3</v>
      </c>
      <c r="B16" s="10" t="s">
        <v>10</v>
      </c>
      <c r="C16" s="11" t="s">
        <v>14</v>
      </c>
      <c r="D16" s="5">
        <f t="shared" ca="1" si="0"/>
        <v>27</v>
      </c>
      <c r="H16" t="str">
        <f t="shared" si="2"/>
        <v/>
      </c>
      <c r="I16" t="str">
        <f t="shared" si="2"/>
        <v/>
      </c>
      <c r="J16" t="str">
        <f t="shared" si="2"/>
        <v/>
      </c>
    </row>
    <row r="17" spans="1:10">
      <c r="A17" s="4" t="str">
        <f>B17&amp;COUNTIF($B$2:B17,B17)</f>
        <v>Laptop4</v>
      </c>
      <c r="B17" s="10" t="s">
        <v>10</v>
      </c>
      <c r="C17" s="11" t="s">
        <v>14</v>
      </c>
      <c r="D17" s="5">
        <f t="shared" ca="1" si="0"/>
        <v>30</v>
      </c>
      <c r="H17" t="str">
        <f t="shared" si="2"/>
        <v/>
      </c>
      <c r="I17" t="str">
        <f t="shared" si="2"/>
        <v/>
      </c>
      <c r="J17" t="str">
        <f t="shared" si="2"/>
        <v/>
      </c>
    </row>
    <row r="18" spans="1:10">
      <c r="A18" s="4" t="str">
        <f>B18&amp;COUNTIF($B$2:B18,B18)</f>
        <v>PC3</v>
      </c>
      <c r="B18" s="10" t="s">
        <v>7</v>
      </c>
      <c r="C18" s="11" t="s">
        <v>14</v>
      </c>
      <c r="D18" s="5">
        <f t="shared" ca="1" si="0"/>
        <v>12</v>
      </c>
      <c r="H18" t="str">
        <f t="shared" si="2"/>
        <v/>
      </c>
      <c r="I18" t="str">
        <f t="shared" si="2"/>
        <v/>
      </c>
      <c r="J18" t="str">
        <f t="shared" si="2"/>
        <v/>
      </c>
    </row>
    <row r="19" spans="1:10">
      <c r="A19" s="4" t="str">
        <f>B19&amp;COUNTIF($B$2:B19,B19)</f>
        <v>PC4</v>
      </c>
      <c r="B19" s="10" t="s">
        <v>7</v>
      </c>
      <c r="C19" s="11" t="s">
        <v>9</v>
      </c>
      <c r="D19" s="5">
        <f t="shared" ca="1" si="0"/>
        <v>23</v>
      </c>
      <c r="H19" t="str">
        <f t="shared" si="2"/>
        <v/>
      </c>
      <c r="I19" t="str">
        <f t="shared" si="2"/>
        <v/>
      </c>
      <c r="J19" t="str">
        <f t="shared" si="2"/>
        <v/>
      </c>
    </row>
    <row r="20" spans="1:10">
      <c r="A20" s="4" t="str">
        <f>B20&amp;COUNTIF($B$2:B20,B20)</f>
        <v>PC5</v>
      </c>
      <c r="B20" s="10" t="s">
        <v>7</v>
      </c>
      <c r="C20" s="11" t="s">
        <v>9</v>
      </c>
      <c r="D20" s="5">
        <f t="shared" ca="1" si="0"/>
        <v>27</v>
      </c>
      <c r="H20" t="str">
        <f t="shared" si="2"/>
        <v/>
      </c>
      <c r="I20" t="str">
        <f t="shared" si="2"/>
        <v/>
      </c>
      <c r="J20" t="str">
        <f t="shared" si="2"/>
        <v/>
      </c>
    </row>
    <row r="21" spans="1:10">
      <c r="A21" s="4" t="str">
        <f>B21&amp;COUNTIF($B$2:B21,B21)</f>
        <v>PC6</v>
      </c>
      <c r="B21" s="10" t="s">
        <v>7</v>
      </c>
      <c r="C21" s="11" t="s">
        <v>6</v>
      </c>
      <c r="D21" s="5">
        <f t="shared" ca="1" si="0"/>
        <v>15</v>
      </c>
    </row>
    <row r="22" spans="1:10">
      <c r="A22" s="4" t="str">
        <f>B22&amp;COUNTIF($B$2:B22,B22)</f>
        <v>PC7</v>
      </c>
      <c r="B22" s="10" t="s">
        <v>7</v>
      </c>
      <c r="C22" s="11" t="s">
        <v>6</v>
      </c>
      <c r="D22" s="5">
        <f t="shared" ca="1" si="0"/>
        <v>20</v>
      </c>
    </row>
  </sheetData>
  <dataValidations count="1">
    <dataValidation type="list" allowBlank="1" showInputMessage="1" showErrorMessage="1" sqref="H2" xr:uid="{00000000-0002-0000-0400-000000000000}">
      <formula1>"PC,Window,Mouse,Keyboard,Laptop"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workbookViewId="0">
      <selection activeCell="F1" sqref="F1:F11"/>
    </sheetView>
  </sheetViews>
  <sheetFormatPr defaultRowHeight="15"/>
  <cols>
    <col min="1" max="1" width="11.7109375" bestFit="1" customWidth="1"/>
    <col min="2" max="2" width="10.140625" bestFit="1" customWidth="1"/>
    <col min="3" max="4" width="9.42578125" bestFit="1" customWidth="1"/>
    <col min="5" max="5" width="6.140625" bestFit="1" customWidth="1"/>
    <col min="6" max="6" width="5.5703125" bestFit="1" customWidth="1"/>
    <col min="9" max="9" width="11.7109375" bestFit="1" customWidth="1"/>
    <col min="10" max="10" width="9.42578125" bestFit="1" customWidth="1"/>
    <col min="11" max="11" width="9.42578125" customWidth="1"/>
    <col min="12" max="12" width="5.7109375" customWidth="1"/>
  </cols>
  <sheetData>
    <row r="1" spans="1:12">
      <c r="A1" s="7" t="s">
        <v>0</v>
      </c>
      <c r="B1" s="7" t="s">
        <v>31</v>
      </c>
      <c r="C1" s="7" t="s">
        <v>1</v>
      </c>
      <c r="D1" s="7" t="s">
        <v>3</v>
      </c>
      <c r="E1" s="7" t="s">
        <v>2</v>
      </c>
      <c r="F1" s="7" t="s">
        <v>4</v>
      </c>
      <c r="I1" s="8" t="s">
        <v>31</v>
      </c>
    </row>
    <row r="2" spans="1:12">
      <c r="A2" s="4">
        <v>1001</v>
      </c>
      <c r="B2" s="4" t="s">
        <v>32</v>
      </c>
      <c r="C2" s="5" t="s">
        <v>5</v>
      </c>
      <c r="D2" s="5" t="s">
        <v>7</v>
      </c>
      <c r="E2" s="5" t="s">
        <v>6</v>
      </c>
      <c r="F2" s="5">
        <f ca="1">RANDBETWEEN(10,30)</f>
        <v>12</v>
      </c>
      <c r="I2" t="s">
        <v>36</v>
      </c>
    </row>
    <row r="3" spans="1:12">
      <c r="A3" s="4">
        <v>1002</v>
      </c>
      <c r="B3" s="4" t="s">
        <v>33</v>
      </c>
      <c r="C3" s="5" t="s">
        <v>8</v>
      </c>
      <c r="D3" s="5" t="s">
        <v>10</v>
      </c>
      <c r="E3" s="4" t="s">
        <v>9</v>
      </c>
      <c r="F3" s="5">
        <f t="shared" ref="F3:F11" ca="1" si="0">RANDBETWEEN(10,30)</f>
        <v>29</v>
      </c>
    </row>
    <row r="4" spans="1:12">
      <c r="A4" s="4">
        <v>1003</v>
      </c>
      <c r="B4" s="4" t="s">
        <v>34</v>
      </c>
      <c r="C4" s="5" t="s">
        <v>11</v>
      </c>
      <c r="D4" s="5" t="s">
        <v>7</v>
      </c>
      <c r="E4" s="4" t="s">
        <v>12</v>
      </c>
      <c r="F4" s="5">
        <f t="shared" ca="1" si="0"/>
        <v>25</v>
      </c>
    </row>
    <row r="5" spans="1:12">
      <c r="A5" s="4">
        <v>1004</v>
      </c>
      <c r="B5" s="4" t="s">
        <v>35</v>
      </c>
      <c r="C5" s="5" t="s">
        <v>13</v>
      </c>
      <c r="D5" s="5" t="s">
        <v>10</v>
      </c>
      <c r="E5" s="4" t="s">
        <v>14</v>
      </c>
      <c r="F5" s="5">
        <f t="shared" ca="1" si="0"/>
        <v>26</v>
      </c>
      <c r="I5" s="7" t="s">
        <v>1</v>
      </c>
      <c r="J5" s="7" t="s">
        <v>3</v>
      </c>
      <c r="K5" s="7" t="s">
        <v>2</v>
      </c>
      <c r="L5" s="7" t="s">
        <v>4</v>
      </c>
    </row>
    <row r="6" spans="1:12">
      <c r="A6" s="4">
        <v>1005</v>
      </c>
      <c r="B6" s="4" t="s">
        <v>36</v>
      </c>
      <c r="C6" s="5" t="s">
        <v>15</v>
      </c>
      <c r="D6" s="5" t="s">
        <v>16</v>
      </c>
      <c r="E6" s="4" t="s">
        <v>14</v>
      </c>
      <c r="F6" s="5">
        <f t="shared" ca="1" si="0"/>
        <v>29</v>
      </c>
      <c r="I6" t="str">
        <f>IFERROR(VLOOKUP($I$2,$A$1:$F$11,MATCH(I$5,$A$1:$F$1,0),0),VLOOKUP($I$2,$B$1:$F$11,MATCH(I$5,$B$1:$F$1,0),0))</f>
        <v>Arun</v>
      </c>
      <c r="J6" t="str">
        <f t="shared" ref="J6:L6" si="1">IFERROR(VLOOKUP($I$2,$A$1:$F$11,MATCH(J$5,$A$1:$F$1,0),0),VLOOKUP($I$2,$B$1:$F$11,MATCH(J$5,$B$1:$F$1,0),0))</f>
        <v>Keyboard</v>
      </c>
      <c r="K6" t="str">
        <f t="shared" si="1"/>
        <v>East</v>
      </c>
      <c r="L6">
        <f t="shared" ca="1" si="1"/>
        <v>29</v>
      </c>
    </row>
    <row r="7" spans="1:12">
      <c r="A7" s="4">
        <v>1006</v>
      </c>
      <c r="B7" s="4" t="s">
        <v>37</v>
      </c>
      <c r="C7" s="5" t="s">
        <v>17</v>
      </c>
      <c r="D7" s="5" t="s">
        <v>18</v>
      </c>
      <c r="E7" s="4" t="s">
        <v>12</v>
      </c>
      <c r="F7" s="5">
        <f t="shared" ca="1" si="0"/>
        <v>11</v>
      </c>
    </row>
    <row r="8" spans="1:12">
      <c r="A8" s="4">
        <v>1007</v>
      </c>
      <c r="B8" s="4" t="s">
        <v>38</v>
      </c>
      <c r="C8" s="5" t="s">
        <v>19</v>
      </c>
      <c r="D8" s="5" t="s">
        <v>20</v>
      </c>
      <c r="E8" s="4" t="s">
        <v>9</v>
      </c>
      <c r="F8" s="5">
        <f t="shared" ca="1" si="0"/>
        <v>16</v>
      </c>
    </row>
    <row r="9" spans="1:12">
      <c r="A9" s="4">
        <v>1008</v>
      </c>
      <c r="B9" s="4" t="s">
        <v>39</v>
      </c>
      <c r="C9" s="5" t="s">
        <v>21</v>
      </c>
      <c r="D9" s="5" t="s">
        <v>20</v>
      </c>
      <c r="E9" s="4" t="s">
        <v>9</v>
      </c>
      <c r="F9" s="5">
        <f t="shared" ca="1" si="0"/>
        <v>15</v>
      </c>
    </row>
    <row r="10" spans="1:12">
      <c r="A10" s="4">
        <v>1009</v>
      </c>
      <c r="B10" s="4" t="s">
        <v>40</v>
      </c>
      <c r="C10" s="5" t="s">
        <v>22</v>
      </c>
      <c r="D10" s="5" t="s">
        <v>18</v>
      </c>
      <c r="E10" s="4" t="s">
        <v>12</v>
      </c>
      <c r="F10" s="5">
        <f t="shared" ca="1" si="0"/>
        <v>25</v>
      </c>
    </row>
    <row r="11" spans="1:12">
      <c r="A11" s="4">
        <v>1010</v>
      </c>
      <c r="B11" s="4" t="s">
        <v>41</v>
      </c>
      <c r="C11" s="5" t="s">
        <v>23</v>
      </c>
      <c r="D11" s="5" t="s">
        <v>16</v>
      </c>
      <c r="E11" s="4" t="s">
        <v>12</v>
      </c>
      <c r="F11" s="5">
        <f t="shared" ca="1" si="0"/>
        <v>25</v>
      </c>
    </row>
  </sheetData>
  <dataValidations count="2">
    <dataValidation type="list" allowBlank="1" showInputMessage="1" showErrorMessage="1" sqref="I1" xr:uid="{00000000-0002-0000-0500-000000000000}">
      <formula1>$A$1:$B$1</formula1>
    </dataValidation>
    <dataValidation type="list" allowBlank="1" showInputMessage="1" showErrorMessage="1" sqref="I2" xr:uid="{00000000-0002-0000-0500-000001000000}">
      <formula1>INDEX($A$2:$F$11,0,MATCH($I$1,$A$1:$F$1,0))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>
      <selection activeCell="B1" sqref="B1"/>
    </sheetView>
  </sheetViews>
  <sheetFormatPr defaultRowHeight="15"/>
  <cols>
    <col min="3" max="3" width="8.7109375" bestFit="1" customWidth="1"/>
    <col min="5" max="5" width="12.5703125" bestFit="1" customWidth="1"/>
    <col min="6" max="6" width="9.42578125" bestFit="1" customWidth="1"/>
  </cols>
  <sheetData>
    <row r="1" spans="1:11">
      <c r="A1" s="7" t="s">
        <v>43</v>
      </c>
      <c r="B1" s="7" t="s">
        <v>3</v>
      </c>
      <c r="C1" s="7" t="s">
        <v>44</v>
      </c>
      <c r="E1" s="9" t="s">
        <v>43</v>
      </c>
      <c r="F1" s="9" t="s">
        <v>3</v>
      </c>
      <c r="G1" s="9" t="s">
        <v>44</v>
      </c>
      <c r="I1" s="9" t="s">
        <v>43</v>
      </c>
      <c r="J1" s="9" t="s">
        <v>3</v>
      </c>
      <c r="K1" s="9" t="s">
        <v>44</v>
      </c>
    </row>
    <row r="2" spans="1:11">
      <c r="A2" s="4">
        <v>1001</v>
      </c>
      <c r="B2" s="5" t="s">
        <v>7</v>
      </c>
      <c r="C2" s="4">
        <v>20</v>
      </c>
      <c r="E2" s="4">
        <v>1011</v>
      </c>
      <c r="F2" s="4" t="s">
        <v>7</v>
      </c>
      <c r="G2" s="4">
        <v>45</v>
      </c>
      <c r="I2" s="4">
        <v>1021</v>
      </c>
      <c r="J2" s="4" t="s">
        <v>7</v>
      </c>
      <c r="K2" s="4">
        <v>50</v>
      </c>
    </row>
    <row r="3" spans="1:11">
      <c r="A3" s="4">
        <v>1002</v>
      </c>
      <c r="B3" s="5" t="s">
        <v>10</v>
      </c>
      <c r="C3" s="4">
        <v>5</v>
      </c>
      <c r="E3" s="4">
        <v>1012</v>
      </c>
      <c r="F3" s="4" t="s">
        <v>18</v>
      </c>
      <c r="G3" s="4">
        <v>55</v>
      </c>
      <c r="I3" s="4">
        <v>1022</v>
      </c>
      <c r="J3" s="4" t="s">
        <v>18</v>
      </c>
      <c r="K3" s="4">
        <v>28</v>
      </c>
    </row>
    <row r="4" spans="1:11">
      <c r="A4" s="4">
        <v>1003</v>
      </c>
      <c r="B4" s="5" t="s">
        <v>7</v>
      </c>
      <c r="C4" s="4">
        <v>25</v>
      </c>
      <c r="E4" s="4">
        <v>1013</v>
      </c>
      <c r="F4" s="4" t="s">
        <v>16</v>
      </c>
      <c r="G4" s="4">
        <v>50</v>
      </c>
      <c r="I4" s="4">
        <v>1023</v>
      </c>
      <c r="J4" s="4" t="s">
        <v>16</v>
      </c>
      <c r="K4" s="4">
        <v>26</v>
      </c>
    </row>
    <row r="5" spans="1:11">
      <c r="A5" s="4">
        <v>1004</v>
      </c>
      <c r="B5" s="5" t="s">
        <v>10</v>
      </c>
      <c r="C5" s="4">
        <v>1</v>
      </c>
      <c r="E5" s="4">
        <v>1014</v>
      </c>
      <c r="F5" s="4" t="s">
        <v>20</v>
      </c>
      <c r="G5" s="4">
        <v>35</v>
      </c>
      <c r="I5" s="4">
        <v>1024</v>
      </c>
      <c r="J5" s="4" t="s">
        <v>20</v>
      </c>
      <c r="K5" s="4">
        <v>58</v>
      </c>
    </row>
    <row r="6" spans="1:11">
      <c r="A6" s="4">
        <v>1005</v>
      </c>
      <c r="B6" s="5" t="s">
        <v>16</v>
      </c>
      <c r="C6" s="4">
        <v>52</v>
      </c>
      <c r="E6" s="4">
        <v>1015</v>
      </c>
      <c r="F6" s="4" t="s">
        <v>18</v>
      </c>
      <c r="G6" s="4">
        <v>35</v>
      </c>
      <c r="I6" s="4">
        <v>1025</v>
      </c>
      <c r="J6" s="4" t="s">
        <v>18</v>
      </c>
      <c r="K6" s="4">
        <v>29</v>
      </c>
    </row>
    <row r="7" spans="1:11">
      <c r="A7" s="4">
        <v>1006</v>
      </c>
      <c r="B7" s="5" t="s">
        <v>18</v>
      </c>
      <c r="C7" s="4">
        <v>15</v>
      </c>
      <c r="E7" s="4">
        <v>1016</v>
      </c>
      <c r="F7" s="4" t="s">
        <v>20</v>
      </c>
      <c r="G7" s="4">
        <v>30</v>
      </c>
      <c r="I7" s="4">
        <v>1026</v>
      </c>
      <c r="J7" s="4" t="s">
        <v>20</v>
      </c>
      <c r="K7" s="4">
        <v>69</v>
      </c>
    </row>
    <row r="8" spans="1:11">
      <c r="A8" s="4">
        <v>1007</v>
      </c>
      <c r="B8" s="5" t="s">
        <v>20</v>
      </c>
      <c r="C8" s="4">
        <v>19</v>
      </c>
      <c r="E8" s="4">
        <v>1017</v>
      </c>
      <c r="F8" s="4" t="s">
        <v>20</v>
      </c>
      <c r="G8" s="4">
        <v>39</v>
      </c>
      <c r="I8" s="4">
        <v>1027</v>
      </c>
      <c r="J8" s="4" t="s">
        <v>20</v>
      </c>
      <c r="K8" s="4">
        <v>36</v>
      </c>
    </row>
    <row r="9" spans="1:11">
      <c r="A9" s="4">
        <v>1008</v>
      </c>
      <c r="B9" s="5" t="s">
        <v>20</v>
      </c>
      <c r="C9" s="4">
        <v>25</v>
      </c>
      <c r="E9" s="4">
        <v>1018</v>
      </c>
      <c r="F9" s="4" t="s">
        <v>16</v>
      </c>
      <c r="G9" s="4">
        <v>40</v>
      </c>
      <c r="I9" s="4">
        <v>1028</v>
      </c>
      <c r="J9" s="4" t="s">
        <v>16</v>
      </c>
      <c r="K9" s="4">
        <v>25</v>
      </c>
    </row>
    <row r="10" spans="1:11">
      <c r="A10" s="4">
        <v>1009</v>
      </c>
      <c r="B10" s="5" t="s">
        <v>18</v>
      </c>
      <c r="C10" s="4">
        <v>29</v>
      </c>
      <c r="E10" s="4">
        <v>1019</v>
      </c>
      <c r="F10" s="4" t="s">
        <v>7</v>
      </c>
      <c r="G10" s="4">
        <v>54</v>
      </c>
      <c r="I10" s="4">
        <v>1029</v>
      </c>
      <c r="J10" s="4" t="s">
        <v>7</v>
      </c>
      <c r="K10" s="4">
        <v>29</v>
      </c>
    </row>
    <row r="11" spans="1:11">
      <c r="A11" s="4">
        <v>1010</v>
      </c>
      <c r="B11" s="5" t="s">
        <v>16</v>
      </c>
      <c r="C11" s="4">
        <v>14</v>
      </c>
      <c r="E11" s="4">
        <v>1020</v>
      </c>
      <c r="F11" s="4" t="s">
        <v>7</v>
      </c>
      <c r="G11" s="4">
        <v>45</v>
      </c>
      <c r="I11" s="4">
        <v>1030</v>
      </c>
      <c r="J11" s="4" t="s">
        <v>7</v>
      </c>
      <c r="K11" s="4">
        <v>25</v>
      </c>
    </row>
    <row r="14" spans="1:11">
      <c r="E14" s="4" t="s">
        <v>45</v>
      </c>
      <c r="F14" s="4">
        <v>1021</v>
      </c>
    </row>
    <row r="15" spans="1:11">
      <c r="E15" s="4" t="s">
        <v>3</v>
      </c>
      <c r="F15" s="4" t="str">
        <f>VLOOKUP($F$14,IF($F$14&lt;=1010,$A$1:$C$11,IF($F$14&lt;=1020,$E$1:$G$11,$I$1:$K$11)),ROW()-13,0)</f>
        <v>PC</v>
      </c>
    </row>
    <row r="16" spans="1:11">
      <c r="E16" s="4" t="s">
        <v>44</v>
      </c>
      <c r="F16" s="4">
        <f>VLOOKUP($F$14,IF($F$14&lt;=1010,$A$1:$C$11,IF($F$14&lt;=1020,$E$1:$G$11,$I$1:$K$11)),ROW()-13,0)</f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workbookViewId="0">
      <selection activeCell="D4" sqref="D4"/>
    </sheetView>
  </sheetViews>
  <sheetFormatPr defaultRowHeight="15"/>
  <sheetData>
    <row r="1" spans="1:4">
      <c r="A1" s="24" t="s">
        <v>46</v>
      </c>
      <c r="B1" s="24"/>
      <c r="C1" s="24"/>
      <c r="D1" s="24"/>
    </row>
    <row r="2" spans="1:4">
      <c r="A2" s="9" t="s">
        <v>43</v>
      </c>
      <c r="B2" s="9" t="s">
        <v>3</v>
      </c>
      <c r="C2" s="9" t="s">
        <v>44</v>
      </c>
      <c r="D2" s="13" t="s">
        <v>2</v>
      </c>
    </row>
    <row r="3" spans="1:4">
      <c r="A3" s="4">
        <v>1001</v>
      </c>
    </row>
    <row r="4" spans="1:4">
      <c r="A4" s="4">
        <v>1002</v>
      </c>
    </row>
    <row r="5" spans="1:4">
      <c r="A5" s="4">
        <v>1003</v>
      </c>
    </row>
    <row r="6" spans="1:4">
      <c r="A6" s="4">
        <v>1004</v>
      </c>
    </row>
    <row r="7" spans="1:4">
      <c r="A7" s="4">
        <v>1005</v>
      </c>
    </row>
    <row r="8" spans="1:4">
      <c r="A8" s="4">
        <v>1006</v>
      </c>
    </row>
    <row r="9" spans="1:4">
      <c r="A9" s="4">
        <v>1007</v>
      </c>
    </row>
    <row r="10" spans="1:4">
      <c r="A10" s="4">
        <v>1008</v>
      </c>
    </row>
    <row r="11" spans="1:4">
      <c r="A11" s="4">
        <v>1009</v>
      </c>
    </row>
    <row r="12" spans="1:4">
      <c r="A12" s="4">
        <v>1010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>
      <selection activeCell="A2" sqref="A2"/>
    </sheetView>
  </sheetViews>
  <sheetFormatPr defaultRowHeight="15"/>
  <sheetData>
    <row r="1" spans="1:2">
      <c r="A1" s="9" t="s">
        <v>43</v>
      </c>
      <c r="B1" s="9" t="s">
        <v>3</v>
      </c>
    </row>
    <row r="2" spans="1:2">
      <c r="A2" s="4">
        <v>1001</v>
      </c>
      <c r="B2" s="5" t="s">
        <v>7</v>
      </c>
    </row>
    <row r="3" spans="1:2">
      <c r="A3" s="4">
        <v>1002</v>
      </c>
      <c r="B3" s="5" t="s">
        <v>10</v>
      </c>
    </row>
    <row r="4" spans="1:2">
      <c r="A4" s="4">
        <v>1003</v>
      </c>
      <c r="B4" s="5" t="s">
        <v>7</v>
      </c>
    </row>
    <row r="5" spans="1:2">
      <c r="A5" s="4">
        <v>1004</v>
      </c>
      <c r="B5" s="5" t="s">
        <v>10</v>
      </c>
    </row>
    <row r="6" spans="1:2">
      <c r="A6" s="4">
        <v>1005</v>
      </c>
      <c r="B6" s="5" t="s">
        <v>16</v>
      </c>
    </row>
    <row r="7" spans="1:2">
      <c r="A7" s="4">
        <v>1006</v>
      </c>
      <c r="B7" s="5" t="s">
        <v>18</v>
      </c>
    </row>
    <row r="8" spans="1:2">
      <c r="A8" s="4">
        <v>1007</v>
      </c>
      <c r="B8" s="5" t="s">
        <v>20</v>
      </c>
    </row>
    <row r="9" spans="1:2">
      <c r="A9" s="4">
        <v>1008</v>
      </c>
      <c r="B9" s="5" t="s">
        <v>20</v>
      </c>
    </row>
    <row r="10" spans="1:2">
      <c r="A10" s="4">
        <v>1009</v>
      </c>
      <c r="B10" s="5" t="s">
        <v>18</v>
      </c>
    </row>
    <row r="11" spans="1:2">
      <c r="A11" s="4">
        <v>1010</v>
      </c>
      <c r="B11" s="5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>
      <selection activeCell="D4" sqref="D4"/>
    </sheetView>
  </sheetViews>
  <sheetFormatPr defaultRowHeight="15"/>
  <sheetData>
    <row r="1" spans="1:2">
      <c r="A1" s="9" t="s">
        <v>43</v>
      </c>
      <c r="B1" s="9" t="s">
        <v>44</v>
      </c>
    </row>
    <row r="2" spans="1:2">
      <c r="A2" s="4">
        <v>1001</v>
      </c>
      <c r="B2" s="4">
        <v>20</v>
      </c>
    </row>
    <row r="3" spans="1:2">
      <c r="A3" s="4">
        <v>1002</v>
      </c>
      <c r="B3" s="4">
        <v>5</v>
      </c>
    </row>
    <row r="4" spans="1:2">
      <c r="A4" s="4">
        <v>1003</v>
      </c>
      <c r="B4" s="4">
        <v>25</v>
      </c>
    </row>
    <row r="5" spans="1:2">
      <c r="A5" s="4">
        <v>1004</v>
      </c>
      <c r="B5" s="4">
        <v>1</v>
      </c>
    </row>
    <row r="6" spans="1:2">
      <c r="A6" s="4">
        <v>1005</v>
      </c>
      <c r="B6" s="4">
        <v>52</v>
      </c>
    </row>
    <row r="7" spans="1:2">
      <c r="A7" s="4">
        <v>1006</v>
      </c>
      <c r="B7" s="4">
        <v>15</v>
      </c>
    </row>
    <row r="8" spans="1:2">
      <c r="A8" s="4">
        <v>1007</v>
      </c>
      <c r="B8" s="4">
        <v>19</v>
      </c>
    </row>
    <row r="9" spans="1:2">
      <c r="A9" s="4">
        <v>1008</v>
      </c>
      <c r="B9" s="4">
        <v>25</v>
      </c>
    </row>
    <row r="10" spans="1:2">
      <c r="A10" s="4">
        <v>1009</v>
      </c>
      <c r="B10" s="4">
        <v>29</v>
      </c>
    </row>
    <row r="11" spans="1:2">
      <c r="A11" s="4">
        <v>1010</v>
      </c>
      <c r="B11" s="4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workbookViewId="0">
      <selection activeCell="B1" sqref="B1:B11"/>
    </sheetView>
  </sheetViews>
  <sheetFormatPr defaultRowHeight="15"/>
  <sheetData>
    <row r="1" spans="1:2">
      <c r="A1" s="9" t="s">
        <v>43</v>
      </c>
      <c r="B1" s="13" t="s">
        <v>2</v>
      </c>
    </row>
    <row r="2" spans="1:2">
      <c r="A2" s="4">
        <v>1001</v>
      </c>
      <c r="B2" s="5" t="s">
        <v>6</v>
      </c>
    </row>
    <row r="3" spans="1:2">
      <c r="A3" s="4">
        <v>1002</v>
      </c>
      <c r="B3" s="4" t="s">
        <v>9</v>
      </c>
    </row>
    <row r="4" spans="1:2">
      <c r="A4" s="4">
        <v>1003</v>
      </c>
      <c r="B4" s="4" t="s">
        <v>12</v>
      </c>
    </row>
    <row r="5" spans="1:2">
      <c r="A5" s="4">
        <v>1004</v>
      </c>
      <c r="B5" s="4" t="s">
        <v>14</v>
      </c>
    </row>
    <row r="6" spans="1:2">
      <c r="A6" s="4">
        <v>1005</v>
      </c>
      <c r="B6" s="4" t="s">
        <v>14</v>
      </c>
    </row>
    <row r="7" spans="1:2">
      <c r="A7" s="4">
        <v>1006</v>
      </c>
      <c r="B7" s="4" t="s">
        <v>12</v>
      </c>
    </row>
    <row r="8" spans="1:2">
      <c r="A8" s="4">
        <v>1007</v>
      </c>
      <c r="B8" s="4" t="s">
        <v>9</v>
      </c>
    </row>
    <row r="9" spans="1:2">
      <c r="A9" s="4">
        <v>1008</v>
      </c>
      <c r="B9" s="4" t="s">
        <v>9</v>
      </c>
    </row>
    <row r="10" spans="1:2">
      <c r="A10" s="4">
        <v>1009</v>
      </c>
      <c r="B10" s="4" t="s">
        <v>12</v>
      </c>
    </row>
    <row r="11" spans="1:2">
      <c r="A11" s="4">
        <v>1010</v>
      </c>
      <c r="B11" s="4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1"/>
  <sheetViews>
    <sheetView workbookViewId="0">
      <selection activeCell="H1" sqref="H1:I1"/>
    </sheetView>
  </sheetViews>
  <sheetFormatPr defaultRowHeight="15"/>
  <cols>
    <col min="1" max="1" width="11.7109375" bestFit="1" customWidth="1"/>
    <col min="2" max="3" width="9.42578125" bestFit="1" customWidth="1"/>
    <col min="4" max="4" width="6.140625" bestFit="1" customWidth="1"/>
    <col min="5" max="5" width="5.5703125" bestFit="1" customWidth="1"/>
    <col min="6" max="6" width="10.140625" bestFit="1" customWidth="1"/>
    <col min="8" max="8" width="10.140625" bestFit="1" customWidth="1"/>
    <col min="11" max="11" width="10.140625" bestFit="1" customWidth="1"/>
  </cols>
  <sheetData>
    <row r="1" spans="1:12">
      <c r="A1" s="7" t="s">
        <v>0</v>
      </c>
      <c r="B1" s="7" t="s">
        <v>1</v>
      </c>
      <c r="C1" s="7" t="s">
        <v>3</v>
      </c>
      <c r="D1" s="7" t="s">
        <v>2</v>
      </c>
      <c r="E1" s="7" t="s">
        <v>4</v>
      </c>
      <c r="F1" s="7" t="s">
        <v>31</v>
      </c>
      <c r="H1" s="25" t="s">
        <v>47</v>
      </c>
      <c r="I1" s="25"/>
      <c r="K1" s="25" t="s">
        <v>48</v>
      </c>
      <c r="L1" s="25"/>
    </row>
    <row r="2" spans="1:12">
      <c r="A2" s="4">
        <v>1001</v>
      </c>
      <c r="B2" s="5" t="s">
        <v>5</v>
      </c>
      <c r="C2" s="5" t="s">
        <v>7</v>
      </c>
      <c r="D2" s="5" t="s">
        <v>6</v>
      </c>
      <c r="E2" s="5">
        <f ca="1">RANDBETWEEN(10,30)</f>
        <v>19</v>
      </c>
      <c r="F2" s="4" t="s">
        <v>32</v>
      </c>
      <c r="H2" s="7" t="s">
        <v>31</v>
      </c>
      <c r="I2" s="4"/>
      <c r="K2" s="7" t="s">
        <v>31</v>
      </c>
      <c r="L2" s="4"/>
    </row>
    <row r="3" spans="1:12">
      <c r="A3" s="4">
        <v>1002</v>
      </c>
      <c r="B3" s="5" t="s">
        <v>8</v>
      </c>
      <c r="C3" s="5" t="s">
        <v>10</v>
      </c>
      <c r="D3" s="4" t="s">
        <v>9</v>
      </c>
      <c r="E3" s="5">
        <f t="shared" ref="E3:E11" ca="1" si="0">RANDBETWEEN(10,30)</f>
        <v>11</v>
      </c>
      <c r="F3" s="4" t="s">
        <v>33</v>
      </c>
      <c r="H3" s="7" t="s">
        <v>1</v>
      </c>
      <c r="I3" s="4"/>
      <c r="K3" s="7" t="s">
        <v>1</v>
      </c>
      <c r="L3" s="4"/>
    </row>
    <row r="4" spans="1:12">
      <c r="A4" s="4">
        <v>1003</v>
      </c>
      <c r="B4" s="5" t="s">
        <v>11</v>
      </c>
      <c r="C4" s="5" t="s">
        <v>7</v>
      </c>
      <c r="D4" s="4" t="s">
        <v>12</v>
      </c>
      <c r="E4" s="5">
        <f t="shared" ca="1" si="0"/>
        <v>20</v>
      </c>
      <c r="F4" s="4" t="s">
        <v>34</v>
      </c>
      <c r="H4" s="7" t="s">
        <v>3</v>
      </c>
      <c r="I4" s="4"/>
      <c r="K4" s="7" t="s">
        <v>3</v>
      </c>
      <c r="L4" s="4"/>
    </row>
    <row r="5" spans="1:12">
      <c r="A5" s="4">
        <v>1004</v>
      </c>
      <c r="B5" s="5" t="s">
        <v>13</v>
      </c>
      <c r="C5" s="5" t="s">
        <v>10</v>
      </c>
      <c r="D5" s="4" t="s">
        <v>14</v>
      </c>
      <c r="E5" s="5">
        <f t="shared" ca="1" si="0"/>
        <v>28</v>
      </c>
      <c r="F5" s="4" t="s">
        <v>35</v>
      </c>
      <c r="H5" s="7" t="s">
        <v>2</v>
      </c>
      <c r="I5" s="4"/>
      <c r="K5" s="7" t="s">
        <v>2</v>
      </c>
      <c r="L5" s="4"/>
    </row>
    <row r="6" spans="1:12">
      <c r="A6" s="4">
        <v>1005</v>
      </c>
      <c r="B6" s="5" t="s">
        <v>15</v>
      </c>
      <c r="C6" s="5" t="s">
        <v>16</v>
      </c>
      <c r="D6" s="4" t="s">
        <v>14</v>
      </c>
      <c r="E6" s="5">
        <f t="shared" ca="1" si="0"/>
        <v>12</v>
      </c>
      <c r="F6" s="4" t="s">
        <v>36</v>
      </c>
      <c r="H6" s="7" t="s">
        <v>4</v>
      </c>
      <c r="I6" s="4"/>
      <c r="K6" s="7" t="s">
        <v>4</v>
      </c>
      <c r="L6" s="4"/>
    </row>
    <row r="7" spans="1:12">
      <c r="A7" s="4">
        <v>1006</v>
      </c>
      <c r="B7" s="5" t="s">
        <v>17</v>
      </c>
      <c r="C7" s="5" t="s">
        <v>18</v>
      </c>
      <c r="D7" s="4" t="s">
        <v>12</v>
      </c>
      <c r="E7" s="5">
        <f t="shared" ca="1" si="0"/>
        <v>27</v>
      </c>
      <c r="F7" s="4" t="s">
        <v>37</v>
      </c>
    </row>
    <row r="8" spans="1:12">
      <c r="A8" s="4">
        <v>1007</v>
      </c>
      <c r="B8" s="5" t="s">
        <v>19</v>
      </c>
      <c r="C8" s="5" t="s">
        <v>20</v>
      </c>
      <c r="D8" s="4" t="s">
        <v>9</v>
      </c>
      <c r="E8" s="5">
        <f t="shared" ca="1" si="0"/>
        <v>28</v>
      </c>
      <c r="F8" s="4" t="s">
        <v>38</v>
      </c>
    </row>
    <row r="9" spans="1:12">
      <c r="A9" s="4">
        <v>1008</v>
      </c>
      <c r="B9" s="5" t="s">
        <v>21</v>
      </c>
      <c r="C9" s="5" t="s">
        <v>20</v>
      </c>
      <c r="D9" s="4" t="s">
        <v>9</v>
      </c>
      <c r="E9" s="5">
        <f t="shared" ca="1" si="0"/>
        <v>22</v>
      </c>
      <c r="F9" s="4" t="s">
        <v>39</v>
      </c>
    </row>
    <row r="10" spans="1:12">
      <c r="A10" s="4">
        <v>1009</v>
      </c>
      <c r="B10" s="5" t="s">
        <v>22</v>
      </c>
      <c r="C10" s="5" t="s">
        <v>18</v>
      </c>
      <c r="D10" s="4" t="s">
        <v>12</v>
      </c>
      <c r="E10" s="5">
        <f t="shared" ca="1" si="0"/>
        <v>13</v>
      </c>
      <c r="F10" s="4" t="s">
        <v>40</v>
      </c>
    </row>
    <row r="11" spans="1:12">
      <c r="A11" s="4">
        <v>1010</v>
      </c>
      <c r="B11" s="5" t="s">
        <v>23</v>
      </c>
      <c r="C11" s="5" t="s">
        <v>16</v>
      </c>
      <c r="D11" s="4" t="s">
        <v>12</v>
      </c>
      <c r="E11" s="5">
        <f t="shared" ca="1" si="0"/>
        <v>25</v>
      </c>
      <c r="F11" s="4" t="s">
        <v>41</v>
      </c>
    </row>
  </sheetData>
  <mergeCells count="2">
    <mergeCell ref="H1:I1"/>
    <mergeCell ref="K1:L1"/>
  </mergeCells>
  <pageMargins left="0.7" right="0.7" top="0.75" bottom="0.75" header="0.3" footer="0.3"/>
  <pageSetup paperSize="120" orientation="portrait" horizontalDpi="203" verticalDpi="20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1"/>
  <sheetViews>
    <sheetView workbookViewId="0">
      <selection activeCell="H2" sqref="H2"/>
    </sheetView>
  </sheetViews>
  <sheetFormatPr defaultRowHeight="15"/>
  <cols>
    <col min="7" max="7" width="10.140625" bestFit="1" customWidth="1"/>
  </cols>
  <sheetData>
    <row r="1" spans="1:8">
      <c r="A1" s="3" t="s">
        <v>1</v>
      </c>
      <c r="B1" s="7" t="s">
        <v>3</v>
      </c>
      <c r="C1" s="7" t="s">
        <v>2</v>
      </c>
      <c r="D1" s="7" t="s">
        <v>4</v>
      </c>
      <c r="E1" s="7" t="s">
        <v>31</v>
      </c>
      <c r="G1" s="25" t="s">
        <v>48</v>
      </c>
      <c r="H1" s="25"/>
    </row>
    <row r="2" spans="1:8">
      <c r="A2" s="1" t="s">
        <v>5</v>
      </c>
      <c r="B2" s="5" t="s">
        <v>7</v>
      </c>
      <c r="C2" s="5" t="s">
        <v>6</v>
      </c>
      <c r="D2" s="5">
        <f ca="1">RANDBETWEEN(10,30)</f>
        <v>27</v>
      </c>
      <c r="E2" s="4" t="s">
        <v>32</v>
      </c>
      <c r="G2" s="7" t="s">
        <v>31</v>
      </c>
      <c r="H2" s="4"/>
    </row>
    <row r="3" spans="1:8">
      <c r="A3" s="1" t="s">
        <v>8</v>
      </c>
      <c r="B3" s="5" t="s">
        <v>10</v>
      </c>
      <c r="C3" s="4" t="s">
        <v>9</v>
      </c>
      <c r="D3" s="5">
        <f t="shared" ref="D3:D11" ca="1" si="0">RANDBETWEEN(10,30)</f>
        <v>24</v>
      </c>
      <c r="E3" s="4" t="s">
        <v>33</v>
      </c>
      <c r="G3" s="7" t="s">
        <v>1</v>
      </c>
      <c r="H3" s="4"/>
    </row>
    <row r="4" spans="1:8">
      <c r="A4" s="1" t="s">
        <v>11</v>
      </c>
      <c r="B4" s="5" t="s">
        <v>7</v>
      </c>
      <c r="C4" s="4" t="s">
        <v>12</v>
      </c>
      <c r="D4" s="5">
        <f t="shared" ca="1" si="0"/>
        <v>13</v>
      </c>
      <c r="E4" s="4" t="s">
        <v>34</v>
      </c>
      <c r="G4" s="7" t="s">
        <v>3</v>
      </c>
      <c r="H4" s="4"/>
    </row>
    <row r="5" spans="1:8">
      <c r="A5" s="1" t="s">
        <v>13</v>
      </c>
      <c r="B5" s="5" t="s">
        <v>10</v>
      </c>
      <c r="C5" s="4" t="s">
        <v>14</v>
      </c>
      <c r="D5" s="5">
        <f t="shared" ca="1" si="0"/>
        <v>24</v>
      </c>
      <c r="E5" s="4" t="s">
        <v>35</v>
      </c>
      <c r="G5" s="7" t="s">
        <v>2</v>
      </c>
      <c r="H5" s="4"/>
    </row>
    <row r="6" spans="1:8">
      <c r="A6" s="1" t="s">
        <v>15</v>
      </c>
      <c r="B6" s="5" t="s">
        <v>16</v>
      </c>
      <c r="C6" s="4" t="s">
        <v>14</v>
      </c>
      <c r="D6" s="5">
        <f t="shared" ca="1" si="0"/>
        <v>29</v>
      </c>
      <c r="E6" s="4" t="s">
        <v>36</v>
      </c>
      <c r="G6" s="7" t="s">
        <v>4</v>
      </c>
      <c r="H6" s="4"/>
    </row>
    <row r="7" spans="1:8">
      <c r="A7" s="1" t="s">
        <v>17</v>
      </c>
      <c r="B7" s="5" t="s">
        <v>18</v>
      </c>
      <c r="C7" s="4" t="s">
        <v>12</v>
      </c>
      <c r="D7" s="5">
        <f t="shared" ca="1" si="0"/>
        <v>22</v>
      </c>
      <c r="E7" s="4" t="s">
        <v>37</v>
      </c>
    </row>
    <row r="8" spans="1:8">
      <c r="A8" s="1" t="s">
        <v>19</v>
      </c>
      <c r="B8" s="5" t="s">
        <v>20</v>
      </c>
      <c r="C8" s="4" t="s">
        <v>9</v>
      </c>
      <c r="D8" s="5">
        <f t="shared" ca="1" si="0"/>
        <v>21</v>
      </c>
      <c r="E8" s="4" t="s">
        <v>38</v>
      </c>
    </row>
    <row r="9" spans="1:8">
      <c r="A9" s="1" t="s">
        <v>21</v>
      </c>
      <c r="B9" s="5" t="s">
        <v>20</v>
      </c>
      <c r="C9" s="4" t="s">
        <v>9</v>
      </c>
      <c r="D9" s="5">
        <f t="shared" ca="1" si="0"/>
        <v>14</v>
      </c>
      <c r="E9" s="4" t="s">
        <v>39</v>
      </c>
    </row>
    <row r="10" spans="1:8">
      <c r="A10" s="1" t="s">
        <v>22</v>
      </c>
      <c r="B10" s="5" t="s">
        <v>18</v>
      </c>
      <c r="C10" s="4" t="s">
        <v>12</v>
      </c>
      <c r="D10" s="5">
        <f t="shared" ca="1" si="0"/>
        <v>22</v>
      </c>
      <c r="E10" s="4" t="s">
        <v>40</v>
      </c>
    </row>
    <row r="11" spans="1:8">
      <c r="A11" s="1" t="s">
        <v>23</v>
      </c>
      <c r="B11" s="5" t="s">
        <v>16</v>
      </c>
      <c r="C11" s="4" t="s">
        <v>12</v>
      </c>
      <c r="D11" s="5">
        <f t="shared" ca="1" si="0"/>
        <v>25</v>
      </c>
      <c r="E11" s="4" t="s">
        <v>41</v>
      </c>
    </row>
  </sheetData>
  <mergeCells count="1">
    <mergeCell ref="G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7"/>
  <sheetViews>
    <sheetView workbookViewId="0">
      <selection activeCell="B1" sqref="B1"/>
    </sheetView>
  </sheetViews>
  <sheetFormatPr defaultRowHeight="15"/>
  <cols>
    <col min="1" max="1" width="9.85546875" bestFit="1" customWidth="1"/>
  </cols>
  <sheetData>
    <row r="1" spans="1:2">
      <c r="A1" s="14" t="s">
        <v>3</v>
      </c>
      <c r="B1" s="16" t="s">
        <v>49</v>
      </c>
    </row>
    <row r="2" spans="1:2">
      <c r="A2" s="4" t="s">
        <v>16</v>
      </c>
      <c r="B2" s="4"/>
    </row>
    <row r="3" spans="1:2">
      <c r="A3" s="4" t="s">
        <v>18</v>
      </c>
      <c r="B3" s="4"/>
    </row>
    <row r="4" spans="1:2">
      <c r="A4" s="4" t="s">
        <v>50</v>
      </c>
      <c r="B4" s="4"/>
    </row>
    <row r="5" spans="1:2">
      <c r="A5" s="4" t="s">
        <v>51</v>
      </c>
      <c r="B5" s="4"/>
    </row>
    <row r="6" spans="1:2">
      <c r="A6" s="4" t="s">
        <v>52</v>
      </c>
      <c r="B6" s="4"/>
    </row>
    <row r="7" spans="1:2">
      <c r="A7" s="4" t="s">
        <v>53</v>
      </c>
      <c r="B7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0000000}">
          <x14:formula1>
            <xm:f>BackupData!$B$1:$M$1</xm:f>
          </x14:formula1>
          <xm:sqref>B1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7"/>
  <sheetViews>
    <sheetView workbookViewId="0">
      <selection activeCell="H21" sqref="H21"/>
    </sheetView>
  </sheetViews>
  <sheetFormatPr defaultRowHeight="15"/>
  <cols>
    <col min="1" max="1" width="9.85546875" bestFit="1" customWidth="1"/>
  </cols>
  <sheetData>
    <row r="1" spans="1:13">
      <c r="A1" s="14" t="s">
        <v>3</v>
      </c>
      <c r="B1" s="15" t="s">
        <v>49</v>
      </c>
      <c r="C1" s="15" t="s">
        <v>54</v>
      </c>
      <c r="D1" s="15" t="s">
        <v>55</v>
      </c>
      <c r="E1" s="15" t="s">
        <v>56</v>
      </c>
      <c r="F1" s="15" t="s">
        <v>57</v>
      </c>
      <c r="G1" s="15" t="s">
        <v>58</v>
      </c>
      <c r="H1" s="15" t="s">
        <v>59</v>
      </c>
      <c r="I1" s="15" t="s">
        <v>60</v>
      </c>
      <c r="J1" s="15" t="s">
        <v>61</v>
      </c>
      <c r="K1" s="15" t="s">
        <v>62</v>
      </c>
      <c r="L1" s="15" t="s">
        <v>63</v>
      </c>
      <c r="M1" s="15" t="s">
        <v>64</v>
      </c>
    </row>
    <row r="2" spans="1:13">
      <c r="A2" s="4" t="s">
        <v>16</v>
      </c>
      <c r="B2" s="4">
        <v>153</v>
      </c>
      <c r="C2" s="4">
        <v>200</v>
      </c>
      <c r="D2" s="4">
        <v>163</v>
      </c>
      <c r="E2" s="4">
        <v>182</v>
      </c>
      <c r="F2" s="4">
        <v>152</v>
      </c>
      <c r="G2" s="4">
        <v>191</v>
      </c>
      <c r="H2" s="4">
        <v>159</v>
      </c>
      <c r="I2" s="4">
        <v>200</v>
      </c>
      <c r="J2" s="4">
        <v>136</v>
      </c>
      <c r="K2" s="4">
        <v>175</v>
      </c>
      <c r="L2" s="4">
        <v>148</v>
      </c>
      <c r="M2" s="4">
        <v>134</v>
      </c>
    </row>
    <row r="3" spans="1:13">
      <c r="A3" s="4" t="s">
        <v>18</v>
      </c>
      <c r="B3" s="4">
        <v>145</v>
      </c>
      <c r="C3" s="4">
        <v>112</v>
      </c>
      <c r="D3" s="4">
        <v>128</v>
      </c>
      <c r="E3" s="4">
        <v>180</v>
      </c>
      <c r="F3" s="4">
        <v>162</v>
      </c>
      <c r="G3" s="4">
        <v>158</v>
      </c>
      <c r="H3" s="4">
        <v>168</v>
      </c>
      <c r="I3" s="4">
        <v>105</v>
      </c>
      <c r="J3" s="4">
        <v>133</v>
      </c>
      <c r="K3" s="4">
        <v>187</v>
      </c>
      <c r="L3" s="4">
        <v>137</v>
      </c>
      <c r="M3" s="4">
        <v>176</v>
      </c>
    </row>
    <row r="4" spans="1:13">
      <c r="A4" s="4" t="s">
        <v>50</v>
      </c>
      <c r="B4" s="4">
        <v>120</v>
      </c>
      <c r="C4" s="4">
        <v>152</v>
      </c>
      <c r="D4" s="4">
        <v>165</v>
      </c>
      <c r="E4" s="4">
        <v>189</v>
      </c>
      <c r="F4" s="4">
        <v>126</v>
      </c>
      <c r="G4" s="4">
        <v>135</v>
      </c>
      <c r="H4" s="4">
        <v>155</v>
      </c>
      <c r="I4" s="4">
        <v>188</v>
      </c>
      <c r="J4" s="4">
        <v>152</v>
      </c>
      <c r="K4" s="4">
        <v>192</v>
      </c>
      <c r="L4" s="4">
        <v>145</v>
      </c>
      <c r="M4" s="4">
        <v>124</v>
      </c>
    </row>
    <row r="5" spans="1:13">
      <c r="A5" s="4" t="s">
        <v>51</v>
      </c>
      <c r="B5" s="4">
        <v>108</v>
      </c>
      <c r="C5" s="4">
        <v>112</v>
      </c>
      <c r="D5" s="4">
        <v>154</v>
      </c>
      <c r="E5" s="4">
        <v>187</v>
      </c>
      <c r="F5" s="4">
        <v>173</v>
      </c>
      <c r="G5" s="4">
        <v>193</v>
      </c>
      <c r="H5" s="4">
        <v>189</v>
      </c>
      <c r="I5" s="4">
        <v>114</v>
      </c>
      <c r="J5" s="4">
        <v>134</v>
      </c>
      <c r="K5" s="4">
        <v>150</v>
      </c>
      <c r="L5" s="4">
        <v>146</v>
      </c>
      <c r="M5" s="4">
        <v>151</v>
      </c>
    </row>
    <row r="6" spans="1:13">
      <c r="A6" s="4" t="s">
        <v>52</v>
      </c>
      <c r="B6" s="4">
        <v>180</v>
      </c>
      <c r="C6" s="4">
        <v>116</v>
      </c>
      <c r="D6" s="4">
        <v>190</v>
      </c>
      <c r="E6" s="4">
        <v>103</v>
      </c>
      <c r="F6" s="4">
        <v>173</v>
      </c>
      <c r="G6" s="4">
        <v>131</v>
      </c>
      <c r="H6" s="4">
        <v>101</v>
      </c>
      <c r="I6" s="4">
        <v>176</v>
      </c>
      <c r="J6" s="4">
        <v>138</v>
      </c>
      <c r="K6" s="4">
        <v>149</v>
      </c>
      <c r="L6" s="4">
        <v>113</v>
      </c>
      <c r="M6" s="4">
        <v>117</v>
      </c>
    </row>
    <row r="7" spans="1:13">
      <c r="A7" s="4" t="s">
        <v>53</v>
      </c>
      <c r="B7" s="4">
        <v>169</v>
      </c>
      <c r="C7" s="4">
        <v>110</v>
      </c>
      <c r="D7" s="4">
        <v>119</v>
      </c>
      <c r="E7" s="4">
        <v>159</v>
      </c>
      <c r="F7" s="4">
        <v>148</v>
      </c>
      <c r="G7" s="4">
        <v>144</v>
      </c>
      <c r="H7" s="4">
        <v>168</v>
      </c>
      <c r="I7" s="4">
        <v>193</v>
      </c>
      <c r="J7" s="4">
        <v>136</v>
      </c>
      <c r="K7" s="4">
        <v>118</v>
      </c>
      <c r="L7" s="4">
        <v>189</v>
      </c>
      <c r="M7" s="4">
        <v>168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3"/>
  <sheetViews>
    <sheetView workbookViewId="0">
      <selection activeCell="I9" sqref="I9"/>
    </sheetView>
  </sheetViews>
  <sheetFormatPr defaultRowHeight="15"/>
  <cols>
    <col min="1" max="1" width="23.7109375" bestFit="1" customWidth="1"/>
    <col min="2" max="3" width="10.140625" bestFit="1" customWidth="1"/>
    <col min="7" max="7" width="11.7109375" bestFit="1" customWidth="1"/>
    <col min="8" max="8" width="23.7109375" bestFit="1" customWidth="1"/>
    <col min="13" max="13" width="9.5703125" bestFit="1" customWidth="1"/>
  </cols>
  <sheetData>
    <row r="1" spans="1:13">
      <c r="A1" s="17" t="s">
        <v>3</v>
      </c>
      <c r="B1" s="17" t="s">
        <v>65</v>
      </c>
      <c r="C1" s="17" t="s">
        <v>31</v>
      </c>
      <c r="D1" s="17" t="s">
        <v>66</v>
      </c>
      <c r="G1" s="19" t="s">
        <v>3</v>
      </c>
      <c r="H1" s="19" t="s">
        <v>65</v>
      </c>
      <c r="I1" s="19" t="s">
        <v>31</v>
      </c>
      <c r="J1" s="19" t="s">
        <v>66</v>
      </c>
    </row>
    <row r="2" spans="1:13">
      <c r="A2" s="18" t="s">
        <v>67</v>
      </c>
      <c r="B2" t="s">
        <v>68</v>
      </c>
      <c r="C2" t="s">
        <v>69</v>
      </c>
      <c r="D2">
        <v>4479</v>
      </c>
      <c r="G2" s="20">
        <v>1100012311</v>
      </c>
      <c r="H2" s="4" t="str">
        <f>VLOOKUP(IF(FIND($G2,$A2,1)&gt;0,$A2),$A$1:$D$13,MATCH(H$1,$A$1:$D$1,0),0)</f>
        <v>Delhi</v>
      </c>
      <c r="I2" s="4" t="str">
        <f t="shared" ref="I2:J13" si="0">VLOOKUP(IF(FIND($G2,$A2,1)&gt;0,$A2),$A$1:$D$13,MATCH(I$1,$A$1:$D$1,0),0)</f>
        <v>1100-234</v>
      </c>
      <c r="J2" s="4">
        <f t="shared" si="0"/>
        <v>4479</v>
      </c>
      <c r="M2" s="27"/>
    </row>
    <row r="3" spans="1:13">
      <c r="A3" s="18">
        <v>1100012312</v>
      </c>
      <c r="B3" t="s">
        <v>70</v>
      </c>
      <c r="C3" t="s">
        <v>71</v>
      </c>
      <c r="D3">
        <v>4210</v>
      </c>
      <c r="G3" s="20">
        <v>1100012312</v>
      </c>
      <c r="H3" s="4" t="str">
        <f t="shared" ref="H3:H13" si="1">VLOOKUP(IF(FIND($G3,$A3,1)&gt;0,$A3),$A$1:$D$13,MATCH(H$1,$A$1:$D$1,0),0)</f>
        <v>Mumbai</v>
      </c>
      <c r="I3" s="4" t="str">
        <f t="shared" si="0"/>
        <v>1100-235</v>
      </c>
      <c r="J3" s="4">
        <f t="shared" si="0"/>
        <v>4210</v>
      </c>
    </row>
    <row r="4" spans="1:13">
      <c r="A4" s="18" t="s">
        <v>72</v>
      </c>
      <c r="B4" t="s">
        <v>73</v>
      </c>
      <c r="C4" t="s">
        <v>74</v>
      </c>
      <c r="D4">
        <v>3660</v>
      </c>
      <c r="G4" s="20">
        <v>1100012313</v>
      </c>
      <c r="H4" s="4" t="str">
        <f t="shared" si="1"/>
        <v>Bangluru</v>
      </c>
      <c r="I4" s="4" t="str">
        <f t="shared" si="0"/>
        <v>1100-236</v>
      </c>
      <c r="J4" s="4">
        <f t="shared" si="0"/>
        <v>3660</v>
      </c>
    </row>
    <row r="5" spans="1:13">
      <c r="A5" s="18">
        <v>1100012314</v>
      </c>
      <c r="B5" t="s">
        <v>75</v>
      </c>
      <c r="C5" t="s">
        <v>76</v>
      </c>
      <c r="D5">
        <v>3992</v>
      </c>
      <c r="G5" s="20">
        <v>1100012314</v>
      </c>
      <c r="H5" s="4" t="str">
        <f t="shared" si="1"/>
        <v>Bhopal</v>
      </c>
      <c r="I5" s="4" t="str">
        <f t="shared" si="0"/>
        <v>1100-324</v>
      </c>
      <c r="J5" s="4">
        <f t="shared" si="0"/>
        <v>3992</v>
      </c>
    </row>
    <row r="6" spans="1:13">
      <c r="A6" s="18">
        <v>1100012315</v>
      </c>
      <c r="B6" t="s">
        <v>68</v>
      </c>
      <c r="C6" t="s">
        <v>77</v>
      </c>
      <c r="D6">
        <v>4331</v>
      </c>
      <c r="G6" s="20">
        <v>1100012315</v>
      </c>
      <c r="H6" s="4" t="str">
        <f t="shared" si="1"/>
        <v>Delhi</v>
      </c>
      <c r="I6" s="4" t="str">
        <f t="shared" si="0"/>
        <v>1100-453</v>
      </c>
      <c r="J6" s="4">
        <f t="shared" si="0"/>
        <v>4331</v>
      </c>
    </row>
    <row r="7" spans="1:13">
      <c r="A7" s="18" t="s">
        <v>78</v>
      </c>
      <c r="B7" t="s">
        <v>70</v>
      </c>
      <c r="C7" t="s">
        <v>79</v>
      </c>
      <c r="D7">
        <v>4191</v>
      </c>
      <c r="G7" s="20">
        <v>1100012316</v>
      </c>
      <c r="H7" s="4" t="str">
        <f t="shared" si="1"/>
        <v>Mumbai</v>
      </c>
      <c r="I7" s="4" t="str">
        <f t="shared" si="0"/>
        <v>1100-568</v>
      </c>
      <c r="J7" s="4">
        <f t="shared" si="0"/>
        <v>4191</v>
      </c>
    </row>
    <row r="8" spans="1:13">
      <c r="A8" s="18" t="s">
        <v>80</v>
      </c>
      <c r="B8" t="s">
        <v>73</v>
      </c>
      <c r="C8" t="s">
        <v>81</v>
      </c>
      <c r="D8">
        <v>3796</v>
      </c>
      <c r="G8" s="20">
        <v>1100012317</v>
      </c>
      <c r="H8" s="4" t="str">
        <f t="shared" si="1"/>
        <v>Bangluru</v>
      </c>
      <c r="I8" s="4" t="str">
        <f t="shared" si="0"/>
        <v>1100-230</v>
      </c>
      <c r="J8" s="4">
        <f t="shared" si="0"/>
        <v>3796</v>
      </c>
    </row>
    <row r="9" spans="1:13">
      <c r="A9" s="18">
        <v>1100012318</v>
      </c>
      <c r="B9" t="s">
        <v>75</v>
      </c>
      <c r="C9" t="s">
        <v>82</v>
      </c>
      <c r="D9">
        <v>4148</v>
      </c>
      <c r="G9" s="20">
        <v>1100012318</v>
      </c>
      <c r="H9" s="4" t="str">
        <f t="shared" si="1"/>
        <v>Bhopal</v>
      </c>
      <c r="I9" s="4" t="str">
        <f t="shared" si="0"/>
        <v>1100-987</v>
      </c>
      <c r="J9" s="4">
        <f t="shared" si="0"/>
        <v>4148</v>
      </c>
    </row>
    <row r="10" spans="1:13">
      <c r="A10" s="18">
        <v>1100012319</v>
      </c>
      <c r="B10" t="s">
        <v>75</v>
      </c>
      <c r="C10" t="s">
        <v>83</v>
      </c>
      <c r="D10">
        <v>4544</v>
      </c>
      <c r="G10" s="20">
        <v>1100012319</v>
      </c>
      <c r="H10" s="4" t="str">
        <f t="shared" si="1"/>
        <v>Bhopal</v>
      </c>
      <c r="I10" s="4" t="str">
        <f t="shared" si="0"/>
        <v>1100-345</v>
      </c>
      <c r="J10" s="4">
        <f t="shared" si="0"/>
        <v>4544</v>
      </c>
    </row>
    <row r="11" spans="1:13">
      <c r="A11" s="18" t="s">
        <v>84</v>
      </c>
      <c r="B11" t="s">
        <v>70</v>
      </c>
      <c r="C11" t="s">
        <v>85</v>
      </c>
      <c r="D11">
        <v>4344</v>
      </c>
      <c r="G11" s="20">
        <v>1100012320</v>
      </c>
      <c r="H11" s="4" t="str">
        <f t="shared" si="1"/>
        <v>Mumbai</v>
      </c>
      <c r="I11" s="4" t="str">
        <f t="shared" si="0"/>
        <v>1100-090</v>
      </c>
      <c r="J11" s="4">
        <f t="shared" si="0"/>
        <v>4344</v>
      </c>
    </row>
    <row r="12" spans="1:13">
      <c r="A12" s="18" t="s">
        <v>86</v>
      </c>
      <c r="B12" t="s">
        <v>87</v>
      </c>
      <c r="C12" t="s">
        <v>88</v>
      </c>
      <c r="D12">
        <v>3696</v>
      </c>
      <c r="G12" s="20">
        <v>1100012321</v>
      </c>
      <c r="H12" s="4" t="str">
        <f t="shared" si="1"/>
        <v>Ghaziabad</v>
      </c>
      <c r="I12" s="4" t="str">
        <f t="shared" si="0"/>
        <v>1100-212</v>
      </c>
      <c r="J12" s="4">
        <f t="shared" si="0"/>
        <v>3696</v>
      </c>
    </row>
    <row r="13" spans="1:13">
      <c r="A13" s="18" t="s">
        <v>89</v>
      </c>
      <c r="B13" t="s">
        <v>87</v>
      </c>
      <c r="C13" t="s">
        <v>90</v>
      </c>
      <c r="D13">
        <v>4260</v>
      </c>
      <c r="G13" s="20">
        <v>1100012322</v>
      </c>
      <c r="H13" s="4" t="str">
        <f t="shared" si="1"/>
        <v>Ghaziabad</v>
      </c>
      <c r="I13" s="4" t="str">
        <f t="shared" si="0"/>
        <v>1100-467</v>
      </c>
      <c r="J13" s="4">
        <f t="shared" si="0"/>
        <v>4260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8"/>
  <sheetViews>
    <sheetView topLeftCell="B1" workbookViewId="0">
      <selection activeCell="I2" sqref="I2"/>
    </sheetView>
  </sheetViews>
  <sheetFormatPr defaultRowHeight="15"/>
  <cols>
    <col min="1" max="1" width="15.7109375" hidden="1" customWidth="1"/>
    <col min="2" max="2" width="11.85546875" bestFit="1" customWidth="1"/>
    <col min="3" max="3" width="7.140625" bestFit="1" customWidth="1"/>
    <col min="4" max="4" width="9.42578125" bestFit="1" customWidth="1"/>
    <col min="7" max="7" width="14" customWidth="1"/>
    <col min="8" max="8" width="10.5703125" customWidth="1"/>
  </cols>
  <sheetData>
    <row r="1" spans="1:9">
      <c r="B1" s="21" t="s">
        <v>91</v>
      </c>
      <c r="C1" s="21" t="s">
        <v>92</v>
      </c>
      <c r="D1" s="21" t="s">
        <v>93</v>
      </c>
      <c r="G1" s="21" t="s">
        <v>91</v>
      </c>
      <c r="H1" s="21" t="s">
        <v>92</v>
      </c>
      <c r="I1" s="21" t="s">
        <v>93</v>
      </c>
    </row>
    <row r="2" spans="1:9">
      <c r="A2" t="str">
        <f>TRIM(B2)&amp;TRIM(C2)</f>
        <v>Ajay SharmaTally</v>
      </c>
      <c r="B2" t="s">
        <v>94</v>
      </c>
      <c r="C2" t="s">
        <v>95</v>
      </c>
      <c r="D2">
        <v>1500</v>
      </c>
      <c r="G2" t="s">
        <v>96</v>
      </c>
      <c r="H2" t="s">
        <v>97</v>
      </c>
      <c r="I2">
        <f>VLOOKUP(G2&amp;H2,$A$2:$D$8,4)</f>
        <v>4500</v>
      </c>
    </row>
    <row r="3" spans="1:9">
      <c r="A3" t="str">
        <f t="shared" ref="A3:A8" si="0">TRIM(B3)&amp;TRIM(C3)</f>
        <v>Vikas SinghExcel</v>
      </c>
      <c r="B3" t="s">
        <v>96</v>
      </c>
      <c r="C3" t="s">
        <v>97</v>
      </c>
      <c r="D3">
        <v>3500</v>
      </c>
    </row>
    <row r="4" spans="1:9">
      <c r="A4" t="str">
        <f t="shared" si="0"/>
        <v>Raj JadhavTally</v>
      </c>
      <c r="B4" t="s">
        <v>98</v>
      </c>
      <c r="C4" t="s">
        <v>95</v>
      </c>
      <c r="D4">
        <v>3500</v>
      </c>
    </row>
    <row r="5" spans="1:9">
      <c r="A5" t="str">
        <f t="shared" si="0"/>
        <v>Anil KumarExcel</v>
      </c>
      <c r="B5" t="s">
        <v>99</v>
      </c>
      <c r="C5" t="s">
        <v>97</v>
      </c>
      <c r="D5">
        <v>1500</v>
      </c>
    </row>
    <row r="6" spans="1:9">
      <c r="A6" t="str">
        <f t="shared" si="0"/>
        <v>Vikas SinghTally</v>
      </c>
      <c r="B6" t="s">
        <v>96</v>
      </c>
      <c r="C6" t="s">
        <v>95</v>
      </c>
      <c r="D6">
        <v>2500</v>
      </c>
    </row>
    <row r="7" spans="1:9">
      <c r="A7" t="str">
        <f t="shared" si="0"/>
        <v>Raj JadhavExcel</v>
      </c>
      <c r="B7" t="s">
        <v>98</v>
      </c>
      <c r="C7" t="s">
        <v>97</v>
      </c>
      <c r="D7">
        <v>6500</v>
      </c>
    </row>
    <row r="8" spans="1:9">
      <c r="A8" t="str">
        <f t="shared" si="0"/>
        <v>Anil KumarTally</v>
      </c>
      <c r="B8" t="s">
        <v>99</v>
      </c>
      <c r="C8" t="s">
        <v>95</v>
      </c>
      <c r="D8">
        <v>4500</v>
      </c>
    </row>
  </sheetData>
  <dataValidations count="2">
    <dataValidation type="list" allowBlank="1" showInputMessage="1" showErrorMessage="1" sqref="H2" xr:uid="{00000000-0002-0000-1000-000000000000}">
      <formula1>"Tally,Excel"</formula1>
    </dataValidation>
    <dataValidation type="list" allowBlank="1" showInputMessage="1" showErrorMessage="1" sqref="G2" xr:uid="{00000000-0002-0000-1000-000001000000}">
      <formula1>$B$2:$B$4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selection activeCell="I10" sqref="I10"/>
    </sheetView>
  </sheetViews>
  <sheetFormatPr defaultRowHeight="15"/>
  <cols>
    <col min="1" max="2" width="10.5703125" bestFit="1" customWidth="1"/>
    <col min="3" max="3" width="11.140625" bestFit="1" customWidth="1"/>
    <col min="7" max="7" width="10.5703125" bestFit="1" customWidth="1"/>
    <col min="8" max="9" width="11.140625" bestFit="1" customWidth="1"/>
  </cols>
  <sheetData>
    <row r="1" spans="1:9">
      <c r="A1" s="22" t="s">
        <v>100</v>
      </c>
      <c r="B1" s="22" t="s">
        <v>101</v>
      </c>
      <c r="C1" s="22" t="s">
        <v>102</v>
      </c>
      <c r="E1" s="26" t="s">
        <v>103</v>
      </c>
      <c r="F1" s="26"/>
      <c r="G1" s="26"/>
      <c r="H1" s="26"/>
      <c r="I1" s="26"/>
    </row>
    <row r="2" spans="1:9">
      <c r="A2" s="4" t="s">
        <v>104</v>
      </c>
      <c r="B2" s="4" t="s">
        <v>105</v>
      </c>
      <c r="C2" s="4">
        <v>21138</v>
      </c>
    </row>
    <row r="3" spans="1:9">
      <c r="A3" s="4" t="s">
        <v>104</v>
      </c>
      <c r="B3" s="4" t="s">
        <v>106</v>
      </c>
      <c r="C3" s="4">
        <v>18717</v>
      </c>
      <c r="E3" s="23" t="s">
        <v>107</v>
      </c>
      <c r="G3" s="4" t="s">
        <v>91</v>
      </c>
      <c r="H3" s="4" t="s">
        <v>102</v>
      </c>
    </row>
    <row r="4" spans="1:9">
      <c r="A4" s="4" t="s">
        <v>104</v>
      </c>
      <c r="B4" s="4" t="s">
        <v>108</v>
      </c>
      <c r="C4" s="4">
        <v>14935</v>
      </c>
      <c r="G4" s="4" t="s">
        <v>109</v>
      </c>
      <c r="H4" s="4" cm="1">
        <f t="array" ref="H4">VLOOKUP(G4,CHOOSE({1,2},A2:A15&amp;" "&amp;B2:B15,C2:C15),2,0)</f>
        <v>18717</v>
      </c>
    </row>
    <row r="5" spans="1:9">
      <c r="A5" s="4" t="s">
        <v>104</v>
      </c>
      <c r="B5" s="4" t="s">
        <v>110</v>
      </c>
      <c r="C5" s="4">
        <v>12272</v>
      </c>
    </row>
    <row r="6" spans="1:9">
      <c r="A6" s="4" t="s">
        <v>111</v>
      </c>
      <c r="B6" s="4" t="s">
        <v>112</v>
      </c>
      <c r="C6" s="4">
        <v>17170</v>
      </c>
      <c r="E6" s="23" t="s">
        <v>113</v>
      </c>
      <c r="G6" s="4" t="s">
        <v>91</v>
      </c>
      <c r="H6" s="4" t="s">
        <v>102</v>
      </c>
    </row>
    <row r="7" spans="1:9">
      <c r="A7" s="4" t="s">
        <v>111</v>
      </c>
      <c r="B7" s="4" t="s">
        <v>110</v>
      </c>
      <c r="C7" s="4">
        <v>15754</v>
      </c>
      <c r="G7" s="4" t="s">
        <v>114</v>
      </c>
      <c r="H7" s="4" cm="1">
        <f t="array" ref="H7">VLOOKUP(G7,CHOOSE({1,2},A1:A15&amp;B1:B15,C1:C15),2,0)</f>
        <v>19497</v>
      </c>
    </row>
    <row r="8" spans="1:9">
      <c r="A8" s="4" t="s">
        <v>111</v>
      </c>
      <c r="B8" s="4" t="s">
        <v>115</v>
      </c>
      <c r="C8" s="4">
        <v>25766</v>
      </c>
    </row>
    <row r="9" spans="1:9">
      <c r="A9" s="4" t="s">
        <v>111</v>
      </c>
      <c r="B9" s="4" t="s">
        <v>105</v>
      </c>
      <c r="C9" s="4">
        <v>25843</v>
      </c>
      <c r="E9" s="23" t="s">
        <v>116</v>
      </c>
      <c r="G9" s="22" t="s">
        <v>100</v>
      </c>
      <c r="H9" s="22" t="s">
        <v>101</v>
      </c>
      <c r="I9" s="22" t="s">
        <v>102</v>
      </c>
    </row>
    <row r="10" spans="1:9">
      <c r="A10" s="4" t="s">
        <v>117</v>
      </c>
      <c r="B10" s="4" t="s">
        <v>112</v>
      </c>
      <c r="C10" s="4">
        <v>24866</v>
      </c>
      <c r="G10" s="4" t="s">
        <v>104</v>
      </c>
      <c r="H10" s="4" t="s">
        <v>110</v>
      </c>
      <c r="I10" s="4"/>
    </row>
    <row r="11" spans="1:9">
      <c r="A11" s="4" t="s">
        <v>117</v>
      </c>
      <c r="B11" s="4" t="s">
        <v>110</v>
      </c>
      <c r="C11" s="4">
        <v>23181</v>
      </c>
    </row>
    <row r="12" spans="1:9">
      <c r="A12" s="4" t="s">
        <v>117</v>
      </c>
      <c r="B12" s="4" t="s">
        <v>115</v>
      </c>
      <c r="C12" s="4">
        <v>19497</v>
      </c>
    </row>
    <row r="13" spans="1:9">
      <c r="A13" s="4" t="s">
        <v>117</v>
      </c>
      <c r="B13" s="4" t="s">
        <v>105</v>
      </c>
      <c r="C13" s="4">
        <v>10493</v>
      </c>
    </row>
    <row r="14" spans="1:9">
      <c r="A14" s="4" t="s">
        <v>118</v>
      </c>
      <c r="B14" s="4" t="s">
        <v>119</v>
      </c>
      <c r="C14" s="4">
        <v>10493</v>
      </c>
    </row>
    <row r="15" spans="1:9">
      <c r="A15" s="4" t="s">
        <v>104</v>
      </c>
      <c r="B15" s="4" t="s">
        <v>120</v>
      </c>
      <c r="C15" s="4">
        <v>10493</v>
      </c>
    </row>
  </sheetData>
  <mergeCells count="1">
    <mergeCell ref="E1:I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pratigyavidyarthi</dc:creator>
  <cp:keywords/>
  <dc:description/>
  <cp:lastModifiedBy>Happy Sharma</cp:lastModifiedBy>
  <cp:revision/>
  <dcterms:created xsi:type="dcterms:W3CDTF">2025-01-06T10:24:45Z</dcterms:created>
  <dcterms:modified xsi:type="dcterms:W3CDTF">2025-05-31T11:45:18Z</dcterms:modified>
  <cp:category/>
  <cp:contentStatus/>
</cp:coreProperties>
</file>