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6"/>
  <workbookPr hidePivotFieldList="1" defaultThemeVersion="124226"/>
  <xr:revisionPtr revIDLastSave="0" documentId="11_39217583179CD3754EB7110B1FFA6221B733C48B" xr6:coauthVersionLast="47" xr6:coauthVersionMax="47" xr10:uidLastSave="{00000000-0000-0000-0000-000000000000}"/>
  <bookViews>
    <workbookView xWindow="240" yWindow="60" windowWidth="20115" windowHeight="8010" firstSheet="5" activeTab="5" xr2:uid="{00000000-000D-0000-FFFF-FFFF00000000}"/>
  </bookViews>
  <sheets>
    <sheet name="COUNTIF" sheetId="2" r:id="rId1"/>
    <sheet name="SUMIF" sheetId="1" r:id="rId2"/>
    <sheet name="COUNTIFS" sheetId="3" r:id="rId3"/>
    <sheet name="SUMIFS" sheetId="4" r:id="rId4"/>
    <sheet name="AVERAGEIF &amp; AVERAGEIFS" sheetId="5" r:id="rId5"/>
    <sheet name="Date functions" sheetId="19" r:id="rId6"/>
    <sheet name="MATCH &amp; INDEX" sheetId="6" r:id="rId7"/>
    <sheet name="SALARY SHEET" sheetId="7" r:id="rId8"/>
    <sheet name="ATTENDENCE TRACK" sheetId="8" r:id="rId9"/>
    <sheet name="SALARY SLIP" sheetId="9" r:id="rId10"/>
    <sheet name="vlookup(1)" sheetId="10" r:id="rId11"/>
    <sheet name="vlookup(2)" sheetId="11" r:id="rId12"/>
    <sheet name="Bank Account Detals" sheetId="17" r:id="rId13"/>
  </sheets>
  <calcPr calcId="144525" calcCompleted="0"/>
  <customWorkbookViews>
    <customWorkbookView name="disha - Personal View" guid="{D2E34B70-793B-4ED9-8524-A672A671A0FF}" mergeInterval="0" personalView="1" maximized="1" windowWidth="1121" windowHeight="542" activeSheetId="16"/>
  </customWorkbookViews>
  <pivotCaches>
    <pivotCache cacheId="2536" r:id="rId14"/>
    <pivotCache cacheId="2537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9" l="1"/>
  <c r="F16" i="19" s="1"/>
  <c r="E13" i="19"/>
  <c r="F8" i="19"/>
  <c r="F7" i="19"/>
  <c r="H8" i="19"/>
  <c r="H7" i="19"/>
  <c r="F6" i="19"/>
  <c r="I5" i="19"/>
  <c r="B27" i="19"/>
  <c r="B26" i="19"/>
  <c r="B20" i="19"/>
  <c r="B19" i="19"/>
  <c r="B13" i="19"/>
  <c r="B12" i="19"/>
  <c r="C7" i="19"/>
  <c r="C6" i="19"/>
  <c r="C5" i="19"/>
  <c r="C4" i="19"/>
  <c r="C3" i="19"/>
  <c r="C2" i="19"/>
  <c r="F22" i="19" l="1"/>
  <c r="F21" i="19"/>
  <c r="F18" i="19"/>
  <c r="F20" i="19"/>
  <c r="F17" i="19"/>
  <c r="D17" i="9"/>
  <c r="D14" i="9"/>
  <c r="D13" i="9"/>
  <c r="B17" i="9"/>
  <c r="B16" i="9"/>
  <c r="B15" i="9"/>
  <c r="B14" i="9"/>
  <c r="B13" i="9"/>
  <c r="B10" i="9"/>
  <c r="B9" i="9"/>
  <c r="B7" i="9"/>
  <c r="B8" i="9"/>
  <c r="B6" i="9"/>
  <c r="K2" i="3"/>
  <c r="K3" i="3"/>
  <c r="K4" i="3"/>
  <c r="K5" i="3"/>
  <c r="J3" i="3"/>
  <c r="J4" i="3"/>
  <c r="J5" i="3"/>
  <c r="J2" i="3"/>
  <c r="H3" i="1"/>
  <c r="K4" i="1"/>
  <c r="K3" i="1"/>
  <c r="H4" i="1"/>
  <c r="H5" i="1" l="1"/>
  <c r="K12" i="17" a="1"/>
  <c r="K12" i="17" s="1"/>
  <c r="K11" i="17" a="1"/>
  <c r="K11" i="17" s="1"/>
  <c r="K10" i="17" a="1"/>
  <c r="K10" i="17" s="1"/>
  <c r="K5" i="17" a="1"/>
  <c r="K5" i="17" s="1"/>
  <c r="K6" i="17" a="1"/>
  <c r="K6" i="17" s="1"/>
  <c r="K7" i="17" a="1"/>
  <c r="K7" i="17" s="1"/>
  <c r="K8" i="17" a="1"/>
  <c r="K8" i="17" s="1"/>
  <c r="K9" i="17" a="1"/>
  <c r="K9" i="17" s="1"/>
  <c r="K4" i="17" a="1"/>
  <c r="K4" i="17" s="1"/>
  <c r="I601" i="17" l="1"/>
  <c r="I600" i="17"/>
  <c r="I599" i="17"/>
  <c r="I598" i="17"/>
  <c r="I597" i="17"/>
  <c r="I596" i="17"/>
  <c r="I595" i="17"/>
  <c r="I594" i="17"/>
  <c r="I593" i="17"/>
  <c r="I592" i="17"/>
  <c r="I591" i="17"/>
  <c r="I590" i="17"/>
  <c r="I589" i="17"/>
  <c r="I588" i="17"/>
  <c r="I587" i="17"/>
  <c r="I586" i="17"/>
  <c r="I585" i="17"/>
  <c r="I584" i="17"/>
  <c r="I583" i="17"/>
  <c r="I582" i="17"/>
  <c r="I581" i="17"/>
  <c r="I580" i="17"/>
  <c r="I579" i="17"/>
  <c r="I578" i="17"/>
  <c r="I577" i="17"/>
  <c r="I576" i="17"/>
  <c r="I575" i="17"/>
  <c r="I574" i="17"/>
  <c r="I573" i="17"/>
  <c r="I572" i="17"/>
  <c r="I571" i="17"/>
  <c r="I570" i="17"/>
  <c r="I569" i="17"/>
  <c r="I568" i="17"/>
  <c r="I567" i="17"/>
  <c r="I566" i="17"/>
  <c r="I565" i="17"/>
  <c r="I564" i="17"/>
  <c r="I563" i="17"/>
  <c r="I562" i="17"/>
  <c r="I561" i="17"/>
  <c r="I560" i="17"/>
  <c r="I559" i="17"/>
  <c r="I558" i="17"/>
  <c r="I557" i="17"/>
  <c r="I556" i="17"/>
  <c r="I555" i="17"/>
  <c r="I554" i="17"/>
  <c r="I553" i="17"/>
  <c r="I552" i="17"/>
  <c r="I551" i="17"/>
  <c r="I550" i="17"/>
  <c r="I549" i="17"/>
  <c r="I548" i="17"/>
  <c r="I547" i="17"/>
  <c r="I546" i="17"/>
  <c r="I545" i="17"/>
  <c r="I544" i="17"/>
  <c r="I543" i="17"/>
  <c r="I542" i="17"/>
  <c r="I541" i="17"/>
  <c r="I540" i="17"/>
  <c r="I539" i="17"/>
  <c r="I538" i="17"/>
  <c r="I537" i="17"/>
  <c r="I536" i="17"/>
  <c r="I535" i="17"/>
  <c r="I534" i="17"/>
  <c r="I533" i="17"/>
  <c r="I532" i="17"/>
  <c r="I531" i="17"/>
  <c r="I530" i="17"/>
  <c r="I529" i="17"/>
  <c r="I528" i="17"/>
  <c r="I527" i="17"/>
  <c r="I526" i="17"/>
  <c r="I525" i="17"/>
  <c r="I524" i="17"/>
  <c r="I523" i="17"/>
  <c r="I522" i="17"/>
  <c r="I521" i="17"/>
  <c r="I520" i="17"/>
  <c r="I519" i="17"/>
  <c r="I518" i="17"/>
  <c r="I517" i="17"/>
  <c r="I516" i="17"/>
  <c r="I515" i="17"/>
  <c r="I514" i="17"/>
  <c r="I513" i="17"/>
  <c r="I512" i="17"/>
  <c r="I511" i="17"/>
  <c r="I510" i="17"/>
  <c r="I509" i="17"/>
  <c r="I508" i="17"/>
  <c r="I507" i="17"/>
  <c r="I506" i="17"/>
  <c r="I505" i="17"/>
  <c r="I504" i="17"/>
  <c r="I503" i="17"/>
  <c r="I502" i="17"/>
  <c r="I501" i="17"/>
  <c r="I500" i="17"/>
  <c r="I499" i="17"/>
  <c r="I498" i="17"/>
  <c r="I497" i="17"/>
  <c r="I496" i="17"/>
  <c r="I495" i="17"/>
  <c r="I494" i="17"/>
  <c r="I493" i="17"/>
  <c r="I492" i="17"/>
  <c r="I491" i="17"/>
  <c r="I490" i="17"/>
  <c r="I489" i="17"/>
  <c r="I488" i="17"/>
  <c r="I487" i="17"/>
  <c r="I486" i="17"/>
  <c r="I485" i="17"/>
  <c r="I484" i="17"/>
  <c r="I483" i="17"/>
  <c r="I482" i="17"/>
  <c r="I481" i="17"/>
  <c r="I480" i="17"/>
  <c r="I479" i="17"/>
  <c r="I478" i="17"/>
  <c r="I477" i="17"/>
  <c r="I476" i="17"/>
  <c r="I475" i="17"/>
  <c r="I474" i="17"/>
  <c r="I473" i="17"/>
  <c r="I472" i="17"/>
  <c r="I471" i="17"/>
  <c r="I470" i="17"/>
  <c r="I469" i="17"/>
  <c r="I468" i="17"/>
  <c r="I467" i="17"/>
  <c r="I466" i="17"/>
  <c r="I465" i="17"/>
  <c r="I464" i="17"/>
  <c r="I463" i="17"/>
  <c r="I462" i="17"/>
  <c r="I461" i="17"/>
  <c r="I460" i="17"/>
  <c r="I459" i="17"/>
  <c r="I458" i="17"/>
  <c r="I457" i="17"/>
  <c r="I456" i="17"/>
  <c r="I455" i="17"/>
  <c r="I454" i="17"/>
  <c r="I453" i="17"/>
  <c r="I452" i="17"/>
  <c r="I451" i="17"/>
  <c r="I450" i="17"/>
  <c r="I449" i="17"/>
  <c r="I448" i="17"/>
  <c r="I447" i="17"/>
  <c r="I446" i="17"/>
  <c r="I445" i="17"/>
  <c r="I444" i="17"/>
  <c r="I443" i="17"/>
  <c r="I442" i="17"/>
  <c r="I441" i="17"/>
  <c r="I440" i="17"/>
  <c r="I439" i="17"/>
  <c r="I438" i="17"/>
  <c r="I437" i="17"/>
  <c r="I436" i="17"/>
  <c r="I435" i="17"/>
  <c r="I434" i="17"/>
  <c r="I433" i="17"/>
  <c r="I432" i="17"/>
  <c r="I431" i="17"/>
  <c r="I430" i="17"/>
  <c r="I429" i="17"/>
  <c r="I428" i="17"/>
  <c r="I427" i="17"/>
  <c r="I426" i="17"/>
  <c r="I425" i="17"/>
  <c r="I424" i="17"/>
  <c r="I423" i="17"/>
  <c r="I422" i="17"/>
  <c r="I421" i="17"/>
  <c r="I420" i="17"/>
  <c r="I419" i="17"/>
  <c r="I418" i="17"/>
  <c r="I417" i="17"/>
  <c r="I416" i="17"/>
  <c r="I415" i="17"/>
  <c r="I414" i="17"/>
  <c r="I413" i="17"/>
  <c r="I412" i="17"/>
  <c r="I411" i="17"/>
  <c r="I410" i="17"/>
  <c r="I409" i="17"/>
  <c r="I408" i="17"/>
  <c r="I407" i="17"/>
  <c r="I406" i="17"/>
  <c r="I405" i="17"/>
  <c r="I404" i="17"/>
  <c r="I403" i="17"/>
  <c r="I402" i="17"/>
  <c r="I401" i="17"/>
  <c r="I400" i="17"/>
  <c r="I399" i="17"/>
  <c r="I398" i="17"/>
  <c r="I397" i="17"/>
  <c r="I396" i="17"/>
  <c r="I395" i="17"/>
  <c r="I394" i="17"/>
  <c r="I393" i="17"/>
  <c r="I392" i="17"/>
  <c r="I391" i="17"/>
  <c r="I390" i="17"/>
  <c r="I389" i="17"/>
  <c r="I388" i="17"/>
  <c r="I387" i="17"/>
  <c r="I386" i="17"/>
  <c r="I385" i="17"/>
  <c r="I384" i="17"/>
  <c r="I383" i="17"/>
  <c r="I382" i="17"/>
  <c r="I381" i="17"/>
  <c r="I380" i="17"/>
  <c r="I379" i="17"/>
  <c r="I378" i="17"/>
  <c r="I377" i="17"/>
  <c r="I376" i="17"/>
  <c r="I375" i="17"/>
  <c r="I374" i="17"/>
  <c r="I373" i="17"/>
  <c r="I372" i="17"/>
  <c r="I371" i="17"/>
  <c r="I370" i="17"/>
  <c r="I369" i="17"/>
  <c r="I368" i="17"/>
  <c r="I367" i="17"/>
  <c r="I366" i="17"/>
  <c r="I365" i="17"/>
  <c r="I364" i="17"/>
  <c r="I363" i="17"/>
  <c r="I362" i="17"/>
  <c r="I361" i="17"/>
  <c r="I360" i="17"/>
  <c r="I359" i="17"/>
  <c r="I358" i="17"/>
  <c r="I357" i="17"/>
  <c r="I356" i="17"/>
  <c r="I355" i="17"/>
  <c r="I354" i="17"/>
  <c r="I353" i="17"/>
  <c r="I352" i="17"/>
  <c r="I351" i="17"/>
  <c r="I350" i="17"/>
  <c r="I349" i="17"/>
  <c r="I348" i="17"/>
  <c r="I347" i="17"/>
  <c r="I346" i="17"/>
  <c r="I345" i="17"/>
  <c r="I344" i="17"/>
  <c r="I343" i="17"/>
  <c r="I342" i="17"/>
  <c r="I341" i="17"/>
  <c r="I340" i="17"/>
  <c r="I339" i="17"/>
  <c r="I338" i="17"/>
  <c r="I337" i="17"/>
  <c r="I336" i="17"/>
  <c r="I335" i="17"/>
  <c r="I334" i="17"/>
  <c r="I333" i="17"/>
  <c r="I332" i="17"/>
  <c r="I331" i="17"/>
  <c r="I330" i="17"/>
  <c r="I329" i="17"/>
  <c r="I328" i="17"/>
  <c r="I327" i="17"/>
  <c r="I326" i="17"/>
  <c r="I325" i="17"/>
  <c r="I324" i="17"/>
  <c r="I323" i="17"/>
  <c r="I322" i="17"/>
  <c r="I321" i="17"/>
  <c r="I320" i="17"/>
  <c r="I319" i="17"/>
  <c r="I318" i="17"/>
  <c r="I317" i="17"/>
  <c r="I316" i="17"/>
  <c r="I315" i="17"/>
  <c r="I314" i="17"/>
  <c r="I313" i="17"/>
  <c r="I312" i="17"/>
  <c r="I311" i="17"/>
  <c r="I310" i="17"/>
  <c r="I309" i="17"/>
  <c r="I308" i="17"/>
  <c r="I307" i="17"/>
  <c r="I306" i="17"/>
  <c r="I305" i="17"/>
  <c r="I304" i="17"/>
  <c r="I303" i="17"/>
  <c r="I302" i="17"/>
  <c r="I301" i="17"/>
  <c r="I300" i="17"/>
  <c r="I299" i="17"/>
  <c r="I298" i="17"/>
  <c r="I297" i="17"/>
  <c r="I296" i="17"/>
  <c r="I295" i="17"/>
  <c r="I294" i="17"/>
  <c r="I293" i="17"/>
  <c r="I292" i="17"/>
  <c r="I291" i="17"/>
  <c r="I290" i="17"/>
  <c r="I289" i="17"/>
  <c r="I288" i="17"/>
  <c r="I287" i="17"/>
  <c r="I286" i="17"/>
  <c r="I285" i="17"/>
  <c r="I284" i="17"/>
  <c r="I283" i="17"/>
  <c r="I282" i="17"/>
  <c r="I281" i="17"/>
  <c r="I280" i="17"/>
  <c r="I279" i="17"/>
  <c r="I278" i="17"/>
  <c r="I277" i="17"/>
  <c r="I276" i="17"/>
  <c r="I275" i="17"/>
  <c r="I274" i="17"/>
  <c r="I273" i="17"/>
  <c r="I272" i="17"/>
  <c r="I271" i="17"/>
  <c r="I270" i="17"/>
  <c r="I269" i="17"/>
  <c r="I268" i="17"/>
  <c r="I267" i="17"/>
  <c r="I266" i="17"/>
  <c r="I265" i="17"/>
  <c r="I264" i="17"/>
  <c r="I263" i="17"/>
  <c r="I262" i="17"/>
  <c r="I261" i="17"/>
  <c r="I260" i="17"/>
  <c r="I259" i="17"/>
  <c r="I258" i="17"/>
  <c r="I257" i="17"/>
  <c r="I256" i="17"/>
  <c r="I255" i="17"/>
  <c r="I254" i="17"/>
  <c r="I253" i="17"/>
  <c r="I252" i="17"/>
  <c r="I251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2" i="17"/>
  <c r="F19" i="11" l="1"/>
  <c r="F18" i="11"/>
  <c r="N41" i="10" l="1"/>
  <c r="O41" i="10"/>
  <c r="N42" i="10"/>
  <c r="O42" i="10"/>
  <c r="M42" i="10"/>
  <c r="M41" i="10"/>
  <c r="G38" i="10"/>
  <c r="G39" i="10"/>
  <c r="G40" i="10"/>
  <c r="G41" i="10"/>
  <c r="G42" i="10"/>
  <c r="G43" i="10"/>
  <c r="G44" i="10"/>
  <c r="G45" i="10"/>
  <c r="G46" i="10"/>
  <c r="I32" i="10"/>
  <c r="J32" i="10"/>
  <c r="K32" i="10"/>
  <c r="L32" i="10"/>
  <c r="H32" i="10"/>
  <c r="J5" i="10"/>
  <c r="J6" i="10"/>
  <c r="J7" i="10"/>
  <c r="J4" i="10"/>
  <c r="I19" i="10" l="1"/>
  <c r="M6" i="10"/>
  <c r="M5" i="10"/>
  <c r="M7" i="10"/>
  <c r="M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4" i="10"/>
  <c r="M54" i="10" l="1"/>
  <c r="M55" i="10"/>
  <c r="M53" i="10"/>
  <c r="M44" i="10"/>
  <c r="N43" i="10"/>
  <c r="O43" i="10"/>
  <c r="N44" i="10"/>
  <c r="O44" i="10"/>
  <c r="M43" i="10"/>
  <c r="J19" i="10" l="1"/>
  <c r="K19" i="10"/>
  <c r="L19" i="10" l="1"/>
  <c r="O6" i="7" l="1"/>
  <c r="O7" i="7"/>
  <c r="O8" i="7"/>
  <c r="O9" i="7"/>
  <c r="O10" i="7"/>
  <c r="O11" i="7"/>
  <c r="O12" i="7"/>
  <c r="O13" i="7"/>
  <c r="O14" i="7"/>
  <c r="O15" i="7"/>
  <c r="O16" i="7"/>
  <c r="O17" i="7"/>
  <c r="O18" i="7"/>
  <c r="O4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4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4" i="7"/>
  <c r="F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4" i="7"/>
  <c r="L23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4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4" i="7"/>
  <c r="F23" i="7" l="1"/>
  <c r="F24" i="7" s="1"/>
  <c r="G24" i="7" s="1"/>
  <c r="G5" i="7"/>
  <c r="G7" i="7"/>
  <c r="G8" i="7"/>
  <c r="G9" i="7"/>
  <c r="G10" i="7"/>
  <c r="G11" i="7"/>
  <c r="G12" i="7"/>
  <c r="G13" i="7"/>
  <c r="G14" i="7"/>
  <c r="G15" i="7"/>
  <c r="G16" i="7"/>
  <c r="G17" i="7"/>
  <c r="G18" i="7"/>
  <c r="G4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AN6" i="8"/>
  <c r="AN7" i="8"/>
  <c r="AN8" i="8"/>
  <c r="AN9" i="8"/>
  <c r="AN10" i="8"/>
  <c r="AN11" i="8"/>
  <c r="AN12" i="8"/>
  <c r="AN13" i="8"/>
  <c r="AN14" i="8"/>
  <c r="AN15" i="8"/>
  <c r="AN16" i="8"/>
  <c r="AN17" i="8"/>
  <c r="AN18" i="8"/>
  <c r="AN4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E2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4" i="8"/>
  <c r="AM5" i="8"/>
  <c r="AM6" i="8"/>
  <c r="AM7" i="8"/>
  <c r="AM8" i="8"/>
  <c r="AM9" i="8"/>
  <c r="AM10" i="8"/>
  <c r="AM11" i="8"/>
  <c r="AM12" i="8"/>
  <c r="AM13" i="8"/>
  <c r="AM14" i="8"/>
  <c r="AM15" i="8"/>
  <c r="AM16" i="8"/>
  <c r="AM17" i="8"/>
  <c r="AM18" i="8"/>
  <c r="AM4" i="8"/>
  <c r="AK4" i="8"/>
  <c r="AL4" i="8"/>
  <c r="AK5" i="8"/>
  <c r="AL5" i="8"/>
  <c r="AK6" i="8"/>
  <c r="AL6" i="8"/>
  <c r="AK7" i="8"/>
  <c r="AL7" i="8"/>
  <c r="AK8" i="8"/>
  <c r="AL8" i="8"/>
  <c r="AK9" i="8"/>
  <c r="AL9" i="8"/>
  <c r="AK10" i="8"/>
  <c r="AL10" i="8"/>
  <c r="AK11" i="8"/>
  <c r="AL11" i="8"/>
  <c r="AK12" i="8"/>
  <c r="AL12" i="8"/>
  <c r="AK13" i="8"/>
  <c r="AL13" i="8"/>
  <c r="AK14" i="8"/>
  <c r="AL14" i="8"/>
  <c r="AK15" i="8"/>
  <c r="AL15" i="8"/>
  <c r="AK16" i="8"/>
  <c r="AL16" i="8"/>
  <c r="AK17" i="8"/>
  <c r="AL17" i="8"/>
  <c r="AK18" i="8"/>
  <c r="AL18" i="8"/>
  <c r="AN5" i="8" l="1"/>
  <c r="F5" i="7" s="1"/>
  <c r="H5" i="7" s="1"/>
  <c r="L5" i="7" s="1"/>
  <c r="N5" i="7" s="1"/>
  <c r="O5" i="7" l="1"/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2" i="4"/>
</calcChain>
</file>

<file path=xl/sharedStrings.xml><?xml version="1.0" encoding="utf-8"?>
<sst xmlns="http://schemas.openxmlformats.org/spreadsheetml/2006/main" count="2630" uniqueCount="1563">
  <si>
    <t>Serial No.</t>
  </si>
  <si>
    <t>Name</t>
  </si>
  <si>
    <t>Annual Income</t>
  </si>
  <si>
    <t>Marital Status</t>
  </si>
  <si>
    <t>Education Level</t>
  </si>
  <si>
    <t>Occupation</t>
  </si>
  <si>
    <t>Home owner</t>
  </si>
  <si>
    <t>Total No.</t>
  </si>
  <si>
    <t>Rajiv</t>
  </si>
  <si>
    <t>Y</t>
  </si>
  <si>
    <t>Gradutaion</t>
  </si>
  <si>
    <t>Clerk</t>
  </si>
  <si>
    <t>N</t>
  </si>
  <si>
    <t>Suman</t>
  </si>
  <si>
    <t>Masters</t>
  </si>
  <si>
    <t>Manual</t>
  </si>
  <si>
    <t>Rohit</t>
  </si>
  <si>
    <t>Professional</t>
  </si>
  <si>
    <t>Aman</t>
  </si>
  <si>
    <t>Anjali</t>
  </si>
  <si>
    <t>Sanjna</t>
  </si>
  <si>
    <t>Ritika</t>
  </si>
  <si>
    <t>Rashi</t>
  </si>
  <si>
    <t>Roshan</t>
  </si>
  <si>
    <t>Yash</t>
  </si>
  <si>
    <t>Randy</t>
  </si>
  <si>
    <t>HR</t>
  </si>
  <si>
    <t>Tarun</t>
  </si>
  <si>
    <t>Danish</t>
  </si>
  <si>
    <t>Faishal</t>
  </si>
  <si>
    <t>Kalam</t>
  </si>
  <si>
    <t>PhD</t>
  </si>
  <si>
    <t>Date</t>
  </si>
  <si>
    <t>Mode of Payment</t>
  </si>
  <si>
    <t>Amount</t>
  </si>
  <si>
    <t>Online</t>
  </si>
  <si>
    <t>Total Amount</t>
  </si>
  <si>
    <t>Total No. of Payment Mode</t>
  </si>
  <si>
    <t>Cash</t>
  </si>
  <si>
    <t>30/08/2024</t>
  </si>
  <si>
    <t>All Total</t>
  </si>
  <si>
    <t>Sum of Amount</t>
  </si>
  <si>
    <t>Row Labels</t>
  </si>
  <si>
    <t>Sum of Total Amount</t>
  </si>
  <si>
    <t>Grand Total</t>
  </si>
  <si>
    <t>Married</t>
  </si>
  <si>
    <t>Single</t>
  </si>
  <si>
    <t>Skilled Manual</t>
  </si>
  <si>
    <t>Paid</t>
  </si>
  <si>
    <t>Occuapation</t>
  </si>
  <si>
    <t>No</t>
  </si>
  <si>
    <t>Yes</t>
  </si>
  <si>
    <t>Order No</t>
  </si>
  <si>
    <t>City</t>
  </si>
  <si>
    <t>Customer Name</t>
  </si>
  <si>
    <t>Order Date</t>
  </si>
  <si>
    <t>Status</t>
  </si>
  <si>
    <t>Order Type</t>
  </si>
  <si>
    <t>Product</t>
  </si>
  <si>
    <t>Category</t>
  </si>
  <si>
    <t>Quantity</t>
  </si>
  <si>
    <t>Price</t>
  </si>
  <si>
    <t>Sales Amount</t>
  </si>
  <si>
    <t>Averageif</t>
  </si>
  <si>
    <t>Mumbai</t>
  </si>
  <si>
    <t>Anand</t>
  </si>
  <si>
    <t>Ordered</t>
  </si>
  <si>
    <t>On Shop</t>
  </si>
  <si>
    <t>Single Monk</t>
  </si>
  <si>
    <t>Casual</t>
  </si>
  <si>
    <t>Average quantity</t>
  </si>
  <si>
    <t>Amit</t>
  </si>
  <si>
    <t>Pune</t>
  </si>
  <si>
    <t>Ritik</t>
  </si>
  <si>
    <t>Formal</t>
  </si>
  <si>
    <t>Patna</t>
  </si>
  <si>
    <t>Amrita</t>
  </si>
  <si>
    <t>Loafers</t>
  </si>
  <si>
    <t>Merut</t>
  </si>
  <si>
    <t>Sonam</t>
  </si>
  <si>
    <t>Averageifs</t>
  </si>
  <si>
    <t>Puja</t>
  </si>
  <si>
    <t>Online Shop</t>
  </si>
  <si>
    <t>Delhi</t>
  </si>
  <si>
    <t>Radhika</t>
  </si>
  <si>
    <t>Anant</t>
  </si>
  <si>
    <t>Derby Shoes</t>
  </si>
  <si>
    <t>Ajay</t>
  </si>
  <si>
    <t>Babita</t>
  </si>
  <si>
    <t>Sumifs</t>
  </si>
  <si>
    <t>Booby</t>
  </si>
  <si>
    <t>On shop</t>
  </si>
  <si>
    <t>Online shop</t>
  </si>
  <si>
    <t>Barkha</t>
  </si>
  <si>
    <t>Chameli</t>
  </si>
  <si>
    <t>Chandan</t>
  </si>
  <si>
    <t>Noida</t>
  </si>
  <si>
    <t>Deepali</t>
  </si>
  <si>
    <t>Countifs</t>
  </si>
  <si>
    <t>Deepak</t>
  </si>
  <si>
    <t>Deepu</t>
  </si>
  <si>
    <t>Sneakers</t>
  </si>
  <si>
    <t>Deepti</t>
  </si>
  <si>
    <t>Faruk</t>
  </si>
  <si>
    <t>Fhamita</t>
  </si>
  <si>
    <t>Oxford Shoes</t>
  </si>
  <si>
    <t>Sanket</t>
  </si>
  <si>
    <t>Function</t>
  </si>
  <si>
    <t>Formula</t>
  </si>
  <si>
    <t>NetworkDays &amp; NetworkDays.intl</t>
  </si>
  <si>
    <t>Today</t>
  </si>
  <si>
    <t>Now</t>
  </si>
  <si>
    <t>Start Date</t>
  </si>
  <si>
    <t>52 weeks</t>
  </si>
  <si>
    <t>Day</t>
  </si>
  <si>
    <t>End Date</t>
  </si>
  <si>
    <t>104 Sat &amp; Sun</t>
  </si>
  <si>
    <t>Month</t>
  </si>
  <si>
    <t>Year</t>
  </si>
  <si>
    <t>NetworkDays</t>
  </si>
  <si>
    <t>Holidays</t>
  </si>
  <si>
    <t>Independence</t>
  </si>
  <si>
    <t>NetworkDays.intl</t>
  </si>
  <si>
    <t>Gandhi Jayanti</t>
  </si>
  <si>
    <t>Add/Subtract Days</t>
  </si>
  <si>
    <t>DateDif</t>
  </si>
  <si>
    <t>Date + 5 days</t>
  </si>
  <si>
    <t>Date of Birth</t>
  </si>
  <si>
    <t>Today's Date</t>
  </si>
  <si>
    <t>Date -5 days</t>
  </si>
  <si>
    <t>Add/Subtract Months</t>
  </si>
  <si>
    <t>Total Years</t>
  </si>
  <si>
    <t>Edate</t>
  </si>
  <si>
    <t>Total Months</t>
  </si>
  <si>
    <t>Total Days</t>
  </si>
  <si>
    <t>Date + 10 months</t>
  </si>
  <si>
    <t>Date - 10 months</t>
  </si>
  <si>
    <t>Years</t>
  </si>
  <si>
    <t>Months</t>
  </si>
  <si>
    <t>Days</t>
  </si>
  <si>
    <t>Add/Subtract Years</t>
  </si>
  <si>
    <t>Date + 10 Years</t>
  </si>
  <si>
    <t>Date - 10 Years</t>
  </si>
  <si>
    <t>JOB VACCENCY REQUIREMENT</t>
  </si>
  <si>
    <t>DATA ENTRY</t>
  </si>
  <si>
    <t>GRAPHIC DESIGNING</t>
  </si>
  <si>
    <t>CYBER SECURITY</t>
  </si>
  <si>
    <t>ACCOUNTANT</t>
  </si>
  <si>
    <t>CA</t>
  </si>
  <si>
    <t>MANAGER</t>
  </si>
  <si>
    <t>CLERK</t>
  </si>
  <si>
    <t>DATA ANALYST</t>
  </si>
  <si>
    <t>BUSINESS ANALYST</t>
  </si>
  <si>
    <t>MARKETING</t>
  </si>
  <si>
    <t>SECURITY</t>
  </si>
  <si>
    <t>EXCEL</t>
  </si>
  <si>
    <t>CANVA</t>
  </si>
  <si>
    <t>PENITRATION</t>
  </si>
  <si>
    <t>TALLY</t>
  </si>
  <si>
    <t>MANAGEMENT</t>
  </si>
  <si>
    <t>DATA ANALYST COURSE</t>
  </si>
  <si>
    <t>12TH OR GRADUATITON</t>
  </si>
  <si>
    <t>8TH PASS</t>
  </si>
  <si>
    <t>MS OFFICE</t>
  </si>
  <si>
    <t>AQUA</t>
  </si>
  <si>
    <t>NETWORKING</t>
  </si>
  <si>
    <t>GRADUATION</t>
  </si>
  <si>
    <t>2 YEARS EXPERRINCE IN FIELD</t>
  </si>
  <si>
    <t>12TH PASS</t>
  </si>
  <si>
    <t>BLENDER</t>
  </si>
  <si>
    <t>LINUX</t>
  </si>
  <si>
    <t>CA QUALIFIED</t>
  </si>
  <si>
    <t>B.COM</t>
  </si>
  <si>
    <t>ETHICAL HACKING</t>
  </si>
  <si>
    <t>EXPERIENCE Min(2 Years)</t>
  </si>
  <si>
    <t>PROGRAMMING LANGUAGE</t>
  </si>
  <si>
    <t>SOCIAL ENGINEERING</t>
  </si>
  <si>
    <t>GOOD TYPING SPEED</t>
  </si>
  <si>
    <t>Employee ID</t>
  </si>
  <si>
    <t>Name of Employee</t>
  </si>
  <si>
    <t>Designation</t>
  </si>
  <si>
    <t>Employee Status</t>
  </si>
  <si>
    <t>Fixed Basic</t>
  </si>
  <si>
    <t>Present</t>
  </si>
  <si>
    <t>Over Time</t>
  </si>
  <si>
    <t>Current Month Salary</t>
  </si>
  <si>
    <t>HRA</t>
  </si>
  <si>
    <t>TA</t>
  </si>
  <si>
    <t>DA</t>
  </si>
  <si>
    <t>Gross Salary</t>
  </si>
  <si>
    <t>PF</t>
  </si>
  <si>
    <t>PT</t>
  </si>
  <si>
    <t>NET Salary</t>
  </si>
  <si>
    <t>A1101</t>
  </si>
  <si>
    <t>Unskilled</t>
  </si>
  <si>
    <t>A1102</t>
  </si>
  <si>
    <t>Supervisor</t>
  </si>
  <si>
    <t>Skilled</t>
  </si>
  <si>
    <t>A1103</t>
  </si>
  <si>
    <t>A1104</t>
  </si>
  <si>
    <t>A1105</t>
  </si>
  <si>
    <t>Receptionist</t>
  </si>
  <si>
    <t>A1106</t>
  </si>
  <si>
    <t>A1107</t>
  </si>
  <si>
    <t>A1108</t>
  </si>
  <si>
    <t>Semiskilled</t>
  </si>
  <si>
    <t>A1109</t>
  </si>
  <si>
    <t>Manager</t>
  </si>
  <si>
    <t>Proffesional</t>
  </si>
  <si>
    <t>A1110</t>
  </si>
  <si>
    <t>A1111</t>
  </si>
  <si>
    <t>A1112</t>
  </si>
  <si>
    <t>A1113</t>
  </si>
  <si>
    <t>Developer</t>
  </si>
  <si>
    <t>A1114</t>
  </si>
  <si>
    <t>A1115</t>
  </si>
  <si>
    <t>STATE TO STATE VARY</t>
  </si>
  <si>
    <t>15000*12%</t>
  </si>
  <si>
    <t>CELLING</t>
  </si>
  <si>
    <t>ACTUAL</t>
  </si>
  <si>
    <t>SALARY IF LESS THAN 15000</t>
  </si>
  <si>
    <t>ctc</t>
  </si>
  <si>
    <t>UNSKILLED</t>
  </si>
  <si>
    <t>&gt;10000</t>
  </si>
  <si>
    <t>EE</t>
  </si>
  <si>
    <t>SALARY&lt;15000</t>
  </si>
  <si>
    <t>gross</t>
  </si>
  <si>
    <t>SKILLED</t>
  </si>
  <si>
    <t>&gt;7500</t>
  </si>
  <si>
    <t>ER</t>
  </si>
  <si>
    <t>SALARY*12%</t>
  </si>
  <si>
    <t>basic</t>
  </si>
  <si>
    <t>PROFFESIONAL</t>
  </si>
  <si>
    <t>Absent</t>
  </si>
  <si>
    <t>SL</t>
  </si>
  <si>
    <t>PL</t>
  </si>
  <si>
    <t>W.Off</t>
  </si>
  <si>
    <t>Present Days</t>
  </si>
  <si>
    <t>P</t>
  </si>
  <si>
    <t>AB</t>
  </si>
  <si>
    <t>TECH SKILLS  PVT LTD</t>
  </si>
  <si>
    <t>A-2, Basement Premnagar, Uttam Nagar west, Exit Gate No. 4, Opp metro station Pillar No. 685, Delhi - 110059</t>
  </si>
  <si>
    <t>PF A/c  No.</t>
  </si>
  <si>
    <t>Employee Name</t>
  </si>
  <si>
    <t>Esic A/c No.</t>
  </si>
  <si>
    <t>Bank A/c No.</t>
  </si>
  <si>
    <t>Skills</t>
  </si>
  <si>
    <t>IFSC No.</t>
  </si>
  <si>
    <t>Earning</t>
  </si>
  <si>
    <t>Deduction</t>
  </si>
  <si>
    <t>Basic Salary</t>
  </si>
  <si>
    <t>NET</t>
  </si>
  <si>
    <t>VLOOKUP(EXECT &amp; APPROXIMATE)</t>
  </si>
  <si>
    <t>VLOOKUP(IFERROR)</t>
  </si>
  <si>
    <t>Salary</t>
  </si>
  <si>
    <t>Score</t>
  </si>
  <si>
    <t>Performance</t>
  </si>
  <si>
    <t>A1002</t>
  </si>
  <si>
    <t>A1014</t>
  </si>
  <si>
    <t>A1001</t>
  </si>
  <si>
    <t>Staff</t>
  </si>
  <si>
    <t>Varun</t>
  </si>
  <si>
    <t>Graphic Designing</t>
  </si>
  <si>
    <t>A1003</t>
  </si>
  <si>
    <t>Harsh</t>
  </si>
  <si>
    <t>Excel Operator</t>
  </si>
  <si>
    <t>A1004</t>
  </si>
  <si>
    <t>Tanishka</t>
  </si>
  <si>
    <t>Programmer</t>
  </si>
  <si>
    <t>A1005</t>
  </si>
  <si>
    <t>Tannu</t>
  </si>
  <si>
    <t>A1006</t>
  </si>
  <si>
    <t>A1007</t>
  </si>
  <si>
    <t>Akansha</t>
  </si>
  <si>
    <t>A1008</t>
  </si>
  <si>
    <t>Samikchha</t>
  </si>
  <si>
    <t>Not Good</t>
  </si>
  <si>
    <t>A1009</t>
  </si>
  <si>
    <t>Average</t>
  </si>
  <si>
    <t>A1010</t>
  </si>
  <si>
    <t>Vivek</t>
  </si>
  <si>
    <t>Good</t>
  </si>
  <si>
    <t>A1011</t>
  </si>
  <si>
    <t>Awesome</t>
  </si>
  <si>
    <t>A1012</t>
  </si>
  <si>
    <t>Maya</t>
  </si>
  <si>
    <t>A1013</t>
  </si>
  <si>
    <t>Sohan</t>
  </si>
  <si>
    <t>A1015</t>
  </si>
  <si>
    <t>Mohan</t>
  </si>
  <si>
    <t>A1016</t>
  </si>
  <si>
    <t>Ramu</t>
  </si>
  <si>
    <t>A1019</t>
  </si>
  <si>
    <t>A1017</t>
  </si>
  <si>
    <t>Shara</t>
  </si>
  <si>
    <t>A1018</t>
  </si>
  <si>
    <t>Faisal</t>
  </si>
  <si>
    <t>NESTED VLOOKUP</t>
  </si>
  <si>
    <t>A1020</t>
  </si>
  <si>
    <t>Enrollment Id</t>
  </si>
  <si>
    <t>Board Id</t>
  </si>
  <si>
    <t>Stream</t>
  </si>
  <si>
    <t>State</t>
  </si>
  <si>
    <t>Marks</t>
  </si>
  <si>
    <t>B1001</t>
  </si>
  <si>
    <t>Science</t>
  </si>
  <si>
    <t>B1002</t>
  </si>
  <si>
    <t>Arts</t>
  </si>
  <si>
    <t>B1003</t>
  </si>
  <si>
    <t>Commerce</t>
  </si>
  <si>
    <t>B1004</t>
  </si>
  <si>
    <t>B1005</t>
  </si>
  <si>
    <t>FILTER USING VLOOKUP</t>
  </si>
  <si>
    <t xml:space="preserve"> </t>
  </si>
  <si>
    <t>UNIQUE ID</t>
  </si>
  <si>
    <t>PRODUCT</t>
  </si>
  <si>
    <t>ZONE</t>
  </si>
  <si>
    <t>SALES</t>
  </si>
  <si>
    <t>Iodex</t>
  </si>
  <si>
    <t>South City</t>
  </si>
  <si>
    <t>Toothbrush</t>
  </si>
  <si>
    <t>Tigerbalm</t>
  </si>
  <si>
    <t>North City</t>
  </si>
  <si>
    <t>West City</t>
  </si>
  <si>
    <t>East City</t>
  </si>
  <si>
    <t>Zandubalm</t>
  </si>
  <si>
    <t>DOUBLE VLOOKUP</t>
  </si>
  <si>
    <t>PRODUCT ID</t>
  </si>
  <si>
    <t>BILL No.</t>
  </si>
  <si>
    <t>az1001</t>
  </si>
  <si>
    <t>az1002</t>
  </si>
  <si>
    <t>az1003</t>
  </si>
  <si>
    <t>az1004</t>
  </si>
  <si>
    <t>az1005</t>
  </si>
  <si>
    <t>az1006</t>
  </si>
  <si>
    <t>az1007</t>
  </si>
  <si>
    <t>az1008</t>
  </si>
  <si>
    <t>az1009</t>
  </si>
  <si>
    <t>az1010</t>
  </si>
  <si>
    <t>Vlookup on Multiple Table/Sheets</t>
  </si>
  <si>
    <t>Bill No.</t>
  </si>
  <si>
    <t>Sun Cream</t>
  </si>
  <si>
    <t>Complane</t>
  </si>
  <si>
    <t>Nano</t>
  </si>
  <si>
    <t>Face Cream</t>
  </si>
  <si>
    <t>Vitamins Tab.</t>
  </si>
  <si>
    <t>Protein</t>
  </si>
  <si>
    <t>Lipids</t>
  </si>
  <si>
    <t>Horlicks</t>
  </si>
  <si>
    <t>Shampoo</t>
  </si>
  <si>
    <t>P90</t>
  </si>
  <si>
    <t>Orthodex</t>
  </si>
  <si>
    <t>Paracetamol</t>
  </si>
  <si>
    <t>Nimoset</t>
  </si>
  <si>
    <t>Chest&amp;Cold</t>
  </si>
  <si>
    <t>Nimocet</t>
  </si>
  <si>
    <t>Cornflex</t>
  </si>
  <si>
    <t>Minerals</t>
  </si>
  <si>
    <t>Toothpaste</t>
  </si>
  <si>
    <t>Account No.</t>
  </si>
  <si>
    <t>IFSC Code</t>
  </si>
  <si>
    <t>Customer Id</t>
  </si>
  <si>
    <t>A/C open Date</t>
  </si>
  <si>
    <t>No. Code</t>
  </si>
  <si>
    <t>Phone No.</t>
  </si>
  <si>
    <t>Account Balance</t>
  </si>
  <si>
    <t>Nationality</t>
  </si>
  <si>
    <t>Narina Kumari</t>
  </si>
  <si>
    <t>ABI3023</t>
  </si>
  <si>
    <t>Sushmita</t>
  </si>
  <si>
    <t>ABI3024</t>
  </si>
  <si>
    <t>Anamika Saini</t>
  </si>
  <si>
    <t>ABI3025</t>
  </si>
  <si>
    <t>Trivedi Kumar</t>
  </si>
  <si>
    <t>ABI3026</t>
  </si>
  <si>
    <t>Rajat Singh</t>
  </si>
  <si>
    <t>ABI3027</t>
  </si>
  <si>
    <t>Amrit Pal</t>
  </si>
  <si>
    <t>ABI3028</t>
  </si>
  <si>
    <t>Ashwin Khumeni</t>
  </si>
  <si>
    <t>ABI3029</t>
  </si>
  <si>
    <t>Taj Pal</t>
  </si>
  <si>
    <t>ABI3030</t>
  </si>
  <si>
    <t>Neepu Trivedi</t>
  </si>
  <si>
    <t>ABI3031</t>
  </si>
  <si>
    <t>Yashika Kumari</t>
  </si>
  <si>
    <t>ABI3032</t>
  </si>
  <si>
    <t>Anaya Sharma</t>
  </si>
  <si>
    <t>ABI3033</t>
  </si>
  <si>
    <t>Arpika Saini</t>
  </si>
  <si>
    <t>ABI3034</t>
  </si>
  <si>
    <t>Santosh Kumar</t>
  </si>
  <si>
    <t>ABI3035</t>
  </si>
  <si>
    <t>Jaspreet Singh</t>
  </si>
  <si>
    <t>ABI3036</t>
  </si>
  <si>
    <t>Kartik Singh</t>
  </si>
  <si>
    <t>ABI3037</t>
  </si>
  <si>
    <t>Gourav Arya</t>
  </si>
  <si>
    <t>ABI3038</t>
  </si>
  <si>
    <t>Gourav Singh</t>
  </si>
  <si>
    <t>ABI3039</t>
  </si>
  <si>
    <t>Vivek Kumar</t>
  </si>
  <si>
    <t>ABI3040</t>
  </si>
  <si>
    <t>Amit Singh</t>
  </si>
  <si>
    <t>ABI3041</t>
  </si>
  <si>
    <t>Tarun Singh</t>
  </si>
  <si>
    <t>ABI3042</t>
  </si>
  <si>
    <t>Naina Kumari</t>
  </si>
  <si>
    <t>ABI3043</t>
  </si>
  <si>
    <t>Amrita Kumari</t>
  </si>
  <si>
    <t>ABI3044</t>
  </si>
  <si>
    <t>Jaishwal Singh</t>
  </si>
  <si>
    <t>ABI3045</t>
  </si>
  <si>
    <t>Aliya Bhatt</t>
  </si>
  <si>
    <t>ABI3046</t>
  </si>
  <si>
    <t>Jitendra Singh</t>
  </si>
  <si>
    <t>ABI3047</t>
  </si>
  <si>
    <t>Ritika Singh</t>
  </si>
  <si>
    <t>ABI3048</t>
  </si>
  <si>
    <t>Naina Chauhan</t>
  </si>
  <si>
    <t>ABI3049</t>
  </si>
  <si>
    <t>Hamesh Datt</t>
  </si>
  <si>
    <t>ABI3050</t>
  </si>
  <si>
    <t>Chandani Sharma</t>
  </si>
  <si>
    <t>ABI3051</t>
  </si>
  <si>
    <t>Rajat Dalal</t>
  </si>
  <si>
    <t>ABI3052</t>
  </si>
  <si>
    <t>Rick Novak</t>
  </si>
  <si>
    <t>ABI3053</t>
  </si>
  <si>
    <t>Susan Connor</t>
  </si>
  <si>
    <t>ABI3054</t>
  </si>
  <si>
    <t>Ronald Barr</t>
  </si>
  <si>
    <t>ABI3055</t>
  </si>
  <si>
    <t>Margaret Adelman</t>
  </si>
  <si>
    <t>ABI3056</t>
  </si>
  <si>
    <t>Marie Broadbet</t>
  </si>
  <si>
    <t>ABI3057</t>
  </si>
  <si>
    <t>Roger Lum</t>
  </si>
  <si>
    <t>ABI3058</t>
  </si>
  <si>
    <t>Jeff Johnson</t>
  </si>
  <si>
    <t>ABI3059</t>
  </si>
  <si>
    <t>Melvin Forbis</t>
  </si>
  <si>
    <t>ABI3060</t>
  </si>
  <si>
    <t>Elle Amberson</t>
  </si>
  <si>
    <t>ABI3061</t>
  </si>
  <si>
    <t>Patrick Breakforest</t>
  </si>
  <si>
    <t>ABI3062</t>
  </si>
  <si>
    <t>James Smith</t>
  </si>
  <si>
    <t>ABI3063</t>
  </si>
  <si>
    <t>David Smith</t>
  </si>
  <si>
    <t>ABI3064</t>
  </si>
  <si>
    <t>John Smith</t>
  </si>
  <si>
    <t>ABI3065</t>
  </si>
  <si>
    <t>Maria Garcia</t>
  </si>
  <si>
    <t>ABI3066</t>
  </si>
  <si>
    <t>Michael Smith</t>
  </si>
  <si>
    <t>ABI3067</t>
  </si>
  <si>
    <t>James Johnson</t>
  </si>
  <si>
    <t>ABI3068</t>
  </si>
  <si>
    <t>David Johnson</t>
  </si>
  <si>
    <t>ABI3069</t>
  </si>
  <si>
    <t>Maria Rodriguez</t>
  </si>
  <si>
    <t>ABI3070</t>
  </si>
  <si>
    <t>Mary Smith</t>
  </si>
  <si>
    <t>ABI3071</t>
  </si>
  <si>
    <t>Maria Hernandez</t>
  </si>
  <si>
    <t>ABI3072</t>
  </si>
  <si>
    <t>Charles Smith</t>
  </si>
  <si>
    <t>ABI3073</t>
  </si>
  <si>
    <t>Maria Martinez</t>
  </si>
  <si>
    <t>ABI3074</t>
  </si>
  <si>
    <t>ABI3075</t>
  </si>
  <si>
    <t>Robert Johnson</t>
  </si>
  <si>
    <t>ABI3076</t>
  </si>
  <si>
    <t>James Williams</t>
  </si>
  <si>
    <t>ABI3077</t>
  </si>
  <si>
    <t>James Brown</t>
  </si>
  <si>
    <t>ABI3078</t>
  </si>
  <si>
    <t>Jose Garcia</t>
  </si>
  <si>
    <t>ABI3079</t>
  </si>
  <si>
    <t>Maria Gonzalez</t>
  </si>
  <si>
    <t>ABI3080</t>
  </si>
  <si>
    <t>Jose Rodriguez</t>
  </si>
  <si>
    <t>ABI3081</t>
  </si>
  <si>
    <t>David Brown</t>
  </si>
  <si>
    <t>ABI3082</t>
  </si>
  <si>
    <t>Ellie Clark</t>
  </si>
  <si>
    <t>ABI3083</t>
  </si>
  <si>
    <t>Emily John</t>
  </si>
  <si>
    <t>ABI3084</t>
  </si>
  <si>
    <t>Eleanor Shaw</t>
  </si>
  <si>
    <t>ABI3085</t>
  </si>
  <si>
    <t>Ella Marshall</t>
  </si>
  <si>
    <t>ABI3086</t>
  </si>
  <si>
    <t>Phoebe Harris</t>
  </si>
  <si>
    <t>ABI3087</t>
  </si>
  <si>
    <t>Mattie Moore</t>
  </si>
  <si>
    <t>ABI3088</t>
  </si>
  <si>
    <t>Lisa Webb</t>
  </si>
  <si>
    <t>ABI3089</t>
  </si>
  <si>
    <t>Dallas Joyce</t>
  </si>
  <si>
    <t>ABI3090</t>
  </si>
  <si>
    <t>Lilly Snyder</t>
  </si>
  <si>
    <t>ABI3091</t>
  </si>
  <si>
    <t>Alexia Greene</t>
  </si>
  <si>
    <t>ABI3092</t>
  </si>
  <si>
    <t>Kayla Wood</t>
  </si>
  <si>
    <t>ABI3093</t>
  </si>
  <si>
    <t>Victoria Barnes</t>
  </si>
  <si>
    <t>ABI3094</t>
  </si>
  <si>
    <t>Grace Brown</t>
  </si>
  <si>
    <t>ABI3095</t>
  </si>
  <si>
    <t>Matilda Roberts</t>
  </si>
  <si>
    <t>ABI3096</t>
  </si>
  <si>
    <t>Lara Poole</t>
  </si>
  <si>
    <t>ABI3097</t>
  </si>
  <si>
    <t>Zuri Hayden</t>
  </si>
  <si>
    <t>ABI3098</t>
  </si>
  <si>
    <t>Mary Steele</t>
  </si>
  <si>
    <t>ABI3099</t>
  </si>
  <si>
    <t>Milan Pickett</t>
  </si>
  <si>
    <t>ABI3100</t>
  </si>
  <si>
    <t>Karla Rojas</t>
  </si>
  <si>
    <t>ABI3101</t>
  </si>
  <si>
    <t>Frances Wolf</t>
  </si>
  <si>
    <t>ABI3102</t>
  </si>
  <si>
    <t>Isabelle Wilson</t>
  </si>
  <si>
    <t>ABI3103</t>
  </si>
  <si>
    <t>Lily Cox</t>
  </si>
  <si>
    <t>ABI3104</t>
  </si>
  <si>
    <t>Jessica Jenkins</t>
  </si>
  <si>
    <t>ABI3105</t>
  </si>
  <si>
    <t>Alisha Gibson</t>
  </si>
  <si>
    <t>ABI3106</t>
  </si>
  <si>
    <t>Niamh Barrett</t>
  </si>
  <si>
    <t>ABI3107</t>
  </si>
  <si>
    <t>Madison Huff</t>
  </si>
  <si>
    <t>ABI3108</t>
  </si>
  <si>
    <t>Diana Craft</t>
  </si>
  <si>
    <t>ABI3109</t>
  </si>
  <si>
    <t>Saige Briggs</t>
  </si>
  <si>
    <t>ABI3110</t>
  </si>
  <si>
    <t>Leah Douglas</t>
  </si>
  <si>
    <t>ABI3111</t>
  </si>
  <si>
    <t>Kassandra Ryan</t>
  </si>
  <si>
    <t>ABI3112</t>
  </si>
  <si>
    <t>Cory Arcangel</t>
  </si>
  <si>
    <t>ABI3113</t>
  </si>
  <si>
    <t>Mimi Gross</t>
  </si>
  <si>
    <t>ABI3114</t>
  </si>
  <si>
    <t>Roni Horn</t>
  </si>
  <si>
    <t>ABI3115</t>
  </si>
  <si>
    <t>Alfedo Jaar</t>
  </si>
  <si>
    <t>ABI3116</t>
  </si>
  <si>
    <t>Isreal Lund</t>
  </si>
  <si>
    <t>ABI3117</t>
  </si>
  <si>
    <t>Sara Cwynar</t>
  </si>
  <si>
    <t>ABI3118</t>
  </si>
  <si>
    <t>Agnes Denes</t>
  </si>
  <si>
    <t>ABI3119</t>
  </si>
  <si>
    <t>Ann Craven</t>
  </si>
  <si>
    <t>ABI3120</t>
  </si>
  <si>
    <t>Justin Lowe</t>
  </si>
  <si>
    <t>ABI3121</t>
  </si>
  <si>
    <t>Marian Smith</t>
  </si>
  <si>
    <t>ABI3122</t>
  </si>
  <si>
    <t>María Fernanda</t>
  </si>
  <si>
    <t>ABI3123</t>
  </si>
  <si>
    <t>Ana Sofía</t>
  </si>
  <si>
    <t>ABI3124</t>
  </si>
  <si>
    <t>María José</t>
  </si>
  <si>
    <t>ABI3125</t>
  </si>
  <si>
    <t>Gabriela Isabel</t>
  </si>
  <si>
    <t>ABI3126</t>
  </si>
  <si>
    <t>Valentina Sofía</t>
  </si>
  <si>
    <t>ABI3127</t>
  </si>
  <si>
    <t>Daniela Paola</t>
  </si>
  <si>
    <t>ABI3128</t>
  </si>
  <si>
    <t>Camila Andrea</t>
  </si>
  <si>
    <t>ABI3129</t>
  </si>
  <si>
    <t>Lucía Belén</t>
  </si>
  <si>
    <t>ABI3130</t>
  </si>
  <si>
    <t>Carla María</t>
  </si>
  <si>
    <t>ABI3131</t>
  </si>
  <si>
    <t>Isabella Victoria</t>
  </si>
  <si>
    <t>ABI3132</t>
  </si>
  <si>
    <t xml:space="preserve"> María Alejandra</t>
  </si>
  <si>
    <t>ABI3133</t>
  </si>
  <si>
    <t>Ana Patricia</t>
  </si>
  <si>
    <t>ABI3134</t>
  </si>
  <si>
    <t>Laura Isabel</t>
  </si>
  <si>
    <t>ABI3135</t>
  </si>
  <si>
    <t>Diana Carolina</t>
  </si>
  <si>
    <t>ABI3136</t>
  </si>
  <si>
    <t xml:space="preserve"> Julia Teresa</t>
  </si>
  <si>
    <t>ABI3137</t>
  </si>
  <si>
    <t>Sofía Valeria</t>
  </si>
  <si>
    <t>ABI3138</t>
  </si>
  <si>
    <t>Emilia Paola</t>
  </si>
  <si>
    <t>ABI3139</t>
  </si>
  <si>
    <t>Elena Beatriz</t>
  </si>
  <si>
    <t>ABI3140</t>
  </si>
  <si>
    <t>Claudia Vanessa</t>
  </si>
  <si>
    <t>ABI3141</t>
  </si>
  <si>
    <t>Natalia Irene</t>
  </si>
  <si>
    <t>ABI3142</t>
  </si>
  <si>
    <t>Fabiola Andrea</t>
  </si>
  <si>
    <t>ABI3143</t>
  </si>
  <si>
    <t>Mariana Lucía</t>
  </si>
  <si>
    <t>ABI3144</t>
  </si>
  <si>
    <t>Alejandra Noemí</t>
  </si>
  <si>
    <t>ABI3145</t>
  </si>
  <si>
    <t>Rosa Elena</t>
  </si>
  <si>
    <t>ABI3146</t>
  </si>
  <si>
    <t>Silvia Raquel</t>
  </si>
  <si>
    <t>ABI3147</t>
  </si>
  <si>
    <t>Verónica Belén</t>
  </si>
  <si>
    <t>ABI3148</t>
  </si>
  <si>
    <t>Yolanda Marisela</t>
  </si>
  <si>
    <t>ABI3149</t>
  </si>
  <si>
    <t>Adriana Lorena</t>
  </si>
  <si>
    <t>ABI3150</t>
  </si>
  <si>
    <t>Viviana Celeste</t>
  </si>
  <si>
    <t>ABI3151</t>
  </si>
  <si>
    <t xml:space="preserve"> Tamara Giselle</t>
  </si>
  <si>
    <t>ABI3152</t>
  </si>
  <si>
    <t>Anna Lena</t>
  </si>
  <si>
    <t>ABI3153</t>
  </si>
  <si>
    <t>Emma Sophie</t>
  </si>
  <si>
    <t>ABI3154</t>
  </si>
  <si>
    <t>Mia Rose</t>
  </si>
  <si>
    <t>ABI3155</t>
  </si>
  <si>
    <t>Lena Marie</t>
  </si>
  <si>
    <t>ABI3156</t>
  </si>
  <si>
    <t>Clara Luise</t>
  </si>
  <si>
    <t>ABI3157</t>
  </si>
  <si>
    <t>Sophie Julia</t>
  </si>
  <si>
    <t>ABI3158</t>
  </si>
  <si>
    <t>Marie Christine</t>
  </si>
  <si>
    <t>ABI3159</t>
  </si>
  <si>
    <t>Mia Sophie</t>
  </si>
  <si>
    <t>ABI3160</t>
  </si>
  <si>
    <t>Anna Maria</t>
  </si>
  <si>
    <t>ABI3161</t>
  </si>
  <si>
    <t>Lisa Marie</t>
  </si>
  <si>
    <t>ABI3162</t>
  </si>
  <si>
    <t>Ella Rose</t>
  </si>
  <si>
    <t>ABI3163</t>
  </si>
  <si>
    <t>Greta Louise</t>
  </si>
  <si>
    <t>ABI3164</t>
  </si>
  <si>
    <t>Sara Lena</t>
  </si>
  <si>
    <t>ABI3165</t>
  </si>
  <si>
    <t>Emilia Jane</t>
  </si>
  <si>
    <t>ABI3166</t>
  </si>
  <si>
    <t>Tilda Sophie</t>
  </si>
  <si>
    <t>ABI3167</t>
  </si>
  <si>
    <t>Nora Lisa</t>
  </si>
  <si>
    <t>ABI3168</t>
  </si>
  <si>
    <t>Emma Clara</t>
  </si>
  <si>
    <t>ABI3169</t>
  </si>
  <si>
    <t>Laura Marie</t>
  </si>
  <si>
    <t>ABI3170</t>
  </si>
  <si>
    <t>Clara Ella</t>
  </si>
  <si>
    <t>ABI3171</t>
  </si>
  <si>
    <t>Anna Sophie</t>
  </si>
  <si>
    <t>ABI3172</t>
  </si>
  <si>
    <t>Lina Marie</t>
  </si>
  <si>
    <t>ABI3173</t>
  </si>
  <si>
    <t>Julia Ann</t>
  </si>
  <si>
    <t>ABI3174</t>
  </si>
  <si>
    <t>Lisa Charlotte</t>
  </si>
  <si>
    <t>ABI3175</t>
  </si>
  <si>
    <t>Emilia Faye</t>
  </si>
  <si>
    <t>ABI3176</t>
  </si>
  <si>
    <t>Amelie Grace</t>
  </si>
  <si>
    <t>ABI3177</t>
  </si>
  <si>
    <t>Leni Marie</t>
  </si>
  <si>
    <t>ABI3178</t>
  </si>
  <si>
    <t>Lisa Anne</t>
  </si>
  <si>
    <t>ABI3179</t>
  </si>
  <si>
    <t>Ronja Marie</t>
  </si>
  <si>
    <t>ABI3180</t>
  </si>
  <si>
    <t>Freya Lotte</t>
  </si>
  <si>
    <t>ABI3181</t>
  </si>
  <si>
    <t>Johanna Claire</t>
  </si>
  <si>
    <t>ABI3182</t>
  </si>
  <si>
    <t>Anna Sergeyevna</t>
  </si>
  <si>
    <t>ABI3183</t>
  </si>
  <si>
    <t>Maria Ivanovna</t>
  </si>
  <si>
    <t>ABI3184</t>
  </si>
  <si>
    <t>Ekaterina Alexandrovna</t>
  </si>
  <si>
    <t>ABI3185</t>
  </si>
  <si>
    <t>Daria Petrovna</t>
  </si>
  <si>
    <t>ABI3186</t>
  </si>
  <si>
    <t>Anastasia Viktorovna</t>
  </si>
  <si>
    <t>ABI3187</t>
  </si>
  <si>
    <t>Olga Dmitrievna</t>
  </si>
  <si>
    <t>ABI3188</t>
  </si>
  <si>
    <t>Natalia Andreevna</t>
  </si>
  <si>
    <t>ABI3189</t>
  </si>
  <si>
    <t>Svetlana Mikhailovna</t>
  </si>
  <si>
    <t>ABI3190</t>
  </si>
  <si>
    <t>Yulia Sergeyevna</t>
  </si>
  <si>
    <t>ABI3191</t>
  </si>
  <si>
    <t>Polina Leonidovna</t>
  </si>
  <si>
    <t>ABI3192</t>
  </si>
  <si>
    <t>Ksenia Evgenyevna</t>
  </si>
  <si>
    <t>ABI3193</t>
  </si>
  <si>
    <t>Vera Nikolayevna</t>
  </si>
  <si>
    <t>ABI3194</t>
  </si>
  <si>
    <t>Lyudmila Anatolyevna</t>
  </si>
  <si>
    <t>ABI3195</t>
  </si>
  <si>
    <t>Elena Yurievna</t>
  </si>
  <si>
    <t>ABI3196</t>
  </si>
  <si>
    <t>Irina Vladimirovna</t>
  </si>
  <si>
    <t>ABI3197</t>
  </si>
  <si>
    <t>Tatiana Sergeyevna</t>
  </si>
  <si>
    <t>ABI3198</t>
  </si>
  <si>
    <t>Marina Alexandrovna</t>
  </si>
  <si>
    <t>ABI3199</t>
  </si>
  <si>
    <t>Galina Borisovna</t>
  </si>
  <si>
    <t>ABI3200</t>
  </si>
  <si>
    <t>Alena Andreevna</t>
  </si>
  <si>
    <t>ABI3201</t>
  </si>
  <si>
    <t>Larisa Ivanovna</t>
  </si>
  <si>
    <t>ABI3202</t>
  </si>
  <si>
    <t>Kristina Alexandrovna</t>
  </si>
  <si>
    <t>ABI3203</t>
  </si>
  <si>
    <t>Valentina Mikhailovna</t>
  </si>
  <si>
    <t>ABI3204</t>
  </si>
  <si>
    <t>Sofia Vasilyevna</t>
  </si>
  <si>
    <t>ABI3205</t>
  </si>
  <si>
    <t>Tatyana Viktorovna</t>
  </si>
  <si>
    <t>ABI3206</t>
  </si>
  <si>
    <t>Nadezhda Dmitrievna</t>
  </si>
  <si>
    <t>ABI3207</t>
  </si>
  <si>
    <t>Lilia Stanislavovna</t>
  </si>
  <si>
    <t>ABI3208</t>
  </si>
  <si>
    <t>Oksana Igorevna</t>
  </si>
  <si>
    <t>ABI3209</t>
  </si>
  <si>
    <t>Zinaida Petrovna</t>
  </si>
  <si>
    <t>ABI3210</t>
  </si>
  <si>
    <t>Elena Vasilievna</t>
  </si>
  <si>
    <t>ABI3211</t>
  </si>
  <si>
    <t>Svetlana Grigorevna</t>
  </si>
  <si>
    <t>ABI3212</t>
  </si>
  <si>
    <t>Lukas Anders</t>
  </si>
  <si>
    <t>ABI3213</t>
  </si>
  <si>
    <t>Emil Jakob</t>
  </si>
  <si>
    <t>ABI3214</t>
  </si>
  <si>
    <t>Magnus Otto</t>
  </si>
  <si>
    <t>ABI3215</t>
  </si>
  <si>
    <t>Mikkel Lars</t>
  </si>
  <si>
    <t>ABI3216</t>
  </si>
  <si>
    <t>Oliver Peter</t>
  </si>
  <si>
    <t>ABI3217</t>
  </si>
  <si>
    <t>Benjamin Rasmus</t>
  </si>
  <si>
    <t>ABI3218</t>
  </si>
  <si>
    <t>Victor Elias</t>
  </si>
  <si>
    <t>ABI3219</t>
  </si>
  <si>
    <t>Anton Kristian</t>
  </si>
  <si>
    <t>ABI3220</t>
  </si>
  <si>
    <t>Noah Tobias</t>
  </si>
  <si>
    <t>ABI3221</t>
  </si>
  <si>
    <t>Frederik Soren</t>
  </si>
  <si>
    <t>ABI3222</t>
  </si>
  <si>
    <t>Julie Emilie</t>
  </si>
  <si>
    <t>ABI3223</t>
  </si>
  <si>
    <t>Sara Mette</t>
  </si>
  <si>
    <t>ABI3224</t>
  </si>
  <si>
    <t>Agnes Lykke</t>
  </si>
  <si>
    <t>ABI3225</t>
  </si>
  <si>
    <t>Clara Marie</t>
  </si>
  <si>
    <t>ABI3226</t>
  </si>
  <si>
    <t>Freja Mathilde</t>
  </si>
  <si>
    <t>ABI3227</t>
  </si>
  <si>
    <t>Signe Therese</t>
  </si>
  <si>
    <t>ABI3228</t>
  </si>
  <si>
    <t>Sofie Marie</t>
  </si>
  <si>
    <t>ABI3229</t>
  </si>
  <si>
    <t>Stine Elise</t>
  </si>
  <si>
    <t>ABI3230</t>
  </si>
  <si>
    <t>Amalie Nanna</t>
  </si>
  <si>
    <t>ABI3231</t>
  </si>
  <si>
    <t>Matilde Liv</t>
  </si>
  <si>
    <t>ABI3232</t>
  </si>
  <si>
    <t>Karoline Sofie</t>
  </si>
  <si>
    <t>ABI3233</t>
  </si>
  <si>
    <t>Alma Victoria</t>
  </si>
  <si>
    <t>ABI3234</t>
  </si>
  <si>
    <t>Selma Liv</t>
  </si>
  <si>
    <t>ABI3235</t>
  </si>
  <si>
    <t>Laura Sofie</t>
  </si>
  <si>
    <t>ABI3236</t>
  </si>
  <si>
    <t>Marie Louise</t>
  </si>
  <si>
    <t>ABI3237</t>
  </si>
  <si>
    <t>Maja Isabella</t>
  </si>
  <si>
    <t>ABI3238</t>
  </si>
  <si>
    <t>Embla Freja</t>
  </si>
  <si>
    <t>ABI3239</t>
  </si>
  <si>
    <t>Nanna Sofia</t>
  </si>
  <si>
    <t>ABI3240</t>
  </si>
  <si>
    <t>Rina Alexandra</t>
  </si>
  <si>
    <t>ABI3241</t>
  </si>
  <si>
    <t>Mira Isabel</t>
  </si>
  <si>
    <t>ABI3242</t>
  </si>
  <si>
    <t>Min Joon</t>
  </si>
  <si>
    <t>ABI3243</t>
  </si>
  <si>
    <t>Ji Hoon</t>
  </si>
  <si>
    <t>ABI3244</t>
  </si>
  <si>
    <t>Hyun Woo</t>
  </si>
  <si>
    <t>ABI3245</t>
  </si>
  <si>
    <t>Tae Hyung</t>
  </si>
  <si>
    <t>ABI3246</t>
  </si>
  <si>
    <t>Sang Min</t>
  </si>
  <si>
    <t>ABI3247</t>
  </si>
  <si>
    <t>Jae Hyun</t>
  </si>
  <si>
    <t>ABI3248</t>
  </si>
  <si>
    <t>Dong Hoon</t>
  </si>
  <si>
    <t>ABI3249</t>
  </si>
  <si>
    <t>Seok Jin</t>
  </si>
  <si>
    <t>ABI3250</t>
  </si>
  <si>
    <t>Sung Hoon</t>
  </si>
  <si>
    <t>ABI3251</t>
  </si>
  <si>
    <t>Yong Jae</t>
  </si>
  <si>
    <t>ABI3252</t>
  </si>
  <si>
    <t>Ji Eun</t>
  </si>
  <si>
    <t>ABI3253</t>
  </si>
  <si>
    <t>Soo Jin</t>
  </si>
  <si>
    <t>ABI3254</t>
  </si>
  <si>
    <t>Hye Jin</t>
  </si>
  <si>
    <t>ABI3255</t>
  </si>
  <si>
    <t>Min Seo</t>
  </si>
  <si>
    <t>ABI3256</t>
  </si>
  <si>
    <t>Seo Yeon</t>
  </si>
  <si>
    <t>ABI3257</t>
  </si>
  <si>
    <t>Eun Kyung</t>
  </si>
  <si>
    <t>ABI3258</t>
  </si>
  <si>
    <t>Yoon Ah</t>
  </si>
  <si>
    <t>ABI3259</t>
  </si>
  <si>
    <t>Na Ra</t>
  </si>
  <si>
    <t>ABI3260</t>
  </si>
  <si>
    <t>Ha Na</t>
  </si>
  <si>
    <t>ABI3261</t>
  </si>
  <si>
    <t>Kyung Mi</t>
  </si>
  <si>
    <t>ABI3262</t>
  </si>
  <si>
    <t>Jin Hee</t>
  </si>
  <si>
    <t>ABI3263</t>
  </si>
  <si>
    <t>Yoo Ra</t>
  </si>
  <si>
    <t>ABI3264</t>
  </si>
  <si>
    <t>Mi Hyun</t>
  </si>
  <si>
    <t>ABI3265</t>
  </si>
  <si>
    <t>Bo Ra</t>
  </si>
  <si>
    <t>ABI3266</t>
  </si>
  <si>
    <t>Soo Min</t>
  </si>
  <si>
    <t>ABI3267</t>
  </si>
  <si>
    <t>Sun Hee</t>
  </si>
  <si>
    <t>ABI3268</t>
  </si>
  <si>
    <t>Ji Na</t>
  </si>
  <si>
    <t>ABI3269</t>
  </si>
  <si>
    <t>Hae Jin</t>
  </si>
  <si>
    <t>ABI3270</t>
  </si>
  <si>
    <t>Kyung Sun</t>
  </si>
  <si>
    <t>ABI3271</t>
  </si>
  <si>
    <t>Seung Yeon</t>
  </si>
  <si>
    <t>ABI3272</t>
  </si>
  <si>
    <t>Haruto Takashi</t>
  </si>
  <si>
    <t>ABI3273</t>
  </si>
  <si>
    <t>Daiki Yamato</t>
  </si>
  <si>
    <t>ABI3274</t>
  </si>
  <si>
    <t>Riku Saito</t>
  </si>
  <si>
    <t>ABI3275</t>
  </si>
  <si>
    <t>Kaito Fujimoto</t>
  </si>
  <si>
    <t>ABI3276</t>
  </si>
  <si>
    <t>Yuki Tanaka</t>
  </si>
  <si>
    <t>ABI3277</t>
  </si>
  <si>
    <t>Ren Yoshida</t>
  </si>
  <si>
    <t>ABI3278</t>
  </si>
  <si>
    <t>Haruki Nakamura</t>
  </si>
  <si>
    <t>ABI3279</t>
  </si>
  <si>
    <t>Shohei Watanabe</t>
  </si>
  <si>
    <t>ABI3280</t>
  </si>
  <si>
    <t>Takumi Suzuki</t>
  </si>
  <si>
    <t>ABI3281</t>
  </si>
  <si>
    <t>Sora Kudo</t>
  </si>
  <si>
    <t>ABI3282</t>
  </si>
  <si>
    <t>Itsuki Aoki</t>
  </si>
  <si>
    <t>ABI3283</t>
  </si>
  <si>
    <t>Yuto Ishikawa</t>
  </si>
  <si>
    <t>ABI3284</t>
  </si>
  <si>
    <t>Kenta Matsumoto</t>
  </si>
  <si>
    <t>ABI3285</t>
  </si>
  <si>
    <t>Masato Kobayashi</t>
  </si>
  <si>
    <t>ABI3286</t>
  </si>
  <si>
    <t>Ryohei Hasegawa</t>
  </si>
  <si>
    <t>ABI3287</t>
  </si>
  <si>
    <t>Aiko Tanaka</t>
  </si>
  <si>
    <t>ABI3288</t>
  </si>
  <si>
    <t>Yuki Sato</t>
  </si>
  <si>
    <t>ABI3289</t>
  </si>
  <si>
    <t>Hana Matsui</t>
  </si>
  <si>
    <t>ABI3290</t>
  </si>
  <si>
    <t>Saki Watanabe</t>
  </si>
  <si>
    <t>ABI3291</t>
  </si>
  <si>
    <t>Rei Nakamura</t>
  </si>
  <si>
    <t>ABI3292</t>
  </si>
  <si>
    <t>Mei Kobayashi</t>
  </si>
  <si>
    <t>ABI3293</t>
  </si>
  <si>
    <t>Rina Yamashita</t>
  </si>
  <si>
    <t>ABI3294</t>
  </si>
  <si>
    <t>Nami Fujita</t>
  </si>
  <si>
    <t>ABI3295</t>
  </si>
  <si>
    <t>Haruka Yoshida</t>
  </si>
  <si>
    <t>ABI3296</t>
  </si>
  <si>
    <t>Akane Takahashi</t>
  </si>
  <si>
    <t>ABI3297</t>
  </si>
  <si>
    <t>Sora Kimura</t>
  </si>
  <si>
    <t>ABI3298</t>
  </si>
  <si>
    <t>Kanon Iwasaki</t>
  </si>
  <si>
    <t>ABI3299</t>
  </si>
  <si>
    <t>Yui Matsumoto</t>
  </si>
  <si>
    <t>ABI3300</t>
  </si>
  <si>
    <t>Ami Suzuki</t>
  </si>
  <si>
    <t>ABI3301</t>
  </si>
  <si>
    <t>Miku Hoshino</t>
  </si>
  <si>
    <t>ABI3302</t>
  </si>
  <si>
    <t>Ana Clara</t>
  </si>
  <si>
    <t>ABI3303</t>
  </si>
  <si>
    <t>Maria Luiza</t>
  </si>
  <si>
    <t>ABI3304</t>
  </si>
  <si>
    <t>Sofia Beatriz</t>
  </si>
  <si>
    <t>ABI3305</t>
  </si>
  <si>
    <t>Laura Vitória</t>
  </si>
  <si>
    <t>ABI3306</t>
  </si>
  <si>
    <t>Júlia Fernanda</t>
  </si>
  <si>
    <t>ABI3307</t>
  </si>
  <si>
    <t>Camila Roberta</t>
  </si>
  <si>
    <t>ABI3308</t>
  </si>
  <si>
    <t>Isadora Mendes</t>
  </si>
  <si>
    <t>ABI3309</t>
  </si>
  <si>
    <t>Mariana Lima</t>
  </si>
  <si>
    <t>ABI3310</t>
  </si>
  <si>
    <t>Letícia Alves</t>
  </si>
  <si>
    <t>ABI3311</t>
  </si>
  <si>
    <t>Luana Martins</t>
  </si>
  <si>
    <t>ABI3312</t>
  </si>
  <si>
    <t>Rafaela Gonçalves</t>
  </si>
  <si>
    <t>ABI3313</t>
  </si>
  <si>
    <t>Bianca Tavares</t>
  </si>
  <si>
    <t>ABI3314</t>
  </si>
  <si>
    <t>Carolina Ribeiro</t>
  </si>
  <si>
    <t>ABI3315</t>
  </si>
  <si>
    <t>Fernanda Pires</t>
  </si>
  <si>
    <t>ABI3316</t>
  </si>
  <si>
    <t>Valentina Santos</t>
  </si>
  <si>
    <t>ABI3317</t>
  </si>
  <si>
    <t>Daniela Costa</t>
  </si>
  <si>
    <t>ABI3318</t>
  </si>
  <si>
    <t>Elisa Carvalho</t>
  </si>
  <si>
    <t>ABI3319</t>
  </si>
  <si>
    <t>Tânia Oliveira</t>
  </si>
  <si>
    <t>ABI3320</t>
  </si>
  <si>
    <t>Priscila Ferreira</t>
  </si>
  <si>
    <t>ABI3321</t>
  </si>
  <si>
    <t>Larissa Nascimento</t>
  </si>
  <si>
    <t>ABI3322</t>
  </si>
  <si>
    <t>João Pedro</t>
  </si>
  <si>
    <t>ABI3323</t>
  </si>
  <si>
    <t>Lucas Fernando</t>
  </si>
  <si>
    <t>ABI3324</t>
  </si>
  <si>
    <t>Miguel Henrique</t>
  </si>
  <si>
    <t>ABI3325</t>
  </si>
  <si>
    <t>Gabriel Alves</t>
  </si>
  <si>
    <t>ABI3326</t>
  </si>
  <si>
    <t>Rafael Augusto</t>
  </si>
  <si>
    <t>ABI3327</t>
  </si>
  <si>
    <t>Thiago Silva</t>
  </si>
  <si>
    <t>ABI3328</t>
  </si>
  <si>
    <t>Felipe Martins</t>
  </si>
  <si>
    <t>ABI3329</t>
  </si>
  <si>
    <t>Bruno Costa</t>
  </si>
  <si>
    <t>ABI3330</t>
  </si>
  <si>
    <t>Caio Ribeiro</t>
  </si>
  <si>
    <t>ABI3331</t>
  </si>
  <si>
    <t>Matheus Lima</t>
  </si>
  <si>
    <t>ABI3332</t>
  </si>
  <si>
    <t>Oliver James</t>
  </si>
  <si>
    <t>ABI3333</t>
  </si>
  <si>
    <t>Amelia Rose</t>
  </si>
  <si>
    <t>ABI3334</t>
  </si>
  <si>
    <t>Henry Charles</t>
  </si>
  <si>
    <t>ABI3335</t>
  </si>
  <si>
    <t>Lily Mae</t>
  </si>
  <si>
    <t>ABI3336</t>
  </si>
  <si>
    <t>Theodore Edward</t>
  </si>
  <si>
    <t>ABI3337</t>
  </si>
  <si>
    <t>Ella Grace</t>
  </si>
  <si>
    <t>ABI3338</t>
  </si>
  <si>
    <t>Arthur Joseph</t>
  </si>
  <si>
    <t>ABI3339</t>
  </si>
  <si>
    <t>Charlotte Anne</t>
  </si>
  <si>
    <t>ABI3340</t>
  </si>
  <si>
    <t>Jack Thomas</t>
  </si>
  <si>
    <t>ABI3341</t>
  </si>
  <si>
    <t>Emily Jane</t>
  </si>
  <si>
    <t>ABI3342</t>
  </si>
  <si>
    <t>George Samuel</t>
  </si>
  <si>
    <t>ABI3343</t>
  </si>
  <si>
    <t>Ruby Kate</t>
  </si>
  <si>
    <t>ABI3344</t>
  </si>
  <si>
    <t>Alfie Louis</t>
  </si>
  <si>
    <t>ABI3345</t>
  </si>
  <si>
    <t>Isla Belle</t>
  </si>
  <si>
    <t>ABI3346</t>
  </si>
  <si>
    <t>Benjamin David</t>
  </si>
  <si>
    <t>ABI3347</t>
  </si>
  <si>
    <t>Mia Faith</t>
  </si>
  <si>
    <t>ABI3348</t>
  </si>
  <si>
    <t>Harry Daniel</t>
  </si>
  <si>
    <t>ABI3349</t>
  </si>
  <si>
    <t>Poppy Claire</t>
  </si>
  <si>
    <t>ABI3350</t>
  </si>
  <si>
    <t>Isaac Matthew</t>
  </si>
  <si>
    <t>ABI3351</t>
  </si>
  <si>
    <t>Sophie Louise</t>
  </si>
  <si>
    <t>ABI3352</t>
  </si>
  <si>
    <t>Louis Antoine</t>
  </si>
  <si>
    <t>ABI3353</t>
  </si>
  <si>
    <t>Emma Claire</t>
  </si>
  <si>
    <t>ABI3354</t>
  </si>
  <si>
    <t>Julien Marc</t>
  </si>
  <si>
    <t>ABI3355</t>
  </si>
  <si>
    <t>Chloé Marie</t>
  </si>
  <si>
    <t>ABI3356</t>
  </si>
  <si>
    <t>Victor Hugo</t>
  </si>
  <si>
    <t>ABI3357</t>
  </si>
  <si>
    <t>Camille Rose</t>
  </si>
  <si>
    <t>ABI3358</t>
  </si>
  <si>
    <t>Mathis Alexandre</t>
  </si>
  <si>
    <t>ABI3359</t>
  </si>
  <si>
    <t>Léa Elise</t>
  </si>
  <si>
    <t>ABI3360</t>
  </si>
  <si>
    <t>Gabriel Paul</t>
  </si>
  <si>
    <t>ABI3361</t>
  </si>
  <si>
    <t>Anaïs Juliette</t>
  </si>
  <si>
    <t>ABI3362</t>
  </si>
  <si>
    <t>Nathan Simon</t>
  </si>
  <si>
    <t>ABI3363</t>
  </si>
  <si>
    <t>Clara Louise</t>
  </si>
  <si>
    <t>ABI3364</t>
  </si>
  <si>
    <t>Sacha Pierre</t>
  </si>
  <si>
    <t>ABI3365</t>
  </si>
  <si>
    <t>Émilie Noelle</t>
  </si>
  <si>
    <t>ABI3366</t>
  </si>
  <si>
    <t>Théo Lucas</t>
  </si>
  <si>
    <t>ABI3367</t>
  </si>
  <si>
    <t>Justine Sophie</t>
  </si>
  <si>
    <t>ABI3368</t>
  </si>
  <si>
    <t>Alexandre Julien</t>
  </si>
  <si>
    <t>ABI3369</t>
  </si>
  <si>
    <t>Zoé Amélie</t>
  </si>
  <si>
    <t>ABI3370</t>
  </si>
  <si>
    <t>Lucas André</t>
  </si>
  <si>
    <t>ABI3371</t>
  </si>
  <si>
    <t>Manon Cécile</t>
  </si>
  <si>
    <t>ABI3372</t>
  </si>
  <si>
    <t>Mateo Cruz</t>
  </si>
  <si>
    <t>ABI3373</t>
  </si>
  <si>
    <t>Diego León</t>
  </si>
  <si>
    <t>ABI3374</t>
  </si>
  <si>
    <t>Carlos García</t>
  </si>
  <si>
    <t>ABI3375</t>
  </si>
  <si>
    <t>Pablo Ruiz</t>
  </si>
  <si>
    <t>ABI3376</t>
  </si>
  <si>
    <t>Luis Torres</t>
  </si>
  <si>
    <t>ABI3377</t>
  </si>
  <si>
    <t>Miguel Soto</t>
  </si>
  <si>
    <t>ABI3378</t>
  </si>
  <si>
    <t>Andrés Silva</t>
  </si>
  <si>
    <t>ABI3379</t>
  </si>
  <si>
    <t>Hugo Reyes</t>
  </si>
  <si>
    <t>ABI3380</t>
  </si>
  <si>
    <t>Juan Castro</t>
  </si>
  <si>
    <t>ABI3381</t>
  </si>
  <si>
    <t>Fernando Pérez</t>
  </si>
  <si>
    <t>ABI3382</t>
  </si>
  <si>
    <t>Ana María</t>
  </si>
  <si>
    <t>ABI3383</t>
  </si>
  <si>
    <t>Carla Gómez</t>
  </si>
  <si>
    <t>ABI3384</t>
  </si>
  <si>
    <t>Sofía Vargas</t>
  </si>
  <si>
    <t>ABI3385</t>
  </si>
  <si>
    <t>Lucia Romero</t>
  </si>
  <si>
    <t>ABI3386</t>
  </si>
  <si>
    <t>Elena Díaz</t>
  </si>
  <si>
    <t>ABI3387</t>
  </si>
  <si>
    <t>Valentina Ortiz</t>
  </si>
  <si>
    <t>ABI3388</t>
  </si>
  <si>
    <t>Rosa Martínez</t>
  </si>
  <si>
    <t>ABI3389</t>
  </si>
  <si>
    <t>Clara Sánchez</t>
  </si>
  <si>
    <t>ABI3390</t>
  </si>
  <si>
    <t>Mariana Torres</t>
  </si>
  <si>
    <t>ABI3391</t>
  </si>
  <si>
    <t>Isabel Flores</t>
  </si>
  <si>
    <t>ABI3392</t>
  </si>
  <si>
    <t>Ruby Mae</t>
  </si>
  <si>
    <t>ABI3393</t>
  </si>
  <si>
    <t>Lily Grace</t>
  </si>
  <si>
    <t>ABI3394</t>
  </si>
  <si>
    <t>Ava Rose</t>
  </si>
  <si>
    <t>ABI3395</t>
  </si>
  <si>
    <t>Mia Jade</t>
  </si>
  <si>
    <t>ABI3396</t>
  </si>
  <si>
    <t>Chloe Belle</t>
  </si>
  <si>
    <t>ABI3397</t>
  </si>
  <si>
    <t>Zoe Quinn</t>
  </si>
  <si>
    <t>ABI3398</t>
  </si>
  <si>
    <t>Isla Jane</t>
  </si>
  <si>
    <t>ABI3399</t>
  </si>
  <si>
    <t>Tessa Lynn</t>
  </si>
  <si>
    <t>ABI3400</t>
  </si>
  <si>
    <t>Harper Lee</t>
  </si>
  <si>
    <t>ABI3401</t>
  </si>
  <si>
    <t>Sienna Joy</t>
  </si>
  <si>
    <t>ABI3402</t>
  </si>
  <si>
    <t>Willow Kate</t>
  </si>
  <si>
    <t>ABI3403</t>
  </si>
  <si>
    <t>Emily Anne</t>
  </si>
  <si>
    <t>ABI3404</t>
  </si>
  <si>
    <t>Georgia Faye</t>
  </si>
  <si>
    <t>ABI3405</t>
  </si>
  <si>
    <t>ABI3406</t>
  </si>
  <si>
    <t>Amber Louise</t>
  </si>
  <si>
    <t>ABI3407</t>
  </si>
  <si>
    <t>Tahlia Brooke</t>
  </si>
  <si>
    <t>ABI3408</t>
  </si>
  <si>
    <t>Freya Dawn</t>
  </si>
  <si>
    <t>ABI3409</t>
  </si>
  <si>
    <t>Sophie Rae</t>
  </si>
  <si>
    <t>ABI3410</t>
  </si>
  <si>
    <t>Charlotte Paige</t>
  </si>
  <si>
    <t>ABI3411</t>
  </si>
  <si>
    <t>Bella Skye</t>
  </si>
  <si>
    <t>ABI3412</t>
  </si>
  <si>
    <t>Anna Ivanivna</t>
  </si>
  <si>
    <t>ABI3413</t>
  </si>
  <si>
    <t>Maria Petrova</t>
  </si>
  <si>
    <t>ABI3414</t>
  </si>
  <si>
    <t>Olena Mykolaivna</t>
  </si>
  <si>
    <t>ABI3415</t>
  </si>
  <si>
    <t>Kateryna Serhiyivna</t>
  </si>
  <si>
    <t>ABI3416</t>
  </si>
  <si>
    <t>Daria Volodymyrivna</t>
  </si>
  <si>
    <t>ABI3417</t>
  </si>
  <si>
    <t>Viktoria Oleksandrivna</t>
  </si>
  <si>
    <t>ABI3418</t>
  </si>
  <si>
    <t>Halyna Olegivna</t>
  </si>
  <si>
    <t>ABI3419</t>
  </si>
  <si>
    <t>Yulia Vasylivna</t>
  </si>
  <si>
    <t>ABI3420</t>
  </si>
  <si>
    <t>Iryna Stepanivna</t>
  </si>
  <si>
    <t>ABI3421</t>
  </si>
  <si>
    <t>Nataliya Andriyivna</t>
  </si>
  <si>
    <t>ABI3422</t>
  </si>
  <si>
    <t>Svitlana Leonidivna</t>
  </si>
  <si>
    <t>ABI3423</t>
  </si>
  <si>
    <t>Tetiana Myroslavivna</t>
  </si>
  <si>
    <t>ABI3424</t>
  </si>
  <si>
    <t>Valentina Romanivna</t>
  </si>
  <si>
    <t>ABI3425</t>
  </si>
  <si>
    <t>Kristina Yuriyivna</t>
  </si>
  <si>
    <t>ABI3426</t>
  </si>
  <si>
    <t>Oksana Viktorivna</t>
  </si>
  <si>
    <t>ABI3427</t>
  </si>
  <si>
    <t>Anna Kowalska</t>
  </si>
  <si>
    <t>ABI3428</t>
  </si>
  <si>
    <t>Maria Nowak</t>
  </si>
  <si>
    <t>ABI3429</t>
  </si>
  <si>
    <t>Zofia Wiśniewska</t>
  </si>
  <si>
    <t>ABI3430</t>
  </si>
  <si>
    <t>Helena Jankowska</t>
  </si>
  <si>
    <t>ABI3431</t>
  </si>
  <si>
    <t>Julia Wójcik</t>
  </si>
  <si>
    <t>ABI3432</t>
  </si>
  <si>
    <t>Karolina Zielińska</t>
  </si>
  <si>
    <t>ABI3433</t>
  </si>
  <si>
    <t>Katarzyna Piotrowska</t>
  </si>
  <si>
    <t>ABI3434</t>
  </si>
  <si>
    <t>Ewa Kamińska</t>
  </si>
  <si>
    <t>ABI3435</t>
  </si>
  <si>
    <t>Monika Dąbrowska</t>
  </si>
  <si>
    <t>ABI3436</t>
  </si>
  <si>
    <t>Alicja Pawlak</t>
  </si>
  <si>
    <t>ABI3437</t>
  </si>
  <si>
    <t>Iwona Szymczak</t>
  </si>
  <si>
    <t>ABI3438</t>
  </si>
  <si>
    <t>Emilia Król</t>
  </si>
  <si>
    <t>ABI3439</t>
  </si>
  <si>
    <t>Natalia Kaczmarek</t>
  </si>
  <si>
    <t>ABI3440</t>
  </si>
  <si>
    <t>Patrycja Bąk</t>
  </si>
  <si>
    <t>ABI3441</t>
  </si>
  <si>
    <t>Weronika Baran</t>
  </si>
  <si>
    <t>ABI3442</t>
  </si>
  <si>
    <t>Aisha Al-Fahad</t>
  </si>
  <si>
    <t>ABI3443</t>
  </si>
  <si>
    <t>Noor Al-Saud</t>
  </si>
  <si>
    <t>ABI3444</t>
  </si>
  <si>
    <t>Fatima Al-Hussein</t>
  </si>
  <si>
    <t>ABI3445</t>
  </si>
  <si>
    <t>Layla Al-Zahrani</t>
  </si>
  <si>
    <t>ABI3446</t>
  </si>
  <si>
    <t>Sara Al-Omari</t>
  </si>
  <si>
    <t>ABI3447</t>
  </si>
  <si>
    <t>Hana Al-Mansour</t>
  </si>
  <si>
    <t>ABI3448</t>
  </si>
  <si>
    <t>Yasmin Al-Ahmad</t>
  </si>
  <si>
    <t>ABI3449</t>
  </si>
  <si>
    <t>Rania Al-Shahrani</t>
  </si>
  <si>
    <t>ABI3450</t>
  </si>
  <si>
    <t>Salma Al-Mutairi</t>
  </si>
  <si>
    <t>ABI3451</t>
  </si>
  <si>
    <t>Dalia Al-Saeed</t>
  </si>
  <si>
    <t>ABI3452</t>
  </si>
  <si>
    <t>Joud Al-Rashid</t>
  </si>
  <si>
    <t>ABI3453</t>
  </si>
  <si>
    <t>Najwa Al-Harbi</t>
  </si>
  <si>
    <t>ABI3454</t>
  </si>
  <si>
    <t>Huda Al-Naimi</t>
  </si>
  <si>
    <t>ABI3455</t>
  </si>
  <si>
    <t>Samira Al-Sabhan</t>
  </si>
  <si>
    <t>ABI3456</t>
  </si>
  <si>
    <t>Lina Al-Balawi</t>
  </si>
  <si>
    <t>ABI3457</t>
  </si>
  <si>
    <t>Ahmed Al-Ghamdi</t>
  </si>
  <si>
    <t>ABI3458</t>
  </si>
  <si>
    <t>Mohammed Al-Rahman</t>
  </si>
  <si>
    <t>ABI3459</t>
  </si>
  <si>
    <t>Khalid Al-Ansari</t>
  </si>
  <si>
    <t>ABI3460</t>
  </si>
  <si>
    <t>Faisal Al-Jaber</t>
  </si>
  <si>
    <t>ABI3461</t>
  </si>
  <si>
    <t>Omar Al-Mansoor</t>
  </si>
  <si>
    <t>ABI3462</t>
  </si>
  <si>
    <t>Luca Müller</t>
  </si>
  <si>
    <t>ABI3463</t>
  </si>
  <si>
    <t>Noah Schneider</t>
  </si>
  <si>
    <t>ABI3464</t>
  </si>
  <si>
    <t>Leon Meier</t>
  </si>
  <si>
    <t>ABI3465</t>
  </si>
  <si>
    <t>Felix Fischer</t>
  </si>
  <si>
    <t>ABI3466</t>
  </si>
  <si>
    <t>Julian Weber</t>
  </si>
  <si>
    <t>ABI3467</t>
  </si>
  <si>
    <t>Emma Schneider</t>
  </si>
  <si>
    <t>ABI3468</t>
  </si>
  <si>
    <t>Mia Keller</t>
  </si>
  <si>
    <t>ABI3469</t>
  </si>
  <si>
    <t>Lara Baumann</t>
  </si>
  <si>
    <t>ABI3470</t>
  </si>
  <si>
    <t>Sofia Gerber</t>
  </si>
  <si>
    <t>ABI3471</t>
  </si>
  <si>
    <t>Nina Rieder</t>
  </si>
  <si>
    <t>ABI3472</t>
  </si>
  <si>
    <t>Tashi Dorji</t>
  </si>
  <si>
    <t>ABI3473</t>
  </si>
  <si>
    <t>Karma Tshering</t>
  </si>
  <si>
    <t>ABI3474</t>
  </si>
  <si>
    <t>Jigme Wangchuk</t>
  </si>
  <si>
    <t>ABI3475</t>
  </si>
  <si>
    <t>Sangay Phuntsho</t>
  </si>
  <si>
    <t>ABI3476</t>
  </si>
  <si>
    <t>Phub Tshering</t>
  </si>
  <si>
    <t>ABI3477</t>
  </si>
  <si>
    <t>Pema Choden</t>
  </si>
  <si>
    <t>ABI3478</t>
  </si>
  <si>
    <t>Dechen Wangmo</t>
  </si>
  <si>
    <t>ABI3479</t>
  </si>
  <si>
    <t>Sangay Zangmo</t>
  </si>
  <si>
    <t>ABI3480</t>
  </si>
  <si>
    <t>Khandu Dema</t>
  </si>
  <si>
    <t>ABI3481</t>
  </si>
  <si>
    <t>Chhimi Yangzom</t>
  </si>
  <si>
    <t>ABI3482</t>
  </si>
  <si>
    <t>Ahmed Al-Mansoori</t>
  </si>
  <si>
    <t>ABI3483</t>
  </si>
  <si>
    <t>Khalid Al-Attiyah</t>
  </si>
  <si>
    <t>ABI3484</t>
  </si>
  <si>
    <t>Mohammed Al-Thani</t>
  </si>
  <si>
    <t>ABI3485</t>
  </si>
  <si>
    <t>Hamad Al-Saad</t>
  </si>
  <si>
    <t>ABI3486</t>
  </si>
  <si>
    <t>Saif Al-Jabri</t>
  </si>
  <si>
    <t>ABI3487</t>
  </si>
  <si>
    <t>Aisha Al-Mohannadi</t>
  </si>
  <si>
    <t>ABI3488</t>
  </si>
  <si>
    <t>Fatima Al-Mansoori</t>
  </si>
  <si>
    <t>ABI3489</t>
  </si>
  <si>
    <t>Noor Al-Hassan</t>
  </si>
  <si>
    <t>ABI3490</t>
  </si>
  <si>
    <t>Layla Al-Mohammed</t>
  </si>
  <si>
    <t>ABI3491</t>
  </si>
  <si>
    <t>Hana Al-Sadi</t>
  </si>
  <si>
    <t>ABI3492</t>
  </si>
  <si>
    <t>Ramesh Gurung</t>
  </si>
  <si>
    <t>ABI3493</t>
  </si>
  <si>
    <t>Rajesh Koirala</t>
  </si>
  <si>
    <t>ABI3494</t>
  </si>
  <si>
    <t>Nisha Joshi</t>
  </si>
  <si>
    <t>ABI3495</t>
  </si>
  <si>
    <t>Pooja Acharya</t>
  </si>
  <si>
    <t>ABI3496</t>
  </si>
  <si>
    <t>Yael Cohen</t>
  </si>
  <si>
    <t>ABI3497</t>
  </si>
  <si>
    <t>Talia Levi</t>
  </si>
  <si>
    <t>ABI3498</t>
  </si>
  <si>
    <t>Shira Katz</t>
  </si>
  <si>
    <t>ABI3499</t>
  </si>
  <si>
    <t>Noa Friedman</t>
  </si>
  <si>
    <t>ABI3500</t>
  </si>
  <si>
    <t>Miriam Goldstein</t>
  </si>
  <si>
    <t>ABI3501</t>
  </si>
  <si>
    <t>Ayala Schwartz</t>
  </si>
  <si>
    <t>ABI3502</t>
  </si>
  <si>
    <t>Roni Levi</t>
  </si>
  <si>
    <t>ABI3503</t>
  </si>
  <si>
    <t>Liat Barak</t>
  </si>
  <si>
    <t>ABI3504</t>
  </si>
  <si>
    <t>Hila Rosen</t>
  </si>
  <si>
    <t>ABI3505</t>
  </si>
  <si>
    <t>Eden Ashkenazi</t>
  </si>
  <si>
    <t>ABI3506</t>
  </si>
  <si>
    <t>Michal Shapiro</t>
  </si>
  <si>
    <t>ABI3507</t>
  </si>
  <si>
    <t>Talya Harel</t>
  </si>
  <si>
    <t>ABI3508</t>
  </si>
  <si>
    <t>Dafna Weiss</t>
  </si>
  <si>
    <t>ABI3509</t>
  </si>
  <si>
    <t>Keren Adler</t>
  </si>
  <si>
    <t>ABI3510</t>
  </si>
  <si>
    <t>Inbal Mor</t>
  </si>
  <si>
    <t>ABI3511</t>
  </si>
  <si>
    <t>Noga Stein</t>
  </si>
  <si>
    <t>ABI3512</t>
  </si>
  <si>
    <t>Shani Ben-David</t>
  </si>
  <si>
    <t>ABI3513</t>
  </si>
  <si>
    <t>Tzofia Nissim</t>
  </si>
  <si>
    <t>ABI3514</t>
  </si>
  <si>
    <t>Galit Alon</t>
  </si>
  <si>
    <t>ABI3515</t>
  </si>
  <si>
    <t>Yaara Meir</t>
  </si>
  <si>
    <t>ABI3516</t>
  </si>
  <si>
    <t>Fatima Nazari</t>
  </si>
  <si>
    <t>ABI3517</t>
  </si>
  <si>
    <t>Amina Rahimi</t>
  </si>
  <si>
    <t>ABI3518</t>
  </si>
  <si>
    <t>Ana Silva</t>
  </si>
  <si>
    <t>ABI3519</t>
  </si>
  <si>
    <t>Maria Oliveira</t>
  </si>
  <si>
    <t>ABI3520</t>
  </si>
  <si>
    <t>Sofia Pereira</t>
  </si>
  <si>
    <t>ABI3521</t>
  </si>
  <si>
    <t>Beatriz Costa</t>
  </si>
  <si>
    <t>ABI3522</t>
  </si>
  <si>
    <t>Mariana Santos</t>
  </si>
  <si>
    <t>ABI3523</t>
  </si>
  <si>
    <t>Catarina Almeida</t>
  </si>
  <si>
    <t>ABI3524</t>
  </si>
  <si>
    <t>Raquel Gomes</t>
  </si>
  <si>
    <t>ABI3525</t>
  </si>
  <si>
    <t>Inês Ferreira</t>
  </si>
  <si>
    <t>ABI3526</t>
  </si>
  <si>
    <t>Teresa Martins</t>
  </si>
  <si>
    <t>ABI3527</t>
  </si>
  <si>
    <t>Filipa Ribeiro</t>
  </si>
  <si>
    <t>ABI3528</t>
  </si>
  <si>
    <t>Carolina Lima</t>
  </si>
  <si>
    <t>ABI3529</t>
  </si>
  <si>
    <t>Laura Mendes</t>
  </si>
  <si>
    <t>ABI3530</t>
  </si>
  <si>
    <t>Camila Teixeira</t>
  </si>
  <si>
    <t>ABI3531</t>
  </si>
  <si>
    <t>Patrícia Ramos</t>
  </si>
  <si>
    <t>ABI3532</t>
  </si>
  <si>
    <t>Vanessa Dias</t>
  </si>
  <si>
    <t>ABI3533</t>
  </si>
  <si>
    <t>João Ferreira</t>
  </si>
  <si>
    <t>ABI3534</t>
  </si>
  <si>
    <t>Miguel Silva</t>
  </si>
  <si>
    <t>ABI3535</t>
  </si>
  <si>
    <t>Pedro Costa</t>
  </si>
  <si>
    <t>ABI3536</t>
  </si>
  <si>
    <t>Rafael Almeida</t>
  </si>
  <si>
    <t>ABI3537</t>
  </si>
  <si>
    <t>Tiago Martins</t>
  </si>
  <si>
    <t>ABI3538</t>
  </si>
  <si>
    <t>Sofía Fernández</t>
  </si>
  <si>
    <t>ABI3539</t>
  </si>
  <si>
    <t>Valentina González</t>
  </si>
  <si>
    <t>ABI3540</t>
  </si>
  <si>
    <t>Martina López</t>
  </si>
  <si>
    <t>ABI3541</t>
  </si>
  <si>
    <t>Isabella Rodríguez</t>
  </si>
  <si>
    <t>ABI3542</t>
  </si>
  <si>
    <t>Camila Pérez</t>
  </si>
  <si>
    <t>ABI3543</t>
  </si>
  <si>
    <t>Julieta Martínez</t>
  </si>
  <si>
    <t>ABI3544</t>
  </si>
  <si>
    <t>Lucía Díaz</t>
  </si>
  <si>
    <t>ABI3545</t>
  </si>
  <si>
    <t>Florencia Romero</t>
  </si>
  <si>
    <t>ABI3546</t>
  </si>
  <si>
    <t>Gabriela Morales</t>
  </si>
  <si>
    <t>ABI3547</t>
  </si>
  <si>
    <t>Ana Belén</t>
  </si>
  <si>
    <t>ABI3548</t>
  </si>
  <si>
    <t>Aram Petrosyan</t>
  </si>
  <si>
    <t>ABI3549</t>
  </si>
  <si>
    <t>Tigran Hakobyan</t>
  </si>
  <si>
    <t>ABI3550</t>
  </si>
  <si>
    <t>Artur Sargsyan</t>
  </si>
  <si>
    <t>ABI3551</t>
  </si>
  <si>
    <t>Vardan Karapetyan</t>
  </si>
  <si>
    <t>ABI3552</t>
  </si>
  <si>
    <t>Narek Grigoryan</t>
  </si>
  <si>
    <t>ABI3553</t>
  </si>
  <si>
    <t>Anahit Hakobyan</t>
  </si>
  <si>
    <t>ABI3554</t>
  </si>
  <si>
    <t>Tatevik Ghazaryan</t>
  </si>
  <si>
    <t>ABI3555</t>
  </si>
  <si>
    <t>Lusine Sargsyan</t>
  </si>
  <si>
    <t>ABI3556</t>
  </si>
  <si>
    <t>Nairi Petrosyan</t>
  </si>
  <si>
    <t>ABI3557</t>
  </si>
  <si>
    <t>Armine Hovhannisyan</t>
  </si>
  <si>
    <t>ABI3558</t>
  </si>
  <si>
    <t>Lily Rose</t>
  </si>
  <si>
    <t>ABI3559</t>
  </si>
  <si>
    <t>Maya Jade</t>
  </si>
  <si>
    <t>ABI3560</t>
  </si>
  <si>
    <t>Sophie Claire</t>
  </si>
  <si>
    <t>ABI3561</t>
  </si>
  <si>
    <t>ABI3562</t>
  </si>
  <si>
    <t>ABI3563</t>
  </si>
  <si>
    <t>Zara Belle</t>
  </si>
  <si>
    <t>ABI3564</t>
  </si>
  <si>
    <t>Ava Marie</t>
  </si>
  <si>
    <t>ABI3565</t>
  </si>
  <si>
    <t>Tessa Jane</t>
  </si>
  <si>
    <t>ABI3566</t>
  </si>
  <si>
    <t>Holly Rae</t>
  </si>
  <si>
    <t>ABI3567</t>
  </si>
  <si>
    <t>Lucy Faye</t>
  </si>
  <si>
    <t>ABI3568</t>
  </si>
  <si>
    <t>Agung Prabowo</t>
  </si>
  <si>
    <t>ABI3569</t>
  </si>
  <si>
    <t>Budi Santoso</t>
  </si>
  <si>
    <t>ABI3570</t>
  </si>
  <si>
    <t>Rudi Hartono</t>
  </si>
  <si>
    <t>ABI3571</t>
  </si>
  <si>
    <t>Dwi Saputra</t>
  </si>
  <si>
    <t>ABI3572</t>
  </si>
  <si>
    <t>Andi Wijaya</t>
  </si>
  <si>
    <t>ABI3573</t>
  </si>
  <si>
    <t>Dewi Ayu</t>
  </si>
  <si>
    <t>ABI3574</t>
  </si>
  <si>
    <t>Sari Lestari</t>
  </si>
  <si>
    <t>ABI3575</t>
  </si>
  <si>
    <t>Putri Indah</t>
  </si>
  <si>
    <t>ABI3576</t>
  </si>
  <si>
    <t>Intan Permata</t>
  </si>
  <si>
    <t>ABI3577</t>
  </si>
  <si>
    <t>Citra Ananda</t>
  </si>
  <si>
    <t>ABI3578</t>
  </si>
  <si>
    <t>Sofia Rossi</t>
  </si>
  <si>
    <t>ABI3579</t>
  </si>
  <si>
    <t>Giulia Bianchi</t>
  </si>
  <si>
    <t>ABI3580</t>
  </si>
  <si>
    <t>Aurora Conti</t>
  </si>
  <si>
    <t>ABI3581</t>
  </si>
  <si>
    <t>Martina Esposito</t>
  </si>
  <si>
    <t>ABI3582</t>
  </si>
  <si>
    <t>Francesca Romano</t>
  </si>
  <si>
    <t>ABI3583</t>
  </si>
  <si>
    <t>Alessia Marino</t>
  </si>
  <si>
    <t>ABI3584</t>
  </si>
  <si>
    <t>Chiara Greco</t>
  </si>
  <si>
    <t>ABI3585</t>
  </si>
  <si>
    <t>Giorgia Rizzo</t>
  </si>
  <si>
    <t>ABI3586</t>
  </si>
  <si>
    <t>Elena Fontana</t>
  </si>
  <si>
    <t>ABI3587</t>
  </si>
  <si>
    <t>Ludovica Moretti</t>
  </si>
  <si>
    <t>ABI3588</t>
  </si>
  <si>
    <t>Emma Andersson</t>
  </si>
  <si>
    <t>ABI3589</t>
  </si>
  <si>
    <t>Elsa Johansson</t>
  </si>
  <si>
    <t>ABI3590</t>
  </si>
  <si>
    <t>Maja Karlsson</t>
  </si>
  <si>
    <t>ABI3591</t>
  </si>
  <si>
    <t>Freja Nilsson</t>
  </si>
  <si>
    <t>ABI3592</t>
  </si>
  <si>
    <t>Sofia Eriksson</t>
  </si>
  <si>
    <t>ABI3593</t>
  </si>
  <si>
    <t>Astrid Svensson</t>
  </si>
  <si>
    <t>ABI3594</t>
  </si>
  <si>
    <t>Linnéa Olsson</t>
  </si>
  <si>
    <t>ABI3595</t>
  </si>
  <si>
    <t>Hanna Lindström</t>
  </si>
  <si>
    <t>ABI3596</t>
  </si>
  <si>
    <t>Ida Persson</t>
  </si>
  <si>
    <t>ABI3597</t>
  </si>
  <si>
    <t>Karin Jansson</t>
  </si>
  <si>
    <t>ABI3598</t>
  </si>
  <si>
    <t>Alva Gustafsson</t>
  </si>
  <si>
    <t>ABI3599</t>
  </si>
  <si>
    <t>Tilda Björk</t>
  </si>
  <si>
    <t>ABI3600</t>
  </si>
  <si>
    <t>Selma Lindqvist</t>
  </si>
  <si>
    <t>ABI3601</t>
  </si>
  <si>
    <t>Nora Frisk</t>
  </si>
  <si>
    <t>ABI3602</t>
  </si>
  <si>
    <t>Filippa Ström</t>
  </si>
  <si>
    <t>ABI3603</t>
  </si>
  <si>
    <t>Santiago Pérez</t>
  </si>
  <si>
    <t>ABI3604</t>
  </si>
  <si>
    <t>Mateo Gómez</t>
  </si>
  <si>
    <t>ABI3605</t>
  </si>
  <si>
    <t>Valentina Rodríguez</t>
  </si>
  <si>
    <t>ABI3606</t>
  </si>
  <si>
    <t>Isabella Torres</t>
  </si>
  <si>
    <t>ABI3607</t>
  </si>
  <si>
    <t>Maria Clara</t>
  </si>
  <si>
    <t>ABI3608</t>
  </si>
  <si>
    <t>Luningning Reyes</t>
  </si>
  <si>
    <t>ABI3609</t>
  </si>
  <si>
    <t>Mayumi Santos</t>
  </si>
  <si>
    <t>ABI3610</t>
  </si>
  <si>
    <t>Ligaya Cruz</t>
  </si>
  <si>
    <t>ABI3611</t>
  </si>
  <si>
    <t>Amihan Alonzo</t>
  </si>
  <si>
    <t>ABI3612</t>
  </si>
  <si>
    <t>Kim Jong-un</t>
  </si>
  <si>
    <t>ABI3613</t>
  </si>
  <si>
    <t>Kim Il-sung</t>
  </si>
  <si>
    <t>ABI3614</t>
  </si>
  <si>
    <t>Ri Yong-ho</t>
  </si>
  <si>
    <t>ABI3615</t>
  </si>
  <si>
    <t>Ko Yong-hui</t>
  </si>
  <si>
    <t>ABI3616</t>
  </si>
  <si>
    <t>Kim Yo-jong</t>
  </si>
  <si>
    <t>ABI3617</t>
  </si>
  <si>
    <t>Anu Bat-Erdene</t>
  </si>
  <si>
    <t>ABI3618</t>
  </si>
  <si>
    <t>Bataa Munkhbat</t>
  </si>
  <si>
    <t>ABI3619</t>
  </si>
  <si>
    <t>Dulma Baatar</t>
  </si>
  <si>
    <t>ABI3620</t>
  </si>
  <si>
    <t>Erdene Naran</t>
  </si>
  <si>
    <t>ABI3621</t>
  </si>
  <si>
    <t>Naranbaatar Tsetseg</t>
  </si>
  <si>
    <t>ABI3622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</si>
</sst>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2">
    <numFmt numFmtId="164" formatCode="_ [$₹-439]* #,##0.00_ ;_ [$₹-439]* \-#,##0.00_ ;_ [$₹-439]* &quot;-&quot;??_ ;_ @_ "/>
    <numFmt numFmtId="165" formatCode="dd"/>
    <numFmt numFmtId="166" formatCode="[$₹-439]#,##0.00"/>
    <numFmt numFmtId="167" formatCode="[$₹-439]#,##0"/>
    <numFmt numFmtId="168" formatCode="\+\9\1\-0"/>
    <numFmt numFmtId="169" formatCode="\+\1\-0"/>
    <numFmt numFmtId="170" formatCode="\+\7\-0"/>
    <numFmt numFmtId="171" formatCode="\+\3\4\-0"/>
    <numFmt numFmtId="172" formatCode="\+\4\5\-0"/>
    <numFmt numFmtId="173" formatCode="\+\5\8\-0"/>
    <numFmt numFmtId="174" formatCode="\+\4\9\-0"/>
    <numFmt numFmtId="175" formatCode="\+\8\2\-0"/>
    <numFmt numFmtId="176" formatCode="\+\8\1\-0"/>
    <numFmt numFmtId="177" formatCode="\+\5\5\-0"/>
    <numFmt numFmtId="178" formatCode="\+\4\4\-0"/>
    <numFmt numFmtId="179" formatCode="\+\3\3\-0"/>
    <numFmt numFmtId="180" formatCode="\+\6\1\-0"/>
    <numFmt numFmtId="181" formatCode="\+\4\8\-0"/>
    <numFmt numFmtId="182" formatCode="\+\9\6\6\-0"/>
    <numFmt numFmtId="183" formatCode="\+\4\1\-0"/>
    <numFmt numFmtId="184" formatCode="\+\9\7\5\-0"/>
    <numFmt numFmtId="185" formatCode="\+\9\7\4\-0"/>
    <numFmt numFmtId="186" formatCode="\+\9\7\7\-0"/>
    <numFmt numFmtId="187" formatCode="\+\9\7\2\-0"/>
    <numFmt numFmtId="188" formatCode="\+\9\3\-0"/>
    <numFmt numFmtId="189" formatCode="\+\3\5\1\-0"/>
    <numFmt numFmtId="190" formatCode="\+\5\4\-0"/>
    <numFmt numFmtId="191" formatCode="\+\3\7\4\-0"/>
    <numFmt numFmtId="192" formatCode="\+\6\4\-0"/>
    <numFmt numFmtId="193" formatCode="\+\6\2\-0"/>
    <numFmt numFmtId="194" formatCode="\+\3\9\-0"/>
    <numFmt numFmtId="195" formatCode="\+\4\6\-0"/>
    <numFmt numFmtId="196" formatCode="\+\5\7\-0"/>
    <numFmt numFmtId="197" formatCode="\+\9\7\6\-0"/>
    <numFmt numFmtId="198" formatCode="&quot;+&quot;&quot;850&quot;&quot;-&quot;0"/>
    <numFmt numFmtId="199" formatCode="&quot;+&quot;&quot;380&quot;&quot;-&quot;0"/>
    <numFmt numFmtId="200" formatCode="&quot;$&quot;#,##0.00"/>
    <numFmt numFmtId="201" formatCode="&quot;$&quot;#,##0"/>
    <numFmt numFmtId="202" formatCode="[$-409]d\-mmm\-yy;@"/>
    <numFmt numFmtId="203" formatCode="[$-409]d\-mm\-yyyy;@"/>
    <numFmt numFmtId="204" formatCode="dd/mm/yyyy"/>
    <numFmt numFmtId="205" formatCode="d/mm/yyyy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i/>
      <u/>
      <sz val="14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Fill="1" applyBorder="1"/>
    <xf numFmtId="164" fontId="0" fillId="0" borderId="1" xfId="0" applyNumberFormat="1" applyBorder="1"/>
    <xf numFmtId="14" fontId="0" fillId="0" borderId="0" xfId="0" applyNumberFormat="1"/>
    <xf numFmtId="0" fontId="0" fillId="0" borderId="1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0" fontId="1" fillId="0" borderId="1" xfId="0" applyFont="1" applyFill="1" applyBorder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/>
    <xf numFmtId="0" fontId="3" fillId="3" borderId="0" xfId="0" applyFont="1" applyFill="1"/>
    <xf numFmtId="0" fontId="0" fillId="0" borderId="3" xfId="0" applyBorder="1"/>
    <xf numFmtId="0" fontId="0" fillId="0" borderId="2" xfId="0" applyBorder="1" applyAlignment="1">
      <alignment horizontal="center"/>
    </xf>
    <xf numFmtId="0" fontId="1" fillId="3" borderId="0" xfId="0" applyFont="1" applyFill="1"/>
    <xf numFmtId="0" fontId="1" fillId="0" borderId="0" xfId="0" applyFont="1" applyAlignment="1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Border="1" applyAlignment="1">
      <alignment horizontal="center" textRotation="90"/>
    </xf>
    <xf numFmtId="165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1" xfId="0" applyFont="1" applyBorder="1" applyAlignment="1"/>
    <xf numFmtId="9" fontId="0" fillId="0" borderId="0" xfId="0" applyNumberFormat="1"/>
    <xf numFmtId="2" fontId="0" fillId="0" borderId="1" xfId="0" applyNumberFormat="1" applyBorder="1"/>
    <xf numFmtId="0" fontId="6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7" fillId="5" borderId="1" xfId="0" applyFont="1" applyFill="1" applyBorder="1"/>
    <xf numFmtId="166" fontId="0" fillId="0" borderId="0" xfId="0" applyNumberFormat="1"/>
    <xf numFmtId="0" fontId="9" fillId="0" borderId="0" xfId="0" applyFont="1" applyAlignment="1">
      <alignment horizontal="center"/>
    </xf>
    <xf numFmtId="166" fontId="9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1" xfId="0" applyNumberFormat="1" applyFont="1" applyBorder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2" fillId="4" borderId="1" xfId="0" applyFont="1" applyFill="1" applyBorder="1"/>
    <xf numFmtId="0" fontId="2" fillId="4" borderId="4" xfId="0" applyFont="1" applyFill="1" applyBorder="1"/>
    <xf numFmtId="0" fontId="2" fillId="4" borderId="4" xfId="0" applyFont="1" applyFill="1" applyBorder="1" applyAlignment="1">
      <alignment horizontal="center"/>
    </xf>
    <xf numFmtId="0" fontId="12" fillId="2" borderId="1" xfId="0" applyFont="1" applyFill="1" applyBorder="1"/>
    <xf numFmtId="0" fontId="2" fillId="7" borderId="1" xfId="0" applyFont="1" applyFill="1" applyBorder="1"/>
    <xf numFmtId="14" fontId="0" fillId="0" borderId="1" xfId="0" applyNumberFormat="1" applyBorder="1"/>
    <xf numFmtId="0" fontId="0" fillId="0" borderId="7" xfId="0" applyBorder="1"/>
    <xf numFmtId="14" fontId="0" fillId="0" borderId="7" xfId="0" applyNumberFormat="1" applyBorder="1"/>
    <xf numFmtId="0" fontId="12" fillId="4" borderId="1" xfId="0" applyFont="1" applyFill="1" applyBorder="1"/>
    <xf numFmtId="167" fontId="0" fillId="0" borderId="1" xfId="0" applyNumberFormat="1" applyBorder="1"/>
    <xf numFmtId="167" fontId="0" fillId="0" borderId="1" xfId="0" applyNumberFormat="1" applyBorder="1" applyAlignment="1">
      <alignment horizontal="left" indent="3"/>
    </xf>
    <xf numFmtId="1" fontId="0" fillId="0" borderId="0" xfId="0" applyNumberFormat="1"/>
    <xf numFmtId="1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200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174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/>
    </xf>
    <xf numFmtId="199" fontId="0" fillId="0" borderId="0" xfId="0" applyNumberFormat="1" applyAlignment="1">
      <alignment horizontal="center"/>
    </xf>
    <xf numFmtId="18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8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84" fontId="0" fillId="0" borderId="0" xfId="0" applyNumberFormat="1" applyAlignment="1">
      <alignment horizontal="center"/>
    </xf>
    <xf numFmtId="185" fontId="0" fillId="0" borderId="0" xfId="0" applyNumberFormat="1" applyAlignment="1">
      <alignment horizontal="center"/>
    </xf>
    <xf numFmtId="186" fontId="0" fillId="0" borderId="0" xfId="0" applyNumberFormat="1" applyAlignment="1">
      <alignment horizontal="center"/>
    </xf>
    <xf numFmtId="18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88" fontId="0" fillId="0" borderId="0" xfId="0" applyNumberFormat="1" applyAlignment="1">
      <alignment horizontal="center"/>
    </xf>
    <xf numFmtId="189" fontId="0" fillId="0" borderId="0" xfId="0" applyNumberFormat="1" applyAlignment="1">
      <alignment horizontal="center"/>
    </xf>
    <xf numFmtId="190" fontId="0" fillId="0" borderId="0" xfId="0" applyNumberFormat="1" applyAlignment="1">
      <alignment horizontal="center"/>
    </xf>
    <xf numFmtId="191" fontId="0" fillId="0" borderId="0" xfId="0" applyNumberFormat="1" applyAlignment="1">
      <alignment horizontal="center"/>
    </xf>
    <xf numFmtId="192" fontId="0" fillId="0" borderId="0" xfId="0" applyNumberFormat="1" applyAlignment="1">
      <alignment horizontal="center"/>
    </xf>
    <xf numFmtId="193" fontId="0" fillId="0" borderId="0" xfId="0" applyNumberFormat="1" applyAlignment="1">
      <alignment horizontal="center"/>
    </xf>
    <xf numFmtId="194" fontId="0" fillId="0" borderId="0" xfId="0" applyNumberFormat="1" applyAlignment="1">
      <alignment horizontal="center"/>
    </xf>
    <xf numFmtId="195" fontId="0" fillId="0" borderId="0" xfId="0" applyNumberFormat="1" applyAlignment="1">
      <alignment horizontal="center"/>
    </xf>
    <xf numFmtId="196" fontId="0" fillId="0" borderId="0" xfId="0" applyNumberFormat="1" applyAlignment="1">
      <alignment horizontal="center"/>
    </xf>
    <xf numFmtId="198" fontId="0" fillId="0" borderId="0" xfId="0" applyNumberFormat="1" applyAlignment="1">
      <alignment horizontal="center"/>
    </xf>
    <xf numFmtId="197" fontId="0" fillId="0" borderId="0" xfId="0" applyNumberFormat="1" applyAlignment="1">
      <alignment horizontal="center"/>
    </xf>
    <xf numFmtId="0" fontId="16" fillId="8" borderId="1" xfId="0" applyFont="1" applyFill="1" applyBorder="1" applyAlignment="1">
      <alignment horizontal="center"/>
    </xf>
    <xf numFmtId="1" fontId="16" fillId="8" borderId="1" xfId="0" applyNumberFormat="1" applyFont="1" applyFill="1" applyBorder="1" applyAlignment="1">
      <alignment horizontal="center" wrapText="1" shrinkToFit="1"/>
    </xf>
    <xf numFmtId="0" fontId="16" fillId="8" borderId="8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1" fontId="2" fillId="1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left"/>
    </xf>
    <xf numFmtId="3" fontId="0" fillId="0" borderId="0" xfId="0" applyNumberFormat="1"/>
    <xf numFmtId="201" fontId="0" fillId="0" borderId="0" xfId="0" applyNumberFormat="1" applyAlignment="1">
      <alignment horizontal="center"/>
    </xf>
    <xf numFmtId="20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4" fontId="2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14" fontId="0" fillId="13" borderId="1" xfId="0" applyNumberFormat="1" applyFill="1" applyBorder="1"/>
    <xf numFmtId="0" fontId="0" fillId="13" borderId="1" xfId="0" applyFill="1" applyBorder="1"/>
    <xf numFmtId="14" fontId="0" fillId="11" borderId="1" xfId="0" applyNumberFormat="1" applyFill="1" applyBorder="1"/>
    <xf numFmtId="22" fontId="0" fillId="11" borderId="1" xfId="0" applyNumberFormat="1" applyFill="1" applyBorder="1"/>
    <xf numFmtId="0" fontId="0" fillId="11" borderId="1" xfId="0" applyFill="1" applyBorder="1"/>
    <xf numFmtId="203" fontId="0" fillId="0" borderId="1" xfId="0" applyNumberFormat="1" applyBorder="1"/>
    <xf numFmtId="14" fontId="2" fillId="14" borderId="7" xfId="0" applyNumberFormat="1" applyFont="1" applyFill="1" applyBorder="1" applyAlignment="1">
      <alignment horizontal="center" vertical="center"/>
    </xf>
    <xf numFmtId="0" fontId="0" fillId="0" borderId="9" xfId="0" applyBorder="1"/>
    <xf numFmtId="204" fontId="0" fillId="0" borderId="1" xfId="0" applyNumberFormat="1" applyBorder="1"/>
    <xf numFmtId="0" fontId="2" fillId="13" borderId="0" xfId="0" applyFont="1" applyFill="1"/>
    <xf numFmtId="14" fontId="0" fillId="0" borderId="1" xfId="0" applyNumberFormat="1" applyBorder="1" applyAlignment="1">
      <alignment horizontal="center" vertical="center"/>
    </xf>
    <xf numFmtId="205" fontId="0" fillId="0" borderId="1" xfId="0" applyNumberForma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15" borderId="1" xfId="0" applyFont="1" applyFill="1" applyBorder="1"/>
    <xf numFmtId="0" fontId="2" fillId="1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4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3" fillId="3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/>
    </xf>
  </cellXfs>
  <cellStyles count="1"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numFmt numFmtId="200" formatCode="&quot;$&quot;#,##0.00"/>
      <alignment horizontal="center" vertical="bottom" textRotation="0" wrapText="0" indent="0" justifyLastLine="0" shrinkToFit="0" readingOrder="0"/>
    </dxf>
    <dxf>
      <numFmt numFmtId="197" formatCode="\+\9\7\6\-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0" formatCode="d\-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gradientFill type="path">
          <stop position="0">
            <color rgb="FFFFC000"/>
          </stop>
          <stop position="1">
            <color rgb="FFFFFF00"/>
          </stop>
        </gradientFill>
      </fill>
    </dxf>
    <dxf>
      <fill>
        <gradientFill type="path">
          <stop position="0">
            <color rgb="FFFFC000"/>
          </stop>
          <stop position="1">
            <color rgb="FFFFFF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8"/>
      <tableStyleElement type="headerRow" dxfId="17"/>
    </tableStyle>
  </tableStyles>
  <colors>
    <mruColors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pivotSource>
    <c:name>[excel.xlsx]SUMIF!PivotTable2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gradFill>
              <a:gsLst>
                <a:gs pos="0">
                  <a:srgbClr val="FFFF00"/>
                </a:gs>
                <a:gs pos="50000">
                  <a:srgbClr val="FF0000"/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  <a:scene3d>
              <a:camera prst="orthographicFront"/>
              <a:lightRig rig="contrasting" dir="t"/>
            </a:scene3d>
            <a:sp3d prstMaterial="flat">
              <a:bevelT w="114300" prst="artDeco"/>
              <a:bevelB w="114300" prst="artDeco"/>
            </a:sp3d>
          </c:spPr>
          <c:txPr>
            <a:bodyPr anchor="ctr" anchorCtr="0"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11490835255492467"/>
              <c:y val="-0.17130624836168729"/>
            </c:manualLayout>
          </c:layout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0.11887070953957724"/>
              <c:y val="-5.7102082787229148E-2"/>
            </c:manualLayout>
          </c:layout>
          <c:spPr>
            <a:gradFill>
              <a:gsLst>
                <a:gs pos="0">
                  <a:srgbClr val="FFFF00"/>
                </a:gs>
                <a:gs pos="50000">
                  <a:srgbClr val="FF0000"/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  <a:scene3d>
              <a:camera prst="orthographicFront"/>
              <a:lightRig rig="contrasting" dir="t"/>
            </a:scene3d>
            <a:sp3d prstMaterial="flat">
              <a:bevelT w="114300" prst="artDeco"/>
              <a:bevelB w="114300" prst="artDeco"/>
            </a:sp3d>
          </c:spPr>
          <c:txPr>
            <a:bodyPr anchor="ctr" anchorCtr="0"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83973389184886"/>
          <c:y val="0.3627564928889922"/>
          <c:w val="0.34402805723141072"/>
          <c:h val="0.49578366313907685"/>
        </c:manualLayout>
      </c:layout>
      <c:doughnutChart>
        <c:varyColors val="1"/>
        <c:ser>
          <c:idx val="0"/>
          <c:order val="0"/>
          <c:tx>
            <c:strRef>
              <c:f>SUMIF!$H$9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-0.11887070953957724"/>
                  <c:y val="-5.7102082787229148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71-49A5-858D-50085EA32632}"/>
                </c:ext>
              </c:extLst>
            </c:dLbl>
            <c:spPr>
              <a:gradFill>
                <a:gsLst>
                  <a:gs pos="0">
                    <a:srgbClr val="FFFF00"/>
                  </a:gs>
                  <a:gs pos="50000">
                    <a:srgbClr val="FF0000"/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  <a:scene3d>
                <a:camera prst="orthographicFront"/>
                <a:lightRig rig="contrasting" dir="t"/>
              </a:scene3d>
              <a:sp3d prstMaterial="flat">
                <a:bevelT w="114300" prst="artDeco"/>
                <a:bevelB w="114300" prst="artDeco"/>
              </a:sp3d>
            </c:spPr>
            <c:txPr>
              <a:bodyPr anchor="ctr" anchorCtr="0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SUMIF!$G$10:$G$11</c:f>
              <c:strCache>
                <c:ptCount val="1"/>
                <c:pt idx="0">
                  <c:v>Online</c:v>
                </c:pt>
              </c:strCache>
            </c:strRef>
          </c:cat>
          <c:val>
            <c:numRef>
              <c:f>SUMIF!$H$10:$H$11</c:f>
              <c:numCache>
                <c:formatCode>General</c:formatCode>
                <c:ptCount val="1"/>
                <c:pt idx="0">
                  <c:v>56344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71-49A5-858D-50085EA326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"/>
        <c:holeSize val="50"/>
      </c:doughnutChart>
    </c:plotArea>
    <c:legend>
      <c:legendPos val="r"/>
      <c:overlay val="0"/>
    </c:legend>
    <c:plotVisOnly val="1"/>
    <c:dispBlanksAs val="gap"/>
    <c:showDLblsOverMax val="0"/>
  </c:chart>
  <c:spPr>
    <a:blipFill dpi="0" rotWithShape="1">
      <a:blip xmlns:r="http://schemas.openxmlformats.org/officeDocument/2006/relationships" r:embed="rId1">
        <a:extLst>
          <a:ext uri="{28A0092B-C50C-407E-A947-70E740481C1C}">
            <a14:useLocalDpi xmlns:a14="http://schemas.microsoft.com/office/drawing/2010/main" val="0"/>
          </a:ext>
        </a:extLst>
      </a:blip>
      <a:srcRect/>
      <a:stretch>
        <a:fillRect/>
      </a:stretch>
    </a:blipFill>
    <a:ln>
      <a:noFill/>
    </a:ln>
    <a:effectLst>
      <a:outerShdw blurRad="76200" dir="18900000" sy="23000" kx="-1200000" algn="bl" rotWithShape="0">
        <a:prstClr val="black">
          <a:alpha val="20000"/>
        </a:prstClr>
      </a:outerShdw>
      <a:softEdge rad="635000"/>
    </a:effectLst>
    <a:scene3d>
      <a:camera prst="orthographicFront"/>
      <a:lightRig rig="threePt" dir="t"/>
    </a:scene3d>
    <a:sp3d prstMaterial="translucentPowder">
      <a:bevelT w="203200" h="50800" prst="softRound"/>
    </a:sp3d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pivotSource>
    <c:name>[excel.xlsx]SUMIF!PivotTable4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</c:pivotFmts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0297387719239"/>
          <c:y val="0.3872065470982794"/>
          <c:w val="0.79630314960629922"/>
          <c:h val="0.23031131525226015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SUMIF!$K$8:$K$9</c:f>
              <c:strCache>
                <c:ptCount val="1"/>
                <c:pt idx="0">
                  <c:v>Cash</c:v>
                </c:pt>
              </c:strCache>
            </c:strRef>
          </c:tx>
          <c:invertIfNegative val="0"/>
          <c:cat>
            <c:strRef>
              <c:f>SUMIF!$J$10:$J$15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9</c:v>
                </c:pt>
              </c:strCache>
            </c:strRef>
          </c:cat>
          <c:val>
            <c:numRef>
              <c:f>SUMIF!$K$10:$K$15</c:f>
              <c:numCache>
                <c:formatCode>General</c:formatCode>
                <c:ptCount val="5"/>
                <c:pt idx="1">
                  <c:v>6380</c:v>
                </c:pt>
                <c:pt idx="2">
                  <c:v>6489</c:v>
                </c:pt>
                <c:pt idx="3">
                  <c:v>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9-4160-808D-2834FEDD2B60}"/>
            </c:ext>
          </c:extLst>
        </c:ser>
        <c:ser>
          <c:idx val="1"/>
          <c:order val="1"/>
          <c:tx>
            <c:strRef>
              <c:f>SUMIF!$L$8:$L$9</c:f>
              <c:strCache>
                <c:ptCount val="1"/>
                <c:pt idx="0">
                  <c:v>Online</c:v>
                </c:pt>
              </c:strCache>
            </c:strRef>
          </c:tx>
          <c:invertIfNegative val="0"/>
          <c:cat>
            <c:strRef>
              <c:f>SUMIF!$J$10:$J$15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9</c:v>
                </c:pt>
              </c:strCache>
            </c:strRef>
          </c:cat>
          <c:val>
            <c:numRef>
              <c:f>SUMIF!$L$10:$L$15</c:f>
              <c:numCache>
                <c:formatCode>General</c:formatCode>
                <c:ptCount val="5"/>
                <c:pt idx="0">
                  <c:v>2900</c:v>
                </c:pt>
                <c:pt idx="4">
                  <c:v>7499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9-4160-808D-2834FEDD2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gapDepth val="95"/>
        <c:shape val="cylinder"/>
        <c:axId val="226539008"/>
        <c:axId val="226540544"/>
        <c:axId val="22731392"/>
      </c:bar3DChart>
      <c:catAx>
        <c:axId val="226539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26540544"/>
        <c:crosses val="autoZero"/>
        <c:auto val="1"/>
        <c:lblAlgn val="ctr"/>
        <c:lblOffset val="100"/>
        <c:noMultiLvlLbl val="0"/>
      </c:catAx>
      <c:valAx>
        <c:axId val="226540544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226539008"/>
        <c:crosses val="autoZero"/>
        <c:crossBetween val="between"/>
      </c:valAx>
      <c:serAx>
        <c:axId val="22731392"/>
        <c:scaling>
          <c:orientation val="minMax"/>
        </c:scaling>
        <c:delete val="0"/>
        <c:axPos val="b"/>
        <c:majorTickMark val="out"/>
        <c:minorTickMark val="none"/>
        <c:tickLblPos val="nextTo"/>
        <c:crossAx val="226540544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376237</xdr:colOff>
      <xdr:row>17</xdr:row>
      <xdr:rowOff>66675</xdr:rowOff>
    </xdr:from>
    <xdr:to>
      <xdr:col>8</xdr:col>
      <xdr:colOff>285750</xdr:colOff>
      <xdr:row>29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280987</xdr:colOff>
      <xdr:row>33</xdr:row>
      <xdr:rowOff>90487</xdr:rowOff>
    </xdr:from>
    <xdr:to>
      <xdr:col>7</xdr:col>
      <xdr:colOff>176212</xdr:colOff>
      <xdr:row>47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sha" refreshedDate="45584.531319444446" createdVersion="4" refreshedVersion="4" minRefreshableVersion="3" recordCount="20" xr:uid="{00000000-000A-0000-FFFF-FFFF02000000}">
  <cacheSource type="worksheet">
    <worksheetSource ref="A1:D21" sheet="SUMIF"/>
  </cacheSource>
  <cacheFields count="4">
    <cacheField name="Date" numFmtId="14">
      <sharedItems containsDate="1" containsMixedTypes="1" minDate="2024-10-08T00:00:00" maxDate="2024-10-09T00:00:00" count="2">
        <d v="2024-10-08T00:00:00"/>
        <s v="30/08/2024"/>
      </sharedItems>
    </cacheField>
    <cacheField name="Serial No.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Mode of Payment" numFmtId="0">
      <sharedItems count="2">
        <s v="Online"/>
        <s v="Cash"/>
      </sharedItems>
    </cacheField>
    <cacheField name="Amount" numFmtId="164">
      <sharedItems containsSemiMixedTypes="0" containsString="0" containsNumber="1" containsInteger="1" minValue="2900" maxValue="86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sha" refreshedDate="45584.531320023147" createdVersion="4" refreshedVersion="4" minRefreshableVersion="3" recordCount="2" xr:uid="{00000000-000A-0000-FFFF-FFFF03000000}">
  <cacheSource type="worksheet">
    <worksheetSource ref="G2:H4" sheet="SUMIF"/>
  </cacheSource>
  <cacheFields count="2">
    <cacheField name="Mode of Payment" numFmtId="0">
      <sharedItems count="2">
        <s v="Online"/>
        <s v="Cash"/>
      </sharedItems>
    </cacheField>
    <cacheField name="Total Amount" numFmtId="164">
      <sharedItems containsSemiMixedTypes="0" containsString="0" containsNumber="1" containsInteger="1" minValue="56344" maxValue="75999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x v="0"/>
    <n v="2900"/>
  </r>
  <r>
    <x v="0"/>
    <x v="1"/>
    <x v="1"/>
    <n v="6380"/>
  </r>
  <r>
    <x v="0"/>
    <x v="2"/>
    <x v="1"/>
    <n v="6489"/>
  </r>
  <r>
    <x v="1"/>
    <x v="3"/>
    <x v="0"/>
    <n v="6499"/>
  </r>
  <r>
    <x v="1"/>
    <x v="4"/>
    <x v="0"/>
    <n v="3549"/>
  </r>
  <r>
    <x v="1"/>
    <x v="5"/>
    <x v="1"/>
    <n v="4746"/>
  </r>
  <r>
    <x v="1"/>
    <x v="6"/>
    <x v="1"/>
    <n v="5500"/>
  </r>
  <r>
    <x v="0"/>
    <x v="7"/>
    <x v="1"/>
    <n v="7777"/>
  </r>
  <r>
    <x v="0"/>
    <x v="8"/>
    <x v="0"/>
    <n v="7499"/>
  </r>
  <r>
    <x v="1"/>
    <x v="9"/>
    <x v="0"/>
    <n v="7468"/>
  </r>
  <r>
    <x v="1"/>
    <x v="10"/>
    <x v="1"/>
    <n v="7476"/>
  </r>
  <r>
    <x v="1"/>
    <x v="11"/>
    <x v="0"/>
    <n v="8488"/>
  </r>
  <r>
    <x v="1"/>
    <x v="12"/>
    <x v="0"/>
    <n v="4889"/>
  </r>
  <r>
    <x v="1"/>
    <x v="13"/>
    <x v="1"/>
    <n v="7489"/>
  </r>
  <r>
    <x v="1"/>
    <x v="14"/>
    <x v="1"/>
    <n v="7489"/>
  </r>
  <r>
    <x v="1"/>
    <x v="15"/>
    <x v="1"/>
    <n v="7489"/>
  </r>
  <r>
    <x v="1"/>
    <x v="16"/>
    <x v="0"/>
    <n v="7484"/>
  </r>
  <r>
    <x v="1"/>
    <x v="17"/>
    <x v="1"/>
    <n v="8675"/>
  </r>
  <r>
    <x v="1"/>
    <x v="18"/>
    <x v="1"/>
    <n v="6489"/>
  </r>
  <r>
    <x v="1"/>
    <x v="19"/>
    <x v="0"/>
    <n v="756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">
  <r>
    <x v="0"/>
    <n v="56344"/>
  </r>
  <r>
    <x v="1"/>
    <n v="75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4" cacheId="253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showHeaders="0" outline="1" outlineData="1" multipleFieldFilters="0" chartFormat="1">
  <location ref="J8:M15" firstHeaderRow="1" firstDataRow="2" firstDataCol="1" rowPageCount="1" colPageCount="1"/>
  <pivotFields count="4"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Col" multipleItemSelectionAllowed="1" showAll="0">
      <items count="3">
        <item x="1"/>
        <item x="0"/>
        <item t="default"/>
      </items>
    </pivotField>
    <pivotField dataField="1" numFmtId="164" showAll="0"/>
  </pivotFields>
  <rowFields count="1">
    <field x="1"/>
  </rowFields>
  <rowItems count="6">
    <i>
      <x/>
    </i>
    <i>
      <x v="1"/>
    </i>
    <i>
      <x v="2"/>
    </i>
    <i>
      <x v="7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0" hier="-1"/>
  </pageFields>
  <dataFields count="1">
    <dataField name="Sum of Amount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2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253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9:H11" firstHeaderRow="1" firstDataRow="1" firstDataCol="1"/>
  <pivotFields count="2">
    <pivotField axis="axisRow" showAll="0">
      <items count="3">
        <item h="1" x="1"/>
        <item x="0"/>
        <item t="default"/>
      </items>
    </pivotField>
    <pivotField dataField="1" numFmtId="164" showAll="0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Sum of Total Amount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24" displayName="Table24" ref="A1:I601" totalsRowShown="0" headerRowDxfId="10" dataDxfId="9">
  <autoFilter ref="A1:I601" xr:uid="{00000000-0009-0000-0100-000003000000}"/>
  <tableColumns count="9">
    <tableColumn id="1" xr3:uid="{00000000-0010-0000-0000-000001000000}" name="Account No." dataDxfId="8"/>
    <tableColumn id="2" xr3:uid="{00000000-0010-0000-0000-000002000000}" name="Name" dataDxfId="7"/>
    <tableColumn id="3" xr3:uid="{00000000-0010-0000-0000-000003000000}" name="IFSC Code" dataDxfId="6"/>
    <tableColumn id="4" xr3:uid="{00000000-0010-0000-0000-000004000000}" name="Customer Id" dataDxfId="5"/>
    <tableColumn id="5" xr3:uid="{00000000-0010-0000-0000-000005000000}" name="A/C open Date" dataDxfId="4"/>
    <tableColumn id="6" xr3:uid="{00000000-0010-0000-0000-000006000000}" name="No. Code" dataDxfId="3"/>
    <tableColumn id="7" xr3:uid="{00000000-0010-0000-0000-000007000000}" name="Phone No." dataDxfId="2"/>
    <tableColumn id="8" xr3:uid="{00000000-0010-0000-0000-000008000000}" name="Account Balance" dataDxfId="1"/>
    <tableColumn id="9" xr3:uid="{00000000-0010-0000-0000-000009000000}" name="Nationality" dataDxfId="0">
      <calculatedColumnFormula>IF(F2=91,"India",IF(F2=1,"United Staes",IF(F2=7,"Russia",IF(F2=34,"Spain",IF(F2=45,"Denmark",IF(F2=33,"France",IF(F2=61,"Australia",IF(F2=49,"German",IF(F2=81,"Japan",IF(F2=55,"Brazil",IF(F2=44,"United Kindom",IF(F2=27,"South Africa",IF(F2=380,"Ukrain",IF(F2=48,"Poland",IF(F2=82,"South Korea",IF(F2=966,"Saudi Arabia",IF(F2=41,"Swizerland",IF(F2=975,"Bhutan",IF(F2=974,"Qatar",IF(F2=977,"Nepal",IF(F2=972,"Isreal",IF(F2=93,"Afghanistan",IF(F2=351,"Portugal",IF(F2=54,"Argentina",IF(F2=374,"Armrnia",IF(F2=64,"New Zealand",IF(F2=62,"Indonesia",IF(F2=39,"Italy",IF(F2=46,"Sweden",IF(F2=58,"Venezuela",IF(F2=57,"Colombia",IF(F2=63,"Philippines",IF(F2=850,"North Korea",IF(F2=976,"Mongolia","Not exist in this Nation"))))))))))))))))))))))))))))))))))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opLeftCell="B1" workbookViewId="0">
      <selection activeCell="K2" sqref="K2"/>
    </sheetView>
  </sheetViews>
  <sheetFormatPr defaultRowHeight="15"/>
  <cols>
    <col min="3" max="3" width="14.85546875" style="1" bestFit="1" customWidth="1"/>
    <col min="4" max="4" width="13.28515625" bestFit="1" customWidth="1"/>
    <col min="5" max="5" width="15" bestFit="1" customWidth="1"/>
    <col min="6" max="6" width="11" bestFit="1" customWidth="1"/>
    <col min="7" max="7" width="12.42578125" bestFit="1" customWidth="1"/>
    <col min="9" max="10" width="13.28515625" bestFit="1" customWidth="1"/>
    <col min="12" max="12" width="12.42578125" bestFit="1" customWidth="1"/>
  </cols>
  <sheetData>
    <row r="1" spans="1:13" s="2" customFormat="1">
      <c r="A1" s="13" t="s">
        <v>0</v>
      </c>
      <c r="B1" s="13" t="s">
        <v>1</v>
      </c>
      <c r="C1" s="15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I1" s="13" t="s">
        <v>3</v>
      </c>
      <c r="J1" s="14" t="s">
        <v>7</v>
      </c>
      <c r="L1" s="13" t="s">
        <v>6</v>
      </c>
      <c r="M1" s="13" t="s">
        <v>7</v>
      </c>
    </row>
    <row r="2" spans="1:13">
      <c r="A2" s="5">
        <v>1</v>
      </c>
      <c r="B2" s="5" t="s">
        <v>8</v>
      </c>
      <c r="C2" s="7">
        <v>120000</v>
      </c>
      <c r="D2" s="5" t="s">
        <v>9</v>
      </c>
      <c r="E2" s="5" t="s">
        <v>10</v>
      </c>
      <c r="F2" s="5" t="s">
        <v>11</v>
      </c>
      <c r="G2" s="5" t="s">
        <v>12</v>
      </c>
      <c r="I2" s="5" t="s">
        <v>9</v>
      </c>
      <c r="J2" s="5"/>
      <c r="L2" s="5" t="s">
        <v>9</v>
      </c>
      <c r="M2" s="5"/>
    </row>
    <row r="3" spans="1:13">
      <c r="A3" s="5">
        <v>2</v>
      </c>
      <c r="B3" s="5" t="s">
        <v>13</v>
      </c>
      <c r="C3" s="7">
        <v>200000</v>
      </c>
      <c r="D3" s="5" t="s">
        <v>12</v>
      </c>
      <c r="E3" s="5" t="s">
        <v>14</v>
      </c>
      <c r="F3" s="5" t="s">
        <v>15</v>
      </c>
      <c r="G3" s="5" t="s">
        <v>9</v>
      </c>
      <c r="I3" s="5" t="s">
        <v>12</v>
      </c>
      <c r="J3" s="5"/>
      <c r="L3" s="5" t="s">
        <v>12</v>
      </c>
      <c r="M3" s="5"/>
    </row>
    <row r="4" spans="1:13">
      <c r="A4" s="5">
        <v>3</v>
      </c>
      <c r="B4" s="5" t="s">
        <v>16</v>
      </c>
      <c r="C4" s="7">
        <v>550000</v>
      </c>
      <c r="D4" s="5" t="s">
        <v>9</v>
      </c>
      <c r="E4" s="5" t="s">
        <v>10</v>
      </c>
      <c r="F4" s="5" t="s">
        <v>17</v>
      </c>
      <c r="G4" s="5" t="s">
        <v>12</v>
      </c>
    </row>
    <row r="5" spans="1:13">
      <c r="A5" s="5">
        <v>4</v>
      </c>
      <c r="B5" s="5" t="s">
        <v>18</v>
      </c>
      <c r="C5" s="7">
        <v>450000</v>
      </c>
      <c r="D5" s="5" t="s">
        <v>9</v>
      </c>
      <c r="E5" s="5" t="s">
        <v>14</v>
      </c>
      <c r="F5" s="5" t="s">
        <v>15</v>
      </c>
      <c r="G5" s="5" t="s">
        <v>12</v>
      </c>
    </row>
    <row r="6" spans="1:13">
      <c r="A6" s="5">
        <v>5</v>
      </c>
      <c r="B6" s="5" t="s">
        <v>19</v>
      </c>
      <c r="C6" s="7">
        <v>700000</v>
      </c>
      <c r="D6" s="5" t="s">
        <v>12</v>
      </c>
      <c r="E6" s="5" t="s">
        <v>10</v>
      </c>
      <c r="F6" s="5" t="s">
        <v>17</v>
      </c>
      <c r="G6" s="5" t="s">
        <v>9</v>
      </c>
    </row>
    <row r="7" spans="1:13">
      <c r="A7" s="5">
        <v>6</v>
      </c>
      <c r="B7" s="5" t="s">
        <v>20</v>
      </c>
      <c r="C7" s="7">
        <v>1200000</v>
      </c>
      <c r="D7" s="5" t="s">
        <v>9</v>
      </c>
      <c r="E7" s="5" t="s">
        <v>14</v>
      </c>
      <c r="F7" s="5" t="s">
        <v>17</v>
      </c>
      <c r="G7" s="5" t="s">
        <v>9</v>
      </c>
    </row>
    <row r="8" spans="1:13">
      <c r="A8" s="5">
        <v>7</v>
      </c>
      <c r="B8" s="5" t="s">
        <v>21</v>
      </c>
      <c r="C8" s="7">
        <v>800000</v>
      </c>
      <c r="D8" s="5" t="s">
        <v>9</v>
      </c>
      <c r="E8" s="5" t="s">
        <v>10</v>
      </c>
      <c r="F8" s="5" t="s">
        <v>17</v>
      </c>
      <c r="G8" s="5" t="s">
        <v>9</v>
      </c>
    </row>
    <row r="9" spans="1:13">
      <c r="A9" s="5">
        <v>8</v>
      </c>
      <c r="B9" s="5" t="s">
        <v>22</v>
      </c>
      <c r="C9" s="7">
        <v>1500000</v>
      </c>
      <c r="D9" s="5" t="s">
        <v>12</v>
      </c>
      <c r="E9" s="5" t="s">
        <v>10</v>
      </c>
      <c r="F9" s="5" t="s">
        <v>17</v>
      </c>
      <c r="G9" s="5" t="s">
        <v>9</v>
      </c>
    </row>
    <row r="10" spans="1:13">
      <c r="A10" s="5">
        <v>9</v>
      </c>
      <c r="B10" s="5" t="s">
        <v>23</v>
      </c>
      <c r="C10" s="7">
        <v>1000000</v>
      </c>
      <c r="D10" s="5" t="s">
        <v>9</v>
      </c>
      <c r="E10" s="5" t="s">
        <v>10</v>
      </c>
      <c r="F10" s="5" t="s">
        <v>17</v>
      </c>
      <c r="G10" s="5" t="s">
        <v>9</v>
      </c>
    </row>
    <row r="11" spans="1:13">
      <c r="A11" s="5">
        <v>10</v>
      </c>
      <c r="B11" s="5" t="s">
        <v>24</v>
      </c>
      <c r="C11" s="7">
        <v>1550000</v>
      </c>
      <c r="D11" s="5" t="s">
        <v>12</v>
      </c>
      <c r="E11" s="5" t="s">
        <v>14</v>
      </c>
      <c r="F11" s="5" t="s">
        <v>17</v>
      </c>
      <c r="G11" s="5" t="s">
        <v>9</v>
      </c>
    </row>
    <row r="12" spans="1:13">
      <c r="A12" s="5">
        <v>11</v>
      </c>
      <c r="B12" s="5" t="s">
        <v>25</v>
      </c>
      <c r="C12" s="7">
        <v>600000</v>
      </c>
      <c r="D12" s="5" t="s">
        <v>9</v>
      </c>
      <c r="E12" s="5" t="s">
        <v>14</v>
      </c>
      <c r="F12" s="5" t="s">
        <v>26</v>
      </c>
      <c r="G12" s="5" t="s">
        <v>12</v>
      </c>
    </row>
    <row r="13" spans="1:13">
      <c r="A13" s="5">
        <v>12</v>
      </c>
      <c r="B13" s="5" t="s">
        <v>27</v>
      </c>
      <c r="C13" s="7">
        <v>500000</v>
      </c>
      <c r="D13" s="5" t="s">
        <v>12</v>
      </c>
      <c r="E13" s="5" t="s">
        <v>10</v>
      </c>
      <c r="F13" s="5" t="s">
        <v>15</v>
      </c>
      <c r="G13" s="5" t="s">
        <v>9</v>
      </c>
    </row>
    <row r="14" spans="1:13">
      <c r="A14" s="5">
        <v>13</v>
      </c>
      <c r="B14" s="5" t="s">
        <v>28</v>
      </c>
      <c r="C14" s="7">
        <v>750000</v>
      </c>
      <c r="D14" s="5" t="s">
        <v>9</v>
      </c>
      <c r="E14" s="5" t="s">
        <v>10</v>
      </c>
      <c r="F14" s="5" t="s">
        <v>17</v>
      </c>
      <c r="G14" s="5" t="s">
        <v>9</v>
      </c>
    </row>
    <row r="15" spans="1:13">
      <c r="A15" s="5">
        <v>14</v>
      </c>
      <c r="B15" s="5" t="s">
        <v>29</v>
      </c>
      <c r="C15" s="7">
        <v>800000</v>
      </c>
      <c r="D15" s="5" t="s">
        <v>9</v>
      </c>
      <c r="E15" s="5" t="s">
        <v>10</v>
      </c>
      <c r="F15" s="5" t="s">
        <v>26</v>
      </c>
      <c r="G15" s="5" t="s">
        <v>9</v>
      </c>
    </row>
    <row r="16" spans="1:13">
      <c r="A16" s="5">
        <v>15</v>
      </c>
      <c r="B16" s="5" t="s">
        <v>30</v>
      </c>
      <c r="C16" s="7">
        <v>1570000</v>
      </c>
      <c r="D16" s="5" t="s">
        <v>12</v>
      </c>
      <c r="E16" s="5" t="s">
        <v>31</v>
      </c>
      <c r="F16" s="5" t="s">
        <v>17</v>
      </c>
      <c r="G16" s="5" t="s">
        <v>12</v>
      </c>
    </row>
  </sheetData>
  <customSheetViews>
    <customSheetView guid="{D2E34B70-793B-4ED9-8524-A672A671A0FF}" topLeftCell="B1">
      <selection activeCell="H6" sqref="H6"/>
      <pageMargins left="0" right="0" top="0" bottom="0" header="0" footer="0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"/>
  <sheetViews>
    <sheetView workbookViewId="0">
      <selection activeCell="H1" sqref="H1"/>
    </sheetView>
  </sheetViews>
  <sheetFormatPr defaultRowHeight="15"/>
  <cols>
    <col min="1" max="1" width="10.7109375" bestFit="1" customWidth="1"/>
    <col min="2" max="2" width="9.5703125" bestFit="1" customWidth="1"/>
    <col min="3" max="3" width="17" bestFit="1" customWidth="1"/>
    <col min="4" max="4" width="10.140625" style="1" bestFit="1" customWidth="1"/>
    <col min="7" max="7" width="13.140625" bestFit="1" customWidth="1"/>
    <col min="8" max="8" width="19.85546875" bestFit="1" customWidth="1"/>
    <col min="10" max="10" width="14.85546875" customWidth="1"/>
    <col min="11" max="11" width="12" customWidth="1"/>
    <col min="12" max="12" width="7" customWidth="1"/>
    <col min="13" max="13" width="11.28515625" customWidth="1"/>
    <col min="14" max="16" width="5" customWidth="1"/>
    <col min="17" max="17" width="8" customWidth="1"/>
    <col min="18" max="21" width="5" customWidth="1"/>
    <col min="22" max="22" width="10" bestFit="1" customWidth="1"/>
    <col min="23" max="23" width="8.85546875" customWidth="1"/>
    <col min="24" max="31" width="5" customWidth="1"/>
    <col min="32" max="32" width="11.85546875" bestFit="1" customWidth="1"/>
    <col min="33" max="33" width="11.28515625" bestFit="1" customWidth="1"/>
  </cols>
  <sheetData>
    <row r="1" spans="1:17">
      <c r="A1" s="2" t="s">
        <v>32</v>
      </c>
      <c r="B1" s="2" t="s">
        <v>0</v>
      </c>
      <c r="C1" s="2" t="s">
        <v>33</v>
      </c>
      <c r="D1" s="3" t="s">
        <v>34</v>
      </c>
    </row>
    <row r="2" spans="1:17" ht="30">
      <c r="A2" s="8">
        <v>45573</v>
      </c>
      <c r="B2">
        <v>1</v>
      </c>
      <c r="C2" t="s">
        <v>35</v>
      </c>
      <c r="D2" s="1">
        <v>2900</v>
      </c>
      <c r="G2" s="4" t="s">
        <v>33</v>
      </c>
      <c r="H2" s="4" t="s">
        <v>36</v>
      </c>
      <c r="J2" s="9" t="s">
        <v>37</v>
      </c>
      <c r="K2" s="5"/>
    </row>
    <row r="3" spans="1:17">
      <c r="A3" s="8">
        <v>45573</v>
      </c>
      <c r="B3">
        <v>2</v>
      </c>
      <c r="C3" t="s">
        <v>38</v>
      </c>
      <c r="D3" s="1">
        <v>6380</v>
      </c>
      <c r="G3" s="5" t="s">
        <v>35</v>
      </c>
      <c r="H3" s="7">
        <f>SUMIF($C$2:$C$21,G3,$D$2:$D$21)</f>
        <v>56344</v>
      </c>
      <c r="J3" s="5" t="s">
        <v>35</v>
      </c>
      <c r="K3" s="5">
        <f>COUNTIF($C$2:$C$21,J3)</f>
        <v>9</v>
      </c>
      <c r="L3" s="35"/>
      <c r="M3" s="35"/>
    </row>
    <row r="4" spans="1:17">
      <c r="A4" s="8">
        <v>45573</v>
      </c>
      <c r="B4">
        <v>3</v>
      </c>
      <c r="C4" t="s">
        <v>38</v>
      </c>
      <c r="D4" s="1">
        <v>6489</v>
      </c>
      <c r="G4" s="5" t="s">
        <v>38</v>
      </c>
      <c r="H4" s="7">
        <f>SUMIF($C$2:$C$21,G4,$D$2:$D$21)</f>
        <v>75999</v>
      </c>
      <c r="J4" s="5" t="s">
        <v>38</v>
      </c>
      <c r="K4" s="5">
        <f>COUNTIF($C$2:$C$21,J4)</f>
        <v>11</v>
      </c>
      <c r="L4" s="35"/>
      <c r="Q4">
        <v>9212300</v>
      </c>
    </row>
    <row r="5" spans="1:17">
      <c r="A5" s="8" t="s">
        <v>39</v>
      </c>
      <c r="B5">
        <v>4</v>
      </c>
      <c r="C5" t="s">
        <v>35</v>
      </c>
      <c r="D5" s="1">
        <v>6499</v>
      </c>
      <c r="G5" s="6" t="s">
        <v>40</v>
      </c>
      <c r="H5" s="7">
        <f>SUM(H3:H4)</f>
        <v>132343</v>
      </c>
    </row>
    <row r="6" spans="1:17">
      <c r="A6" s="8" t="s">
        <v>39</v>
      </c>
      <c r="B6">
        <v>5</v>
      </c>
      <c r="C6" t="s">
        <v>35</v>
      </c>
      <c r="D6" s="1">
        <v>3549</v>
      </c>
      <c r="J6" s="10" t="s">
        <v>32</v>
      </c>
      <c r="K6" s="110">
        <v>45573</v>
      </c>
    </row>
    <row r="7" spans="1:17">
      <c r="A7" s="8" t="s">
        <v>39</v>
      </c>
      <c r="B7">
        <v>6</v>
      </c>
      <c r="C7" t="s">
        <v>38</v>
      </c>
      <c r="D7" s="1">
        <v>4746</v>
      </c>
    </row>
    <row r="8" spans="1:17">
      <c r="A8" s="8" t="s">
        <v>39</v>
      </c>
      <c r="B8">
        <v>7</v>
      </c>
      <c r="C8" t="s">
        <v>38</v>
      </c>
      <c r="D8" s="1">
        <v>5500</v>
      </c>
      <c r="J8" s="10" t="s">
        <v>41</v>
      </c>
    </row>
    <row r="9" spans="1:17">
      <c r="A9" s="8">
        <v>45573</v>
      </c>
      <c r="B9">
        <v>8</v>
      </c>
      <c r="C9" t="s">
        <v>38</v>
      </c>
      <c r="D9" s="1">
        <v>7777</v>
      </c>
      <c r="G9" s="10" t="s">
        <v>42</v>
      </c>
      <c r="H9" t="s">
        <v>43</v>
      </c>
      <c r="K9" t="s">
        <v>38</v>
      </c>
      <c r="L9" t="s">
        <v>35</v>
      </c>
      <c r="M9" t="s">
        <v>44</v>
      </c>
    </row>
    <row r="10" spans="1:17">
      <c r="A10" s="8">
        <v>45573</v>
      </c>
      <c r="B10">
        <v>9</v>
      </c>
      <c r="C10" t="s">
        <v>35</v>
      </c>
      <c r="D10" s="1">
        <v>7499</v>
      </c>
      <c r="G10" s="11" t="s">
        <v>35</v>
      </c>
      <c r="H10" s="12">
        <v>56344</v>
      </c>
      <c r="J10" s="11">
        <v>1</v>
      </c>
      <c r="K10" s="12"/>
      <c r="L10" s="12">
        <v>2900</v>
      </c>
      <c r="M10" s="12">
        <v>2900</v>
      </c>
    </row>
    <row r="11" spans="1:17">
      <c r="A11" s="8" t="s">
        <v>39</v>
      </c>
      <c r="B11">
        <v>10</v>
      </c>
      <c r="C11" t="s">
        <v>35</v>
      </c>
      <c r="D11" s="1">
        <v>7468</v>
      </c>
      <c r="G11" s="11" t="s">
        <v>44</v>
      </c>
      <c r="H11" s="12">
        <v>56344</v>
      </c>
      <c r="J11" s="11">
        <v>2</v>
      </c>
      <c r="K11" s="12">
        <v>6380</v>
      </c>
      <c r="L11" s="12"/>
      <c r="M11" s="12">
        <v>6380</v>
      </c>
    </row>
    <row r="12" spans="1:17">
      <c r="A12" s="8" t="s">
        <v>39</v>
      </c>
      <c r="B12">
        <v>11</v>
      </c>
      <c r="C12" t="s">
        <v>38</v>
      </c>
      <c r="D12" s="1">
        <v>7476</v>
      </c>
      <c r="J12" s="11">
        <v>3</v>
      </c>
      <c r="K12" s="12">
        <v>6489</v>
      </c>
      <c r="L12" s="12"/>
      <c r="M12" s="12">
        <v>6489</v>
      </c>
    </row>
    <row r="13" spans="1:17">
      <c r="A13" s="8" t="s">
        <v>39</v>
      </c>
      <c r="B13">
        <v>12</v>
      </c>
      <c r="C13" t="s">
        <v>35</v>
      </c>
      <c r="D13" s="1">
        <v>8488</v>
      </c>
      <c r="J13" s="11">
        <v>8</v>
      </c>
      <c r="K13" s="12">
        <v>7777</v>
      </c>
      <c r="L13" s="12"/>
      <c r="M13" s="12">
        <v>7777</v>
      </c>
    </row>
    <row r="14" spans="1:17">
      <c r="A14" s="8" t="s">
        <v>39</v>
      </c>
      <c r="B14">
        <v>13</v>
      </c>
      <c r="C14" t="s">
        <v>35</v>
      </c>
      <c r="D14" s="1">
        <v>4889</v>
      </c>
      <c r="J14" s="11">
        <v>9</v>
      </c>
      <c r="K14" s="12"/>
      <c r="L14" s="12">
        <v>7499</v>
      </c>
      <c r="M14" s="12">
        <v>7499</v>
      </c>
    </row>
    <row r="15" spans="1:17">
      <c r="A15" s="8" t="s">
        <v>39</v>
      </c>
      <c r="B15">
        <v>14</v>
      </c>
      <c r="C15" t="s">
        <v>38</v>
      </c>
      <c r="D15" s="1">
        <v>7489</v>
      </c>
      <c r="J15" s="11" t="s">
        <v>44</v>
      </c>
      <c r="K15" s="12">
        <v>20646</v>
      </c>
      <c r="L15" s="12">
        <v>10399</v>
      </c>
      <c r="M15" s="12">
        <v>31045</v>
      </c>
    </row>
    <row r="16" spans="1:17">
      <c r="A16" s="8" t="s">
        <v>39</v>
      </c>
      <c r="B16">
        <v>15</v>
      </c>
      <c r="C16" t="s">
        <v>38</v>
      </c>
      <c r="D16" s="1">
        <v>7489</v>
      </c>
    </row>
    <row r="17" spans="1:4">
      <c r="A17" s="8" t="s">
        <v>39</v>
      </c>
      <c r="B17">
        <v>16</v>
      </c>
      <c r="C17" t="s">
        <v>38</v>
      </c>
      <c r="D17" s="1">
        <v>7489</v>
      </c>
    </row>
    <row r="18" spans="1:4">
      <c r="A18" s="8" t="s">
        <v>39</v>
      </c>
      <c r="B18">
        <v>17</v>
      </c>
      <c r="C18" t="s">
        <v>35</v>
      </c>
      <c r="D18" s="1">
        <v>7484</v>
      </c>
    </row>
    <row r="19" spans="1:4">
      <c r="A19" s="8" t="s">
        <v>39</v>
      </c>
      <c r="B19">
        <v>18</v>
      </c>
      <c r="C19" t="s">
        <v>38</v>
      </c>
      <c r="D19" s="1">
        <v>8675</v>
      </c>
    </row>
    <row r="20" spans="1:4">
      <c r="A20" s="8" t="s">
        <v>39</v>
      </c>
      <c r="B20">
        <v>19</v>
      </c>
      <c r="C20" t="s">
        <v>38</v>
      </c>
      <c r="D20" s="1">
        <v>6489</v>
      </c>
    </row>
    <row r="21" spans="1:4">
      <c r="A21" s="8" t="s">
        <v>39</v>
      </c>
      <c r="B21">
        <v>20</v>
      </c>
      <c r="C21" t="s">
        <v>35</v>
      </c>
      <c r="D21" s="1">
        <v>7568</v>
      </c>
    </row>
  </sheetData>
  <customSheetViews>
    <customSheetView guid="{D2E34B70-793B-4ED9-8524-A672A671A0FF}">
      <selection activeCell="F8" sqref="F8"/>
      <pageMargins left="0" right="0" top="0" bottom="0" header="0" footer="0"/>
      <pageSetup orientation="portrait" r:id="rId3"/>
    </customSheetView>
  </customSheetViews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>
      <selection activeCell="H5" sqref="H5"/>
    </sheetView>
  </sheetViews>
  <sheetFormatPr defaultRowHeight="15"/>
  <cols>
    <col min="1" max="1" width="9.5703125" bestFit="1" customWidth="1"/>
    <col min="2" max="2" width="7.42578125" bestFit="1" customWidth="1"/>
    <col min="3" max="3" width="15.28515625" bestFit="1" customWidth="1"/>
    <col min="4" max="4" width="13.42578125" bestFit="1" customWidth="1"/>
    <col min="5" max="5" width="15" bestFit="1" customWidth="1"/>
    <col min="6" max="6" width="14.140625" bestFit="1" customWidth="1"/>
    <col min="7" max="7" width="12.42578125" bestFit="1" customWidth="1"/>
    <col min="9" max="9" width="14.140625" bestFit="1" customWidth="1"/>
  </cols>
  <sheetData>
    <row r="1" spans="1:11">
      <c r="A1" s="13" t="s">
        <v>0</v>
      </c>
      <c r="B1" s="13" t="s">
        <v>1</v>
      </c>
      <c r="C1" s="15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I1" s="13" t="s">
        <v>5</v>
      </c>
      <c r="J1" s="16" t="s">
        <v>45</v>
      </c>
      <c r="K1" s="16" t="s">
        <v>46</v>
      </c>
    </row>
    <row r="2" spans="1:11">
      <c r="A2" s="5">
        <v>1</v>
      </c>
      <c r="B2" s="5" t="s">
        <v>8</v>
      </c>
      <c r="C2" s="7">
        <v>120000</v>
      </c>
      <c r="D2" s="5" t="s">
        <v>45</v>
      </c>
      <c r="E2" s="5" t="s">
        <v>10</v>
      </c>
      <c r="F2" s="5" t="s">
        <v>11</v>
      </c>
      <c r="G2" s="5" t="s">
        <v>12</v>
      </c>
      <c r="I2" s="5" t="s">
        <v>17</v>
      </c>
      <c r="J2" s="5">
        <f>COUNTIFS($F$2:$F$16,$I2,$D$2:$D$16,J$1)</f>
        <v>5</v>
      </c>
      <c r="K2" s="5">
        <f>COUNTIFS($F$2:$F$16,$I2,$D$2:$D$16,K$1)</f>
        <v>4</v>
      </c>
    </row>
    <row r="3" spans="1:11">
      <c r="A3" s="5">
        <v>2</v>
      </c>
      <c r="B3" s="5" t="s">
        <v>13</v>
      </c>
      <c r="C3" s="7">
        <v>200000</v>
      </c>
      <c r="D3" s="5" t="s">
        <v>46</v>
      </c>
      <c r="E3" s="5" t="s">
        <v>14</v>
      </c>
      <c r="F3" s="5" t="s">
        <v>47</v>
      </c>
      <c r="G3" s="5" t="s">
        <v>9</v>
      </c>
      <c r="I3" s="5" t="s">
        <v>47</v>
      </c>
      <c r="J3" s="5">
        <f t="shared" ref="J3:K5" si="0">COUNTIFS($F$2:$F$16,$I3,$D$2:$D$16,J$1)</f>
        <v>1</v>
      </c>
      <c r="K3" s="5">
        <f t="shared" si="0"/>
        <v>2</v>
      </c>
    </row>
    <row r="4" spans="1:11">
      <c r="A4" s="5">
        <v>3</v>
      </c>
      <c r="B4" s="5" t="s">
        <v>16</v>
      </c>
      <c r="C4" s="7">
        <v>550000</v>
      </c>
      <c r="D4" s="5" t="s">
        <v>45</v>
      </c>
      <c r="E4" s="5" t="s">
        <v>10</v>
      </c>
      <c r="F4" s="5" t="s">
        <v>17</v>
      </c>
      <c r="G4" s="5" t="s">
        <v>12</v>
      </c>
      <c r="I4" s="5" t="s">
        <v>26</v>
      </c>
      <c r="J4" s="5">
        <f t="shared" si="0"/>
        <v>2</v>
      </c>
      <c r="K4" s="5">
        <f t="shared" si="0"/>
        <v>0</v>
      </c>
    </row>
    <row r="5" spans="1:11">
      <c r="A5" s="5">
        <v>4</v>
      </c>
      <c r="B5" s="5" t="s">
        <v>18</v>
      </c>
      <c r="C5" s="7">
        <v>450000</v>
      </c>
      <c r="D5" s="5" t="s">
        <v>45</v>
      </c>
      <c r="E5" s="5" t="s">
        <v>14</v>
      </c>
      <c r="F5" s="5" t="s">
        <v>47</v>
      </c>
      <c r="G5" s="5" t="s">
        <v>12</v>
      </c>
      <c r="I5" s="5" t="s">
        <v>11</v>
      </c>
      <c r="J5" s="5">
        <f t="shared" si="0"/>
        <v>1</v>
      </c>
      <c r="K5" s="5">
        <f t="shared" si="0"/>
        <v>0</v>
      </c>
    </row>
    <row r="6" spans="1:11">
      <c r="A6" s="5">
        <v>5</v>
      </c>
      <c r="B6" s="5" t="s">
        <v>19</v>
      </c>
      <c r="C6" s="7">
        <v>700000</v>
      </c>
      <c r="D6" s="5" t="s">
        <v>46</v>
      </c>
      <c r="E6" s="5" t="s">
        <v>10</v>
      </c>
      <c r="F6" s="5" t="s">
        <v>17</v>
      </c>
      <c r="G6" s="5" t="s">
        <v>9</v>
      </c>
    </row>
    <row r="7" spans="1:11">
      <c r="A7" s="5">
        <v>6</v>
      </c>
      <c r="B7" s="5" t="s">
        <v>20</v>
      </c>
      <c r="C7" s="7">
        <v>1200000</v>
      </c>
      <c r="D7" s="5" t="s">
        <v>45</v>
      </c>
      <c r="E7" s="5" t="s">
        <v>14</v>
      </c>
      <c r="F7" s="5" t="s">
        <v>17</v>
      </c>
      <c r="G7" s="5" t="s">
        <v>9</v>
      </c>
    </row>
    <row r="8" spans="1:11">
      <c r="A8" s="5">
        <v>7</v>
      </c>
      <c r="B8" s="5" t="s">
        <v>21</v>
      </c>
      <c r="C8" s="7">
        <v>800000</v>
      </c>
      <c r="D8" s="5" t="s">
        <v>45</v>
      </c>
      <c r="E8" s="5" t="s">
        <v>10</v>
      </c>
      <c r="F8" s="5" t="s">
        <v>17</v>
      </c>
      <c r="G8" s="5" t="s">
        <v>9</v>
      </c>
    </row>
    <row r="9" spans="1:11">
      <c r="A9" s="5">
        <v>8</v>
      </c>
      <c r="B9" s="5" t="s">
        <v>22</v>
      </c>
      <c r="C9" s="7">
        <v>1500000</v>
      </c>
      <c r="D9" s="5" t="s">
        <v>46</v>
      </c>
      <c r="E9" s="5" t="s">
        <v>10</v>
      </c>
      <c r="F9" s="5" t="s">
        <v>17</v>
      </c>
      <c r="G9" s="5" t="s">
        <v>9</v>
      </c>
    </row>
    <row r="10" spans="1:11">
      <c r="A10" s="5">
        <v>9</v>
      </c>
      <c r="B10" s="5" t="s">
        <v>23</v>
      </c>
      <c r="C10" s="7">
        <v>1000000</v>
      </c>
      <c r="D10" s="5" t="s">
        <v>45</v>
      </c>
      <c r="E10" s="5" t="s">
        <v>10</v>
      </c>
      <c r="F10" s="5" t="s">
        <v>17</v>
      </c>
      <c r="G10" s="5" t="s">
        <v>9</v>
      </c>
    </row>
    <row r="11" spans="1:11">
      <c r="A11" s="5">
        <v>10</v>
      </c>
      <c r="B11" s="5" t="s">
        <v>24</v>
      </c>
      <c r="C11" s="7">
        <v>1550000</v>
      </c>
      <c r="D11" s="5" t="s">
        <v>46</v>
      </c>
      <c r="E11" s="5" t="s">
        <v>14</v>
      </c>
      <c r="F11" s="5" t="s">
        <v>17</v>
      </c>
      <c r="G11" s="5" t="s">
        <v>9</v>
      </c>
    </row>
    <row r="12" spans="1:11">
      <c r="A12" s="5">
        <v>11</v>
      </c>
      <c r="B12" s="5" t="s">
        <v>25</v>
      </c>
      <c r="C12" s="7">
        <v>600000</v>
      </c>
      <c r="D12" s="5" t="s">
        <v>45</v>
      </c>
      <c r="E12" s="5" t="s">
        <v>14</v>
      </c>
      <c r="F12" s="5" t="s">
        <v>26</v>
      </c>
      <c r="G12" s="5" t="s">
        <v>12</v>
      </c>
    </row>
    <row r="13" spans="1:11">
      <c r="A13" s="5">
        <v>12</v>
      </c>
      <c r="B13" s="5" t="s">
        <v>27</v>
      </c>
      <c r="C13" s="7">
        <v>500000</v>
      </c>
      <c r="D13" s="5" t="s">
        <v>46</v>
      </c>
      <c r="E13" s="5" t="s">
        <v>10</v>
      </c>
      <c r="F13" s="5" t="s">
        <v>47</v>
      </c>
      <c r="G13" s="5" t="s">
        <v>9</v>
      </c>
    </row>
    <row r="14" spans="1:11">
      <c r="A14" s="5">
        <v>13</v>
      </c>
      <c r="B14" s="5" t="s">
        <v>28</v>
      </c>
      <c r="C14" s="7">
        <v>750000</v>
      </c>
      <c r="D14" s="5" t="s">
        <v>45</v>
      </c>
      <c r="E14" s="5" t="s">
        <v>10</v>
      </c>
      <c r="F14" s="5" t="s">
        <v>17</v>
      </c>
      <c r="G14" s="5" t="s">
        <v>9</v>
      </c>
    </row>
    <row r="15" spans="1:11">
      <c r="A15" s="5">
        <v>14</v>
      </c>
      <c r="B15" s="5" t="s">
        <v>29</v>
      </c>
      <c r="C15" s="7">
        <v>800000</v>
      </c>
      <c r="D15" s="5" t="s">
        <v>45</v>
      </c>
      <c r="E15" s="5" t="s">
        <v>10</v>
      </c>
      <c r="F15" s="5" t="s">
        <v>26</v>
      </c>
      <c r="G15" s="5" t="s">
        <v>9</v>
      </c>
    </row>
    <row r="16" spans="1:11">
      <c r="A16" s="5">
        <v>15</v>
      </c>
      <c r="B16" s="5" t="s">
        <v>30</v>
      </c>
      <c r="C16" s="7">
        <v>1570000</v>
      </c>
      <c r="D16" s="5" t="s">
        <v>46</v>
      </c>
      <c r="E16" s="5" t="s">
        <v>31</v>
      </c>
      <c r="F16" s="5" t="s">
        <v>17</v>
      </c>
      <c r="G16" s="5" t="s">
        <v>12</v>
      </c>
    </row>
  </sheetData>
  <customSheetViews>
    <customSheetView guid="{D2E34B70-793B-4ED9-8524-A672A671A0FF}">
      <selection activeCell="J3" sqref="J3"/>
      <pageMargins left="0" right="0" top="0" bottom="0" header="0" footer="0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workbookViewId="0">
      <selection activeCell="K2" sqref="K2:L5"/>
    </sheetView>
  </sheetViews>
  <sheetFormatPr defaultRowHeight="15"/>
  <cols>
    <col min="3" max="3" width="15.28515625" customWidth="1"/>
    <col min="4" max="4" width="13.42578125" bestFit="1" customWidth="1"/>
    <col min="5" max="5" width="15" customWidth="1"/>
    <col min="6" max="7" width="13.28515625" customWidth="1"/>
    <col min="8" max="8" width="12.42578125" bestFit="1" customWidth="1"/>
    <col min="10" max="10" width="14.140625" bestFit="1" customWidth="1"/>
    <col min="11" max="12" width="12.140625" bestFit="1" customWidth="1"/>
  </cols>
  <sheetData>
    <row r="1" spans="1:12">
      <c r="A1" s="13" t="s">
        <v>0</v>
      </c>
      <c r="B1" s="13" t="s">
        <v>1</v>
      </c>
      <c r="C1" s="15" t="s">
        <v>2</v>
      </c>
      <c r="D1" s="13" t="s">
        <v>3</v>
      </c>
      <c r="E1" s="13" t="s">
        <v>4</v>
      </c>
      <c r="F1" s="13" t="s">
        <v>5</v>
      </c>
      <c r="G1" s="14" t="s">
        <v>48</v>
      </c>
      <c r="H1" s="13" t="s">
        <v>6</v>
      </c>
      <c r="J1" s="16" t="s">
        <v>49</v>
      </c>
      <c r="K1" s="16" t="s">
        <v>46</v>
      </c>
      <c r="L1" s="16" t="s">
        <v>45</v>
      </c>
    </row>
    <row r="2" spans="1:12">
      <c r="A2" s="5">
        <v>1</v>
      </c>
      <c r="B2" s="5" t="s">
        <v>8</v>
      </c>
      <c r="C2" s="7">
        <v>120000</v>
      </c>
      <c r="D2" s="5" t="s">
        <v>45</v>
      </c>
      <c r="E2" s="5" t="s">
        <v>10</v>
      </c>
      <c r="F2" s="5" t="s">
        <v>11</v>
      </c>
      <c r="G2" s="7">
        <f>C2/12</f>
        <v>10000</v>
      </c>
      <c r="H2" s="5" t="s">
        <v>50</v>
      </c>
      <c r="J2" s="5" t="s">
        <v>17</v>
      </c>
      <c r="K2" s="7"/>
      <c r="L2" s="7"/>
    </row>
    <row r="3" spans="1:12">
      <c r="A3" s="5">
        <v>2</v>
      </c>
      <c r="B3" s="5" t="s">
        <v>13</v>
      </c>
      <c r="C3" s="7">
        <v>200000</v>
      </c>
      <c r="D3" s="5" t="s">
        <v>46</v>
      </c>
      <c r="E3" s="5" t="s">
        <v>14</v>
      </c>
      <c r="F3" s="5" t="s">
        <v>47</v>
      </c>
      <c r="G3" s="7">
        <f t="shared" ref="G3:G16" si="0">C3/12</f>
        <v>16666.666666666668</v>
      </c>
      <c r="H3" s="5" t="s">
        <v>51</v>
      </c>
      <c r="J3" s="5" t="s">
        <v>47</v>
      </c>
      <c r="K3" s="7"/>
      <c r="L3" s="7"/>
    </row>
    <row r="4" spans="1:12">
      <c r="A4" s="5">
        <v>3</v>
      </c>
      <c r="B4" s="5" t="s">
        <v>16</v>
      </c>
      <c r="C4" s="7">
        <v>550000</v>
      </c>
      <c r="D4" s="5" t="s">
        <v>45</v>
      </c>
      <c r="E4" s="5" t="s">
        <v>10</v>
      </c>
      <c r="F4" s="5" t="s">
        <v>17</v>
      </c>
      <c r="G4" s="7">
        <f t="shared" si="0"/>
        <v>45833.333333333336</v>
      </c>
      <c r="H4" s="5" t="s">
        <v>50</v>
      </c>
      <c r="J4" s="5" t="s">
        <v>26</v>
      </c>
      <c r="K4" s="7"/>
      <c r="L4" s="7"/>
    </row>
    <row r="5" spans="1:12">
      <c r="A5" s="5">
        <v>4</v>
      </c>
      <c r="B5" s="5" t="s">
        <v>18</v>
      </c>
      <c r="C5" s="7">
        <v>450000</v>
      </c>
      <c r="D5" s="5" t="s">
        <v>45</v>
      </c>
      <c r="E5" s="5" t="s">
        <v>14</v>
      </c>
      <c r="F5" s="5" t="s">
        <v>47</v>
      </c>
      <c r="G5" s="7">
        <f t="shared" si="0"/>
        <v>37500</v>
      </c>
      <c r="H5" s="5" t="s">
        <v>51</v>
      </c>
      <c r="J5" s="5" t="s">
        <v>11</v>
      </c>
      <c r="K5" s="7"/>
      <c r="L5" s="7"/>
    </row>
    <row r="6" spans="1:12">
      <c r="A6" s="5">
        <v>5</v>
      </c>
      <c r="B6" s="5" t="s">
        <v>19</v>
      </c>
      <c r="C6" s="7">
        <v>700000</v>
      </c>
      <c r="D6" s="5" t="s">
        <v>46</v>
      </c>
      <c r="E6" s="5" t="s">
        <v>10</v>
      </c>
      <c r="F6" s="5" t="s">
        <v>17</v>
      </c>
      <c r="G6" s="7">
        <f t="shared" si="0"/>
        <v>58333.333333333336</v>
      </c>
      <c r="H6" s="5" t="s">
        <v>51</v>
      </c>
    </row>
    <row r="7" spans="1:12">
      <c r="A7" s="5">
        <v>6</v>
      </c>
      <c r="B7" s="5" t="s">
        <v>20</v>
      </c>
      <c r="C7" s="7">
        <v>1200000</v>
      </c>
      <c r="D7" s="5" t="s">
        <v>45</v>
      </c>
      <c r="E7" s="5" t="s">
        <v>14</v>
      </c>
      <c r="F7" s="5" t="s">
        <v>17</v>
      </c>
      <c r="G7" s="7">
        <f t="shared" si="0"/>
        <v>100000</v>
      </c>
      <c r="H7" s="5" t="s">
        <v>51</v>
      </c>
    </row>
    <row r="8" spans="1:12">
      <c r="A8" s="5">
        <v>7</v>
      </c>
      <c r="B8" s="5" t="s">
        <v>21</v>
      </c>
      <c r="C8" s="7">
        <v>800000</v>
      </c>
      <c r="D8" s="5" t="s">
        <v>45</v>
      </c>
      <c r="E8" s="5" t="s">
        <v>10</v>
      </c>
      <c r="F8" s="5" t="s">
        <v>17</v>
      </c>
      <c r="G8" s="7">
        <f t="shared" si="0"/>
        <v>66666.666666666672</v>
      </c>
      <c r="H8" s="5" t="s">
        <v>51</v>
      </c>
    </row>
    <row r="9" spans="1:12">
      <c r="A9" s="5">
        <v>8</v>
      </c>
      <c r="B9" s="5" t="s">
        <v>22</v>
      </c>
      <c r="C9" s="7">
        <v>1500000</v>
      </c>
      <c r="D9" s="5" t="s">
        <v>46</v>
      </c>
      <c r="E9" s="5" t="s">
        <v>10</v>
      </c>
      <c r="F9" s="5" t="s">
        <v>17</v>
      </c>
      <c r="G9" s="7">
        <f t="shared" si="0"/>
        <v>125000</v>
      </c>
      <c r="H9" s="5" t="s">
        <v>51</v>
      </c>
    </row>
    <row r="10" spans="1:12">
      <c r="A10" s="5">
        <v>9</v>
      </c>
      <c r="B10" s="5" t="s">
        <v>23</v>
      </c>
      <c r="C10" s="7">
        <v>1000000</v>
      </c>
      <c r="D10" s="5" t="s">
        <v>45</v>
      </c>
      <c r="E10" s="5" t="s">
        <v>10</v>
      </c>
      <c r="F10" s="5" t="s">
        <v>17</v>
      </c>
      <c r="G10" s="7">
        <f t="shared" si="0"/>
        <v>83333.333333333328</v>
      </c>
      <c r="H10" s="5" t="s">
        <v>51</v>
      </c>
    </row>
    <row r="11" spans="1:12">
      <c r="A11" s="5">
        <v>10</v>
      </c>
      <c r="B11" s="5" t="s">
        <v>24</v>
      </c>
      <c r="C11" s="7">
        <v>1550000</v>
      </c>
      <c r="D11" s="5" t="s">
        <v>46</v>
      </c>
      <c r="E11" s="5" t="s">
        <v>14</v>
      </c>
      <c r="F11" s="5" t="s">
        <v>17</v>
      </c>
      <c r="G11" s="7">
        <f t="shared" si="0"/>
        <v>129166.66666666667</v>
      </c>
      <c r="H11" s="5" t="s">
        <v>51</v>
      </c>
    </row>
    <row r="12" spans="1:12">
      <c r="A12" s="5">
        <v>11</v>
      </c>
      <c r="B12" s="5" t="s">
        <v>25</v>
      </c>
      <c r="C12" s="7">
        <v>600000</v>
      </c>
      <c r="D12" s="5" t="s">
        <v>46</v>
      </c>
      <c r="E12" s="5" t="s">
        <v>14</v>
      </c>
      <c r="F12" s="5" t="s">
        <v>26</v>
      </c>
      <c r="G12" s="7">
        <f t="shared" si="0"/>
        <v>50000</v>
      </c>
      <c r="H12" s="5" t="s">
        <v>50</v>
      </c>
    </row>
    <row r="13" spans="1:12">
      <c r="A13" s="5">
        <v>12</v>
      </c>
      <c r="B13" s="5" t="s">
        <v>27</v>
      </c>
      <c r="C13" s="7">
        <v>500000</v>
      </c>
      <c r="D13" s="5" t="s">
        <v>46</v>
      </c>
      <c r="E13" s="5" t="s">
        <v>10</v>
      </c>
      <c r="F13" s="5" t="s">
        <v>47</v>
      </c>
      <c r="G13" s="7">
        <f t="shared" si="0"/>
        <v>41666.666666666664</v>
      </c>
      <c r="H13" s="5" t="s">
        <v>51</v>
      </c>
    </row>
    <row r="14" spans="1:12">
      <c r="A14" s="5">
        <v>13</v>
      </c>
      <c r="B14" s="5" t="s">
        <v>28</v>
      </c>
      <c r="C14" s="7">
        <v>750000</v>
      </c>
      <c r="D14" s="5" t="s">
        <v>45</v>
      </c>
      <c r="E14" s="5" t="s">
        <v>10</v>
      </c>
      <c r="F14" s="5" t="s">
        <v>17</v>
      </c>
      <c r="G14" s="7">
        <f t="shared" si="0"/>
        <v>62500</v>
      </c>
      <c r="H14" s="5" t="s">
        <v>51</v>
      </c>
    </row>
    <row r="15" spans="1:12">
      <c r="A15" s="5">
        <v>14</v>
      </c>
      <c r="B15" s="5" t="s">
        <v>29</v>
      </c>
      <c r="C15" s="7">
        <v>800000</v>
      </c>
      <c r="D15" s="5" t="s">
        <v>45</v>
      </c>
      <c r="E15" s="5" t="s">
        <v>10</v>
      </c>
      <c r="F15" s="5" t="s">
        <v>26</v>
      </c>
      <c r="G15" s="7">
        <f t="shared" si="0"/>
        <v>66666.666666666672</v>
      </c>
      <c r="H15" s="5" t="s">
        <v>51</v>
      </c>
    </row>
    <row r="16" spans="1:12">
      <c r="A16" s="5">
        <v>15</v>
      </c>
      <c r="B16" s="5" t="s">
        <v>30</v>
      </c>
      <c r="C16" s="7">
        <v>1570000</v>
      </c>
      <c r="D16" s="5" t="s">
        <v>46</v>
      </c>
      <c r="E16" s="5" t="s">
        <v>31</v>
      </c>
      <c r="F16" s="5" t="s">
        <v>17</v>
      </c>
      <c r="G16" s="7">
        <f t="shared" si="0"/>
        <v>130833.33333333333</v>
      </c>
      <c r="H16" s="5" t="s">
        <v>50</v>
      </c>
    </row>
  </sheetData>
  <customSheetViews>
    <customSheetView guid="{D2E34B70-793B-4ED9-8524-A672A671A0FF}">
      <selection activeCell="J12" sqref="J12"/>
      <pageMargins left="0" right="0" top="0" bottom="0" header="0" footer="0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5"/>
  <sheetViews>
    <sheetView workbookViewId="0">
      <selection activeCell="M26" sqref="M26"/>
    </sheetView>
  </sheetViews>
  <sheetFormatPr defaultRowHeight="15"/>
  <cols>
    <col min="3" max="3" width="15.42578125" bestFit="1" customWidth="1"/>
    <col min="4" max="4" width="13" style="8" customWidth="1"/>
    <col min="5" max="5" width="10.85546875" customWidth="1"/>
    <col min="6" max="6" width="13.140625" customWidth="1"/>
    <col min="7" max="7" width="12" customWidth="1"/>
    <col min="8" max="8" width="12.7109375" customWidth="1"/>
    <col min="9" max="9" width="8.7109375" customWidth="1"/>
    <col min="10" max="10" width="10.140625" customWidth="1"/>
    <col min="11" max="11" width="14" bestFit="1" customWidth="1"/>
    <col min="13" max="13" width="9.5703125" bestFit="1" customWidth="1"/>
    <col min="14" max="15" width="14.140625" customWidth="1"/>
    <col min="17" max="17" width="11.85546875" bestFit="1" customWidth="1"/>
  </cols>
  <sheetData>
    <row r="1" spans="1:15">
      <c r="A1" s="17" t="s">
        <v>52</v>
      </c>
      <c r="B1" s="17" t="s">
        <v>53</v>
      </c>
      <c r="C1" s="17" t="s">
        <v>54</v>
      </c>
      <c r="D1" s="18" t="s">
        <v>55</v>
      </c>
      <c r="E1" s="17" t="s">
        <v>56</v>
      </c>
      <c r="F1" s="17" t="s">
        <v>57</v>
      </c>
      <c r="G1" s="17" t="s">
        <v>58</v>
      </c>
      <c r="H1" s="17" t="s">
        <v>59</v>
      </c>
      <c r="I1" s="17" t="s">
        <v>60</v>
      </c>
      <c r="J1" s="17" t="s">
        <v>61</v>
      </c>
      <c r="K1" s="17" t="s">
        <v>62</v>
      </c>
      <c r="M1" s="17" t="s">
        <v>63</v>
      </c>
    </row>
    <row r="2" spans="1:15" ht="30">
      <c r="A2">
        <v>139360</v>
      </c>
      <c r="B2" t="s">
        <v>64</v>
      </c>
      <c r="C2" t="s">
        <v>65</v>
      </c>
      <c r="D2" s="8">
        <v>45535</v>
      </c>
      <c r="E2" t="s">
        <v>66</v>
      </c>
      <c r="F2" t="s">
        <v>67</v>
      </c>
      <c r="G2" t="s">
        <v>68</v>
      </c>
      <c r="H2" t="s">
        <v>69</v>
      </c>
      <c r="I2">
        <v>2</v>
      </c>
      <c r="J2">
        <v>15000</v>
      </c>
      <c r="K2">
        <f>I2*J2</f>
        <v>30000</v>
      </c>
      <c r="N2" s="19" t="s">
        <v>70</v>
      </c>
    </row>
    <row r="3" spans="1:15">
      <c r="A3">
        <v>139361</v>
      </c>
      <c r="B3" t="s">
        <v>64</v>
      </c>
      <c r="C3" t="s">
        <v>71</v>
      </c>
      <c r="D3" s="8">
        <v>45535</v>
      </c>
      <c r="E3" t="s">
        <v>66</v>
      </c>
      <c r="F3" t="s">
        <v>67</v>
      </c>
      <c r="G3" t="s">
        <v>68</v>
      </c>
      <c r="H3" t="s">
        <v>69</v>
      </c>
      <c r="I3">
        <v>3</v>
      </c>
      <c r="J3">
        <v>15000</v>
      </c>
      <c r="K3">
        <f t="shared" ref="K3:K25" si="0">I3*J3</f>
        <v>45000</v>
      </c>
      <c r="M3" t="s">
        <v>69</v>
      </c>
      <c r="N3" s="20"/>
    </row>
    <row r="4" spans="1:15">
      <c r="A4">
        <v>139362</v>
      </c>
      <c r="B4" t="s">
        <v>72</v>
      </c>
      <c r="C4" t="s">
        <v>73</v>
      </c>
      <c r="D4" s="8">
        <v>45535</v>
      </c>
      <c r="E4" t="s">
        <v>66</v>
      </c>
      <c r="F4" t="s">
        <v>67</v>
      </c>
      <c r="G4" t="s">
        <v>68</v>
      </c>
      <c r="H4" t="s">
        <v>69</v>
      </c>
      <c r="I4">
        <v>4</v>
      </c>
      <c r="J4">
        <v>15000</v>
      </c>
      <c r="K4">
        <f t="shared" si="0"/>
        <v>60000</v>
      </c>
      <c r="M4" t="s">
        <v>74</v>
      </c>
      <c r="N4" s="20"/>
    </row>
    <row r="5" spans="1:15">
      <c r="A5">
        <v>139363</v>
      </c>
      <c r="B5" t="s">
        <v>72</v>
      </c>
      <c r="C5" t="s">
        <v>23</v>
      </c>
      <c r="D5" s="8">
        <v>45535</v>
      </c>
      <c r="E5" t="s">
        <v>66</v>
      </c>
      <c r="F5" t="s">
        <v>67</v>
      </c>
      <c r="G5" t="s">
        <v>68</v>
      </c>
      <c r="H5" t="s">
        <v>69</v>
      </c>
      <c r="I5">
        <v>5</v>
      </c>
      <c r="J5">
        <v>15000</v>
      </c>
      <c r="K5">
        <f t="shared" si="0"/>
        <v>75000</v>
      </c>
    </row>
    <row r="6" spans="1:15">
      <c r="A6">
        <v>139364</v>
      </c>
      <c r="B6" t="s">
        <v>75</v>
      </c>
      <c r="C6" t="s">
        <v>76</v>
      </c>
      <c r="D6" s="8">
        <v>45535</v>
      </c>
      <c r="E6" t="s">
        <v>66</v>
      </c>
      <c r="F6" t="s">
        <v>67</v>
      </c>
      <c r="G6" t="s">
        <v>77</v>
      </c>
      <c r="H6" t="s">
        <v>74</v>
      </c>
      <c r="I6">
        <v>6</v>
      </c>
      <c r="J6">
        <v>20000</v>
      </c>
      <c r="K6">
        <f t="shared" si="0"/>
        <v>120000</v>
      </c>
    </row>
    <row r="7" spans="1:15">
      <c r="A7">
        <v>139365</v>
      </c>
      <c r="B7" t="s">
        <v>78</v>
      </c>
      <c r="C7" t="s">
        <v>79</v>
      </c>
      <c r="D7" s="8">
        <v>45535</v>
      </c>
      <c r="E7" t="s">
        <v>66</v>
      </c>
      <c r="F7" t="s">
        <v>67</v>
      </c>
      <c r="G7" t="s">
        <v>77</v>
      </c>
      <c r="H7" t="s">
        <v>74</v>
      </c>
      <c r="I7">
        <v>7</v>
      </c>
      <c r="J7">
        <v>20000</v>
      </c>
      <c r="K7">
        <f t="shared" si="0"/>
        <v>140000</v>
      </c>
      <c r="M7" s="21" t="s">
        <v>80</v>
      </c>
    </row>
    <row r="8" spans="1:15">
      <c r="A8">
        <v>139366</v>
      </c>
      <c r="B8" t="s">
        <v>78</v>
      </c>
      <c r="C8" t="s">
        <v>81</v>
      </c>
      <c r="D8" s="8">
        <v>45535</v>
      </c>
      <c r="E8" t="s">
        <v>66</v>
      </c>
      <c r="F8" t="s">
        <v>67</v>
      </c>
      <c r="G8" t="s">
        <v>77</v>
      </c>
      <c r="H8" t="s">
        <v>74</v>
      </c>
      <c r="I8">
        <v>8</v>
      </c>
      <c r="J8">
        <v>20000</v>
      </c>
      <c r="K8">
        <f t="shared" si="0"/>
        <v>160000</v>
      </c>
      <c r="N8" t="s">
        <v>67</v>
      </c>
      <c r="O8" t="s">
        <v>82</v>
      </c>
    </row>
    <row r="9" spans="1:15">
      <c r="A9">
        <v>139367</v>
      </c>
      <c r="B9" t="s">
        <v>83</v>
      </c>
      <c r="C9" t="s">
        <v>84</v>
      </c>
      <c r="D9" s="8">
        <v>45535</v>
      </c>
      <c r="E9" t="s">
        <v>66</v>
      </c>
      <c r="F9" t="s">
        <v>82</v>
      </c>
      <c r="G9" t="s">
        <v>77</v>
      </c>
      <c r="H9" t="s">
        <v>74</v>
      </c>
      <c r="I9">
        <v>6</v>
      </c>
      <c r="J9">
        <v>20000</v>
      </c>
      <c r="K9">
        <f t="shared" si="0"/>
        <v>120000</v>
      </c>
      <c r="M9" t="s">
        <v>69</v>
      </c>
    </row>
    <row r="10" spans="1:15">
      <c r="A10">
        <v>139368</v>
      </c>
      <c r="B10" t="s">
        <v>83</v>
      </c>
      <c r="C10" t="s">
        <v>85</v>
      </c>
      <c r="D10" s="8">
        <v>45535</v>
      </c>
      <c r="E10" t="s">
        <v>66</v>
      </c>
      <c r="F10" t="s">
        <v>67</v>
      </c>
      <c r="G10" t="s">
        <v>77</v>
      </c>
      <c r="H10" t="s">
        <v>74</v>
      </c>
      <c r="I10">
        <v>5</v>
      </c>
      <c r="J10">
        <v>20000</v>
      </c>
      <c r="K10">
        <f t="shared" si="0"/>
        <v>100000</v>
      </c>
      <c r="M10" t="s">
        <v>74</v>
      </c>
    </row>
    <row r="11" spans="1:15">
      <c r="A11">
        <v>139369</v>
      </c>
      <c r="B11" t="s">
        <v>83</v>
      </c>
      <c r="C11" t="s">
        <v>18</v>
      </c>
      <c r="D11" s="8">
        <v>45535</v>
      </c>
      <c r="E11" t="s">
        <v>66</v>
      </c>
      <c r="F11" t="s">
        <v>67</v>
      </c>
      <c r="G11" t="s">
        <v>86</v>
      </c>
      <c r="H11" t="s">
        <v>69</v>
      </c>
      <c r="I11">
        <v>4</v>
      </c>
      <c r="J11">
        <v>35000</v>
      </c>
      <c r="K11">
        <f t="shared" si="0"/>
        <v>140000</v>
      </c>
    </row>
    <row r="12" spans="1:15">
      <c r="A12">
        <v>139370</v>
      </c>
      <c r="B12" t="s">
        <v>75</v>
      </c>
      <c r="C12" t="s">
        <v>87</v>
      </c>
      <c r="D12" s="8">
        <v>45535</v>
      </c>
      <c r="E12" t="s">
        <v>66</v>
      </c>
      <c r="F12" t="s">
        <v>82</v>
      </c>
      <c r="G12" t="s">
        <v>86</v>
      </c>
      <c r="H12" t="s">
        <v>69</v>
      </c>
      <c r="I12">
        <v>3</v>
      </c>
      <c r="J12">
        <v>35000</v>
      </c>
      <c r="K12">
        <f t="shared" si="0"/>
        <v>105000</v>
      </c>
    </row>
    <row r="13" spans="1:15">
      <c r="A13">
        <v>139371</v>
      </c>
      <c r="B13" t="s">
        <v>72</v>
      </c>
      <c r="C13" t="s">
        <v>88</v>
      </c>
      <c r="D13" s="8">
        <v>45535</v>
      </c>
      <c r="E13" t="s">
        <v>66</v>
      </c>
      <c r="F13" t="s">
        <v>82</v>
      </c>
      <c r="G13" t="s">
        <v>86</v>
      </c>
      <c r="H13" t="s">
        <v>69</v>
      </c>
      <c r="I13">
        <v>2</v>
      </c>
      <c r="J13">
        <v>35000</v>
      </c>
      <c r="K13">
        <f t="shared" si="0"/>
        <v>70000</v>
      </c>
      <c r="M13" t="s">
        <v>89</v>
      </c>
    </row>
    <row r="14" spans="1:15">
      <c r="A14">
        <v>139372</v>
      </c>
      <c r="B14" t="s">
        <v>64</v>
      </c>
      <c r="C14" t="s">
        <v>90</v>
      </c>
      <c r="D14" s="8">
        <v>45536</v>
      </c>
      <c r="E14" t="s">
        <v>66</v>
      </c>
      <c r="F14" t="s">
        <v>82</v>
      </c>
      <c r="G14" t="s">
        <v>86</v>
      </c>
      <c r="H14" t="s">
        <v>69</v>
      </c>
      <c r="I14">
        <v>3</v>
      </c>
      <c r="J14">
        <v>35000</v>
      </c>
      <c r="K14">
        <f t="shared" si="0"/>
        <v>105000</v>
      </c>
      <c r="N14" t="s">
        <v>91</v>
      </c>
      <c r="O14" t="s">
        <v>92</v>
      </c>
    </row>
    <row r="15" spans="1:15">
      <c r="A15">
        <v>139373</v>
      </c>
      <c r="B15" t="s">
        <v>64</v>
      </c>
      <c r="C15" t="s">
        <v>93</v>
      </c>
      <c r="D15" s="8">
        <v>45536</v>
      </c>
      <c r="E15" t="s">
        <v>66</v>
      </c>
      <c r="F15" t="s">
        <v>82</v>
      </c>
      <c r="G15" t="s">
        <v>86</v>
      </c>
      <c r="H15" t="s">
        <v>69</v>
      </c>
      <c r="I15">
        <v>4</v>
      </c>
      <c r="J15">
        <v>35000</v>
      </c>
      <c r="K15">
        <f t="shared" si="0"/>
        <v>140000</v>
      </c>
      <c r="M15" t="s">
        <v>69</v>
      </c>
      <c r="N15" s="1"/>
      <c r="O15" s="1"/>
    </row>
    <row r="16" spans="1:15">
      <c r="A16">
        <v>139374</v>
      </c>
      <c r="B16" t="s">
        <v>83</v>
      </c>
      <c r="C16" t="s">
        <v>94</v>
      </c>
      <c r="D16" s="8">
        <v>45536</v>
      </c>
      <c r="E16" t="s">
        <v>66</v>
      </c>
      <c r="F16" t="s">
        <v>82</v>
      </c>
      <c r="G16" t="s">
        <v>86</v>
      </c>
      <c r="H16" t="s">
        <v>69</v>
      </c>
      <c r="I16">
        <v>5</v>
      </c>
      <c r="J16">
        <v>35000</v>
      </c>
      <c r="K16">
        <f t="shared" si="0"/>
        <v>175000</v>
      </c>
      <c r="M16" t="s">
        <v>74</v>
      </c>
      <c r="N16" s="1"/>
      <c r="O16" s="1"/>
    </row>
    <row r="17" spans="1:17" ht="15.75" thickBot="1">
      <c r="A17">
        <v>139375</v>
      </c>
      <c r="B17" t="s">
        <v>78</v>
      </c>
      <c r="C17" t="s">
        <v>95</v>
      </c>
      <c r="D17" s="8">
        <v>45536</v>
      </c>
      <c r="E17" t="s">
        <v>66</v>
      </c>
      <c r="F17" t="s">
        <v>82</v>
      </c>
      <c r="G17" t="s">
        <v>86</v>
      </c>
      <c r="H17" t="s">
        <v>69</v>
      </c>
      <c r="I17">
        <v>6</v>
      </c>
      <c r="J17">
        <v>35000</v>
      </c>
      <c r="K17">
        <f t="shared" si="0"/>
        <v>210000</v>
      </c>
      <c r="M17" s="5"/>
      <c r="N17" s="23" t="s">
        <v>69</v>
      </c>
      <c r="O17" s="23" t="s">
        <v>69</v>
      </c>
      <c r="P17" s="114" t="s">
        <v>74</v>
      </c>
      <c r="Q17" s="114" t="s">
        <v>74</v>
      </c>
    </row>
    <row r="18" spans="1:17" ht="15.75" thickTop="1">
      <c r="A18">
        <v>139376</v>
      </c>
      <c r="B18" t="s">
        <v>96</v>
      </c>
      <c r="C18" t="s">
        <v>97</v>
      </c>
      <c r="D18" s="8">
        <v>45536</v>
      </c>
      <c r="E18" t="s">
        <v>66</v>
      </c>
      <c r="F18" t="s">
        <v>67</v>
      </c>
      <c r="G18" t="s">
        <v>86</v>
      </c>
      <c r="H18" t="s">
        <v>69</v>
      </c>
      <c r="I18">
        <v>4</v>
      </c>
      <c r="J18">
        <v>35000</v>
      </c>
      <c r="K18">
        <f t="shared" si="0"/>
        <v>140000</v>
      </c>
      <c r="M18" s="5" t="s">
        <v>98</v>
      </c>
      <c r="N18" s="22" t="s">
        <v>67</v>
      </c>
      <c r="O18" s="22" t="s">
        <v>82</v>
      </c>
      <c r="P18" s="5" t="s">
        <v>67</v>
      </c>
      <c r="Q18" s="5" t="s">
        <v>82</v>
      </c>
    </row>
    <row r="19" spans="1:17">
      <c r="A19">
        <v>139377</v>
      </c>
      <c r="B19" t="s">
        <v>96</v>
      </c>
      <c r="C19" t="s">
        <v>99</v>
      </c>
      <c r="D19" s="8">
        <v>45536</v>
      </c>
      <c r="E19" t="s">
        <v>66</v>
      </c>
      <c r="F19" t="s">
        <v>67</v>
      </c>
      <c r="G19" t="s">
        <v>86</v>
      </c>
      <c r="H19" t="s">
        <v>69</v>
      </c>
      <c r="I19">
        <v>8</v>
      </c>
      <c r="J19">
        <v>35000</v>
      </c>
      <c r="K19">
        <f t="shared" si="0"/>
        <v>280000</v>
      </c>
      <c r="M19" s="5" t="s">
        <v>64</v>
      </c>
      <c r="N19" s="5"/>
      <c r="O19" s="5"/>
      <c r="P19" s="5"/>
      <c r="Q19" s="5"/>
    </row>
    <row r="20" spans="1:17">
      <c r="A20">
        <v>139378</v>
      </c>
      <c r="B20" t="s">
        <v>96</v>
      </c>
      <c r="C20" t="s">
        <v>100</v>
      </c>
      <c r="D20" s="8">
        <v>45536</v>
      </c>
      <c r="E20" t="s">
        <v>66</v>
      </c>
      <c r="F20" t="s">
        <v>67</v>
      </c>
      <c r="G20" t="s">
        <v>101</v>
      </c>
      <c r="H20" t="s">
        <v>69</v>
      </c>
      <c r="I20">
        <v>9</v>
      </c>
      <c r="J20">
        <v>27000</v>
      </c>
      <c r="K20">
        <f t="shared" si="0"/>
        <v>243000</v>
      </c>
      <c r="M20" s="5" t="s">
        <v>72</v>
      </c>
      <c r="N20" s="5"/>
      <c r="O20" s="5"/>
      <c r="P20" s="5"/>
      <c r="Q20" s="5"/>
    </row>
    <row r="21" spans="1:17">
      <c r="A21">
        <v>139379</v>
      </c>
      <c r="B21" t="s">
        <v>72</v>
      </c>
      <c r="C21" t="s">
        <v>102</v>
      </c>
      <c r="D21" s="8">
        <v>45537</v>
      </c>
      <c r="E21" t="s">
        <v>66</v>
      </c>
      <c r="F21" t="s">
        <v>67</v>
      </c>
      <c r="G21" t="s">
        <v>101</v>
      </c>
      <c r="H21" t="s">
        <v>69</v>
      </c>
      <c r="I21">
        <v>6</v>
      </c>
      <c r="J21">
        <v>27000</v>
      </c>
      <c r="K21">
        <f t="shared" si="0"/>
        <v>162000</v>
      </c>
      <c r="M21" s="5" t="s">
        <v>75</v>
      </c>
      <c r="N21" s="5"/>
      <c r="O21" s="5"/>
      <c r="P21" s="5"/>
      <c r="Q21" s="5"/>
    </row>
    <row r="22" spans="1:17">
      <c r="A22">
        <v>139380</v>
      </c>
      <c r="B22" t="s">
        <v>72</v>
      </c>
      <c r="C22" t="s">
        <v>103</v>
      </c>
      <c r="D22" s="8">
        <v>45537</v>
      </c>
      <c r="E22" t="s">
        <v>66</v>
      </c>
      <c r="F22" t="s">
        <v>67</v>
      </c>
      <c r="G22" t="s">
        <v>101</v>
      </c>
      <c r="H22" t="s">
        <v>74</v>
      </c>
      <c r="I22">
        <v>8</v>
      </c>
      <c r="J22">
        <v>37000</v>
      </c>
      <c r="K22">
        <f t="shared" si="0"/>
        <v>296000</v>
      </c>
      <c r="M22" s="5" t="s">
        <v>78</v>
      </c>
      <c r="N22" s="5"/>
      <c r="O22" s="5"/>
      <c r="P22" s="5"/>
      <c r="Q22" s="5"/>
    </row>
    <row r="23" spans="1:17">
      <c r="A23">
        <v>139381</v>
      </c>
      <c r="B23" t="s">
        <v>64</v>
      </c>
      <c r="C23" t="s">
        <v>29</v>
      </c>
      <c r="D23" s="8">
        <v>45537</v>
      </c>
      <c r="E23" t="s">
        <v>66</v>
      </c>
      <c r="F23" t="s">
        <v>67</v>
      </c>
      <c r="G23" t="s">
        <v>101</v>
      </c>
      <c r="H23" t="s">
        <v>74</v>
      </c>
      <c r="I23">
        <v>9</v>
      </c>
      <c r="J23">
        <v>37000</v>
      </c>
      <c r="K23">
        <f t="shared" si="0"/>
        <v>333000</v>
      </c>
      <c r="M23" s="5" t="s">
        <v>83</v>
      </c>
      <c r="N23" s="5"/>
      <c r="O23" s="5"/>
      <c r="P23" s="5"/>
      <c r="Q23" s="5"/>
    </row>
    <row r="24" spans="1:17">
      <c r="A24">
        <v>139382</v>
      </c>
      <c r="B24" t="s">
        <v>75</v>
      </c>
      <c r="C24" t="s">
        <v>104</v>
      </c>
      <c r="D24" s="8">
        <v>45537</v>
      </c>
      <c r="E24" t="s">
        <v>66</v>
      </c>
      <c r="F24" t="s">
        <v>67</v>
      </c>
      <c r="G24" t="s">
        <v>105</v>
      </c>
      <c r="H24" t="s">
        <v>74</v>
      </c>
      <c r="I24">
        <v>7</v>
      </c>
      <c r="J24">
        <v>67000</v>
      </c>
      <c r="K24">
        <f t="shared" si="0"/>
        <v>469000</v>
      </c>
      <c r="M24" s="5" t="s">
        <v>96</v>
      </c>
      <c r="N24" s="5"/>
      <c r="O24" s="5"/>
      <c r="P24" s="5"/>
      <c r="Q24" s="5"/>
    </row>
    <row r="25" spans="1:17">
      <c r="A25">
        <v>139383</v>
      </c>
      <c r="B25" t="s">
        <v>75</v>
      </c>
      <c r="C25" t="s">
        <v>106</v>
      </c>
      <c r="D25" s="8">
        <v>45537</v>
      </c>
      <c r="E25" t="s">
        <v>66</v>
      </c>
      <c r="F25" t="s">
        <v>67</v>
      </c>
      <c r="G25" t="s">
        <v>105</v>
      </c>
      <c r="H25" t="s">
        <v>74</v>
      </c>
      <c r="I25">
        <v>6</v>
      </c>
      <c r="J25">
        <v>67000</v>
      </c>
      <c r="K25">
        <f t="shared" si="0"/>
        <v>402000</v>
      </c>
    </row>
  </sheetData>
  <customSheetViews>
    <customSheetView guid="{D2E34B70-793B-4ED9-8524-A672A671A0FF}" topLeftCell="B2">
      <selection activeCell="P10" sqref="P10"/>
      <pageMargins left="0" right="0" top="0" bottom="0" header="0" footer="0"/>
      <pageSetup orientation="portrait" r:id="rId1"/>
    </customSheetView>
  </customSheetViews>
  <conditionalFormatting sqref="N19:Q24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{5C5F7B24-B533-4D02-A399-A08DC6444658}</x14:id>
        </ext>
      </extLst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5F7B24-B533-4D02-A399-A08DC644465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N19:Q24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tabSelected="1" topLeftCell="B1" workbookViewId="0">
      <selection activeCell="I18" sqref="I18"/>
    </sheetView>
  </sheetViews>
  <sheetFormatPr defaultRowHeight="15"/>
  <cols>
    <col min="1" max="1" width="16.28515625" bestFit="1" customWidth="1"/>
    <col min="2" max="2" width="9.7109375" bestFit="1" customWidth="1"/>
    <col min="3" max="3" width="14.85546875" bestFit="1" customWidth="1"/>
    <col min="5" max="5" width="16.5703125" bestFit="1" customWidth="1"/>
    <col min="6" max="6" width="12.140625" bestFit="1" customWidth="1"/>
    <col min="8" max="8" width="12.7109375" bestFit="1" customWidth="1"/>
    <col min="9" max="9" width="14" bestFit="1" customWidth="1"/>
  </cols>
  <sheetData>
    <row r="1" spans="1:9">
      <c r="A1" s="115" t="s">
        <v>107</v>
      </c>
      <c r="B1" s="116" t="s">
        <v>32</v>
      </c>
      <c r="C1" s="116" t="s">
        <v>108</v>
      </c>
      <c r="E1" s="131" t="s">
        <v>109</v>
      </c>
      <c r="F1" s="131"/>
      <c r="G1" s="131"/>
      <c r="H1" s="131"/>
      <c r="I1" s="131"/>
    </row>
    <row r="2" spans="1:9">
      <c r="A2" s="5" t="s">
        <v>110</v>
      </c>
      <c r="B2" s="5"/>
      <c r="C2" s="119">
        <f ca="1">TODAY()</f>
        <v>45676</v>
      </c>
      <c r="D2" s="124"/>
    </row>
    <row r="3" spans="1:9">
      <c r="A3" s="5" t="s">
        <v>111</v>
      </c>
      <c r="B3" s="5"/>
      <c r="C3" s="120">
        <f ca="1">NOW()</f>
        <v>45676.496267013892</v>
      </c>
      <c r="D3" s="124"/>
      <c r="E3" s="115" t="s">
        <v>112</v>
      </c>
      <c r="F3" s="125">
        <v>45658</v>
      </c>
      <c r="H3" t="s">
        <v>113</v>
      </c>
      <c r="I3">
        <v>365</v>
      </c>
    </row>
    <row r="4" spans="1:9">
      <c r="A4" s="5" t="s">
        <v>114</v>
      </c>
      <c r="B4" s="122">
        <v>45659</v>
      </c>
      <c r="C4" s="121">
        <f>DAY(B4)</f>
        <v>2</v>
      </c>
      <c r="D4" s="124"/>
      <c r="E4" s="115" t="s">
        <v>115</v>
      </c>
      <c r="F4" s="125">
        <v>46022</v>
      </c>
      <c r="H4" t="s">
        <v>116</v>
      </c>
      <c r="I4">
        <v>104</v>
      </c>
    </row>
    <row r="5" spans="1:9">
      <c r="A5" s="5" t="s">
        <v>117</v>
      </c>
      <c r="B5" s="122">
        <v>45659</v>
      </c>
      <c r="C5" s="121">
        <f>MONTH(B5)</f>
        <v>1</v>
      </c>
      <c r="D5" s="124"/>
      <c r="I5">
        <f>I3-I4</f>
        <v>261</v>
      </c>
    </row>
    <row r="6" spans="1:9">
      <c r="A6" s="5" t="s">
        <v>118</v>
      </c>
      <c r="B6" s="122">
        <v>45659</v>
      </c>
      <c r="C6" s="121">
        <f>YEAR(B6)</f>
        <v>2025</v>
      </c>
      <c r="D6" s="124"/>
      <c r="E6" s="115" t="s">
        <v>119</v>
      </c>
      <c r="F6" s="126">
        <f>NETWORKDAYS(F3,F4)</f>
        <v>261</v>
      </c>
      <c r="H6" s="132" t="s">
        <v>120</v>
      </c>
      <c r="I6" s="132"/>
    </row>
    <row r="7" spans="1:9">
      <c r="A7" s="5" t="s">
        <v>32</v>
      </c>
      <c r="B7" s="5"/>
      <c r="C7" s="119">
        <f>DATE(C6,C5,C4)</f>
        <v>45659</v>
      </c>
      <c r="D7" s="124"/>
      <c r="E7" s="115" t="s">
        <v>119</v>
      </c>
      <c r="F7" s="126">
        <f>NETWORKDAYS(F3,F4,H7:H8)</f>
        <v>259</v>
      </c>
      <c r="H7" s="125">
        <f>DATE(2025,8,15)</f>
        <v>45884</v>
      </c>
      <c r="I7" s="5" t="s">
        <v>121</v>
      </c>
    </row>
    <row r="8" spans="1:9">
      <c r="D8" s="124"/>
      <c r="E8" s="115" t="s">
        <v>122</v>
      </c>
      <c r="F8" s="126">
        <f>NETWORKDAYS.INTL(F3,F4,11,H7:H8)</f>
        <v>311</v>
      </c>
      <c r="H8" s="125">
        <f>DATE(2025,10,2)</f>
        <v>45932</v>
      </c>
      <c r="I8" s="5" t="s">
        <v>123</v>
      </c>
    </row>
    <row r="9" spans="1:9">
      <c r="D9" s="124"/>
    </row>
    <row r="10" spans="1:9">
      <c r="A10" s="131" t="s">
        <v>124</v>
      </c>
      <c r="B10" s="131"/>
      <c r="C10" s="131"/>
      <c r="D10" s="124"/>
      <c r="E10" s="131" t="s">
        <v>125</v>
      </c>
      <c r="F10" s="131"/>
      <c r="G10" s="131"/>
    </row>
    <row r="11" spans="1:9">
      <c r="A11" s="115" t="s">
        <v>32</v>
      </c>
      <c r="B11" s="61">
        <v>45931</v>
      </c>
      <c r="D11" s="124"/>
    </row>
    <row r="12" spans="1:9">
      <c r="A12" s="115" t="s">
        <v>126</v>
      </c>
      <c r="B12" s="117">
        <f>B11+C12</f>
        <v>45936</v>
      </c>
      <c r="C12" s="5">
        <v>5</v>
      </c>
      <c r="D12" s="124"/>
      <c r="E12" s="129" t="s">
        <v>127</v>
      </c>
      <c r="F12" s="129" t="s">
        <v>128</v>
      </c>
    </row>
    <row r="13" spans="1:9">
      <c r="A13" s="115" t="s">
        <v>129</v>
      </c>
      <c r="B13" s="117">
        <f>B11-5</f>
        <v>45926</v>
      </c>
      <c r="C13" s="5">
        <v>5</v>
      </c>
      <c r="D13" s="124"/>
      <c r="E13" s="127">
        <f>DATE(2000,1,1)</f>
        <v>36526</v>
      </c>
      <c r="F13" s="128">
        <f ca="1">TODAY()</f>
        <v>45676</v>
      </c>
    </row>
    <row r="14" spans="1:9">
      <c r="D14" s="124"/>
    </row>
    <row r="15" spans="1:9">
      <c r="D15" s="124"/>
    </row>
    <row r="16" spans="1:9">
      <c r="A16" s="131" t="s">
        <v>130</v>
      </c>
      <c r="B16" s="131"/>
      <c r="C16" s="131"/>
      <c r="D16" s="124"/>
      <c r="E16" s="130" t="s">
        <v>131</v>
      </c>
      <c r="F16" s="118">
        <f ca="1">DATEDIF(E13,F13,"Y")</f>
        <v>25</v>
      </c>
    </row>
    <row r="17" spans="1:6">
      <c r="A17" t="s">
        <v>132</v>
      </c>
      <c r="D17" s="124"/>
      <c r="E17" s="130" t="s">
        <v>133</v>
      </c>
      <c r="F17" s="118">
        <f ca="1">DATEDIF(E13,F13,"M")</f>
        <v>300</v>
      </c>
    </row>
    <row r="18" spans="1:6">
      <c r="A18" s="123" t="s">
        <v>32</v>
      </c>
      <c r="B18" s="61">
        <v>45931</v>
      </c>
      <c r="D18" s="124"/>
      <c r="E18" s="130" t="s">
        <v>134</v>
      </c>
      <c r="F18" s="118">
        <f ca="1">DATEDIF(E13,F13,"D")</f>
        <v>9150</v>
      </c>
    </row>
    <row r="19" spans="1:6">
      <c r="A19" s="115" t="s">
        <v>135</v>
      </c>
      <c r="B19" s="117">
        <f>EDATE(B18,C19)</f>
        <v>46235</v>
      </c>
      <c r="C19" s="5">
        <v>10</v>
      </c>
      <c r="D19" s="124"/>
    </row>
    <row r="20" spans="1:6">
      <c r="A20" s="115" t="s">
        <v>136</v>
      </c>
      <c r="B20" s="117">
        <f>EDATE(B18,-C20)</f>
        <v>45627</v>
      </c>
      <c r="C20" s="5">
        <v>10</v>
      </c>
      <c r="D20" s="124"/>
      <c r="E20" s="130" t="s">
        <v>137</v>
      </c>
      <c r="F20" s="118">
        <f ca="1">DATEDIF(E13,F13,"Y")</f>
        <v>25</v>
      </c>
    </row>
    <row r="21" spans="1:6">
      <c r="D21" s="124"/>
      <c r="E21" s="130" t="s">
        <v>138</v>
      </c>
      <c r="F21" s="118">
        <f ca="1">DATEDIF(E13,F13,"YM")</f>
        <v>0</v>
      </c>
    </row>
    <row r="22" spans="1:6">
      <c r="D22" s="124"/>
      <c r="E22" s="130" t="s">
        <v>139</v>
      </c>
      <c r="F22" s="118">
        <f ca="1">DATEDIF(E13,F13,"MD")</f>
        <v>18</v>
      </c>
    </row>
    <row r="23" spans="1:6">
      <c r="A23" s="131" t="s">
        <v>140</v>
      </c>
      <c r="B23" s="131"/>
      <c r="C23" s="131"/>
      <c r="D23" s="124"/>
    </row>
    <row r="24" spans="1:6">
      <c r="A24" t="s">
        <v>132</v>
      </c>
      <c r="D24" s="124"/>
    </row>
    <row r="25" spans="1:6">
      <c r="A25" s="123" t="s">
        <v>32</v>
      </c>
      <c r="B25" s="61">
        <v>45931</v>
      </c>
      <c r="D25" s="124"/>
    </row>
    <row r="26" spans="1:6">
      <c r="A26" s="115" t="s">
        <v>141</v>
      </c>
      <c r="B26" s="117">
        <f>EDATE(B25,C26*12)</f>
        <v>49583</v>
      </c>
      <c r="C26" s="5">
        <v>10</v>
      </c>
      <c r="D26" s="124"/>
    </row>
    <row r="27" spans="1:6">
      <c r="A27" s="115" t="s">
        <v>142</v>
      </c>
      <c r="B27" s="117">
        <f>EDATE(B25,-C27*12)</f>
        <v>42278</v>
      </c>
      <c r="C27" s="5">
        <v>10</v>
      </c>
      <c r="D27" s="124"/>
    </row>
  </sheetData>
  <mergeCells count="6">
    <mergeCell ref="A10:C10"/>
    <mergeCell ref="A16:C16"/>
    <mergeCell ref="A23:C23"/>
    <mergeCell ref="E1:I1"/>
    <mergeCell ref="H6:I6"/>
    <mergeCell ref="E10:G10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>
      <selection activeCell="G9" sqref="G9"/>
    </sheetView>
  </sheetViews>
  <sheetFormatPr defaultRowHeight="15"/>
  <cols>
    <col min="1" max="1" width="11.85546875" bestFit="1" customWidth="1"/>
    <col min="2" max="2" width="19.42578125" bestFit="1" customWidth="1"/>
    <col min="3" max="3" width="19.7109375" customWidth="1"/>
    <col min="4" max="4" width="13.5703125" bestFit="1" customWidth="1"/>
    <col min="5" max="5" width="13.28515625" customWidth="1"/>
    <col min="6" max="6" width="14.28515625" bestFit="1" customWidth="1"/>
    <col min="7" max="7" width="10.28515625" bestFit="1" customWidth="1"/>
    <col min="8" max="8" width="14.28515625" bestFit="1" customWidth="1"/>
    <col min="9" max="9" width="18" bestFit="1" customWidth="1"/>
    <col min="10" max="10" width="11.5703125" bestFit="1" customWidth="1"/>
  </cols>
  <sheetData>
    <row r="1" spans="1:11">
      <c r="A1" s="133" t="s">
        <v>143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pans="1:11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</row>
    <row r="3" spans="1:11">
      <c r="A3" s="24" t="s">
        <v>144</v>
      </c>
      <c r="B3" s="24" t="s">
        <v>145</v>
      </c>
      <c r="C3" s="24" t="s">
        <v>146</v>
      </c>
      <c r="D3" s="24" t="s">
        <v>147</v>
      </c>
      <c r="E3" s="24" t="s">
        <v>148</v>
      </c>
      <c r="F3" s="24" t="s">
        <v>149</v>
      </c>
      <c r="G3" s="24" t="s">
        <v>150</v>
      </c>
      <c r="H3" s="24" t="s">
        <v>151</v>
      </c>
      <c r="I3" s="24" t="s">
        <v>152</v>
      </c>
      <c r="J3" s="24" t="s">
        <v>153</v>
      </c>
      <c r="K3" s="24" t="s">
        <v>154</v>
      </c>
    </row>
    <row r="4" spans="1:11" ht="45">
      <c r="A4" t="s">
        <v>155</v>
      </c>
      <c r="B4" t="s">
        <v>156</v>
      </c>
      <c r="C4" t="s">
        <v>157</v>
      </c>
      <c r="D4" t="s">
        <v>158</v>
      </c>
      <c r="E4" t="s">
        <v>158</v>
      </c>
      <c r="F4" t="s">
        <v>159</v>
      </c>
      <c r="G4" t="s">
        <v>155</v>
      </c>
      <c r="H4" s="19" t="s">
        <v>160</v>
      </c>
      <c r="I4" t="s">
        <v>152</v>
      </c>
      <c r="J4" s="19" t="s">
        <v>161</v>
      </c>
      <c r="K4" t="s">
        <v>162</v>
      </c>
    </row>
    <row r="5" spans="1:11" ht="45">
      <c r="A5" t="s">
        <v>163</v>
      </c>
      <c r="B5" t="s">
        <v>164</v>
      </c>
      <c r="C5" t="s">
        <v>165</v>
      </c>
      <c r="D5" t="s">
        <v>163</v>
      </c>
      <c r="E5" t="s">
        <v>155</v>
      </c>
      <c r="F5" t="s">
        <v>163</v>
      </c>
      <c r="G5" t="s">
        <v>163</v>
      </c>
      <c r="H5" t="s">
        <v>166</v>
      </c>
      <c r="I5" s="19" t="s">
        <v>167</v>
      </c>
      <c r="J5" s="19" t="s">
        <v>167</v>
      </c>
    </row>
    <row r="6" spans="1:11" ht="45">
      <c r="A6" t="s">
        <v>168</v>
      </c>
      <c r="B6" t="s">
        <v>169</v>
      </c>
      <c r="C6" t="s">
        <v>170</v>
      </c>
      <c r="D6" t="s">
        <v>155</v>
      </c>
      <c r="E6" t="s">
        <v>171</v>
      </c>
      <c r="F6" t="s">
        <v>172</v>
      </c>
      <c r="G6" s="19" t="s">
        <v>161</v>
      </c>
    </row>
    <row r="7" spans="1:11" ht="30">
      <c r="C7" t="s">
        <v>173</v>
      </c>
      <c r="D7" t="s">
        <v>166</v>
      </c>
      <c r="E7" t="s">
        <v>172</v>
      </c>
      <c r="F7" s="19" t="s">
        <v>174</v>
      </c>
    </row>
    <row r="8" spans="1:11" ht="30">
      <c r="C8" s="19" t="s">
        <v>175</v>
      </c>
    </row>
    <row r="9" spans="1:11">
      <c r="C9" t="s">
        <v>176</v>
      </c>
    </row>
    <row r="10" spans="1:11">
      <c r="C10" t="s">
        <v>177</v>
      </c>
    </row>
    <row r="11" spans="1:11">
      <c r="C11" t="s">
        <v>166</v>
      </c>
    </row>
  </sheetData>
  <customSheetViews>
    <customSheetView guid="{D2E34B70-793B-4ED9-8524-A672A671A0FF}">
      <selection activeCell="H8" sqref="H8"/>
      <pageMargins left="0" right="0" top="0" bottom="0" header="0" footer="0"/>
      <pageSetup orientation="portrait" r:id="rId1"/>
    </customSheetView>
  </customSheetViews>
  <mergeCells count="1">
    <mergeCell ref="A1:K2"/>
  </mergeCell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O24"/>
  <sheetViews>
    <sheetView workbookViewId="0">
      <selection activeCell="O3" sqref="O3"/>
    </sheetView>
  </sheetViews>
  <sheetFormatPr defaultRowHeight="15"/>
  <cols>
    <col min="1" max="1" width="12.140625" style="26" bestFit="1" customWidth="1"/>
    <col min="2" max="2" width="18.140625" style="26" bestFit="1" customWidth="1"/>
    <col min="3" max="3" width="14.140625" style="26" customWidth="1"/>
    <col min="4" max="4" width="19" style="26" bestFit="1" customWidth="1"/>
    <col min="5" max="5" width="10.7109375" style="26" bestFit="1" customWidth="1"/>
    <col min="6" max="6" width="10.5703125" style="26" bestFit="1" customWidth="1"/>
    <col min="7" max="7" width="10.140625" style="26" bestFit="1" customWidth="1"/>
    <col min="8" max="8" width="20.140625" bestFit="1" customWidth="1"/>
    <col min="12" max="12" width="11.7109375" bestFit="1" customWidth="1"/>
    <col min="15" max="15" width="10.140625" bestFit="1" customWidth="1"/>
  </cols>
  <sheetData>
    <row r="3" spans="1:15" s="25" customFormat="1">
      <c r="A3" s="14" t="s">
        <v>178</v>
      </c>
      <c r="B3" s="14" t="s">
        <v>179</v>
      </c>
      <c r="C3" s="14" t="s">
        <v>180</v>
      </c>
      <c r="D3" s="14" t="s">
        <v>181</v>
      </c>
      <c r="E3" s="14" t="s">
        <v>182</v>
      </c>
      <c r="F3" s="14" t="s">
        <v>183</v>
      </c>
      <c r="G3" s="14" t="s">
        <v>184</v>
      </c>
      <c r="H3" s="34" t="s">
        <v>185</v>
      </c>
      <c r="I3" s="34" t="s">
        <v>186</v>
      </c>
      <c r="J3" s="34" t="s">
        <v>187</v>
      </c>
      <c r="K3" s="34" t="s">
        <v>188</v>
      </c>
      <c r="L3" s="34" t="s">
        <v>189</v>
      </c>
      <c r="M3" s="34" t="s">
        <v>190</v>
      </c>
      <c r="N3" s="34" t="s">
        <v>191</v>
      </c>
      <c r="O3" s="34" t="s">
        <v>192</v>
      </c>
    </row>
    <row r="4" spans="1:15">
      <c r="A4" s="114" t="s">
        <v>193</v>
      </c>
      <c r="B4" s="114" t="s">
        <v>8</v>
      </c>
      <c r="C4" s="114" t="s">
        <v>11</v>
      </c>
      <c r="D4" s="27" t="s">
        <v>194</v>
      </c>
      <c r="E4" s="114">
        <v>6750</v>
      </c>
      <c r="F4" s="114">
        <f>'ATTENDENCE TRACK'!AN4</f>
        <v>29</v>
      </c>
      <c r="G4" s="114">
        <f>'ATTENDENCE TRACK'!AO4</f>
        <v>0</v>
      </c>
      <c r="H4" s="36">
        <f>E4/30*F4+E4/30/8*G4</f>
        <v>6525</v>
      </c>
      <c r="I4" s="5">
        <f>IF(D4="Unskilled",E4*5%,IF(D4="Skilled",E4*10%,IF(D4="Semiskilled",E4*7%,IF(D4="Proffesional",E4*15%,""))))</f>
        <v>337.5</v>
      </c>
      <c r="J4" s="5">
        <v>800</v>
      </c>
      <c r="K4" s="5">
        <f>E4/2/12</f>
        <v>281.25</v>
      </c>
      <c r="L4" s="36">
        <f>SUM(H4:K4)</f>
        <v>7943.75</v>
      </c>
      <c r="M4" s="5">
        <f>IF(E4&gt;=15000,1800,E4*12%)</f>
        <v>810</v>
      </c>
      <c r="N4" s="5">
        <f>IF(L4&gt;10000,200,IF(L4&gt;7500,100,0))</f>
        <v>100</v>
      </c>
      <c r="O4" s="36">
        <f>L4-(M4+N4)</f>
        <v>7033.75</v>
      </c>
    </row>
    <row r="5" spans="1:15">
      <c r="A5" s="114" t="s">
        <v>195</v>
      </c>
      <c r="B5" s="114" t="s">
        <v>13</v>
      </c>
      <c r="C5" s="114" t="s">
        <v>196</v>
      </c>
      <c r="D5" s="27" t="s">
        <v>197</v>
      </c>
      <c r="E5" s="114">
        <v>22500</v>
      </c>
      <c r="F5" s="114">
        <f>'ATTENDENCE TRACK'!AN5</f>
        <v>30</v>
      </c>
      <c r="G5" s="114">
        <f>'ATTENDENCE TRACK'!AO5</f>
        <v>0</v>
      </c>
      <c r="H5" s="36">
        <f t="shared" ref="H5:H18" si="0">E5/30*F5+E5/30/8*G5</f>
        <v>22500</v>
      </c>
      <c r="I5" s="5">
        <f t="shared" ref="I5:I18" si="1">IF(D5="Unskilled",E5*5%,IF(D5="Skilled",E5*10%,IF(D5="Semiskilled",E5*7%,IF(D5="Proffesional",E5*15%,""))))</f>
        <v>2250</v>
      </c>
      <c r="J5" s="5">
        <v>800</v>
      </c>
      <c r="K5" s="5">
        <f t="shared" ref="K5:K18" si="2">E5/2/12</f>
        <v>937.5</v>
      </c>
      <c r="L5" s="36">
        <f t="shared" ref="L5:L18" si="3">SUM(H5:K5)</f>
        <v>26487.5</v>
      </c>
      <c r="M5" s="5">
        <f t="shared" ref="M5:M18" si="4">IF(E5&gt;=15000,1800,E5*12%)</f>
        <v>1800</v>
      </c>
      <c r="N5" s="5">
        <f t="shared" ref="N5:N18" si="5">IF(L5&gt;10000,200,IF(L5&gt;7500,100,0))</f>
        <v>200</v>
      </c>
      <c r="O5" s="36">
        <f t="shared" ref="O5:O18" si="6">L5-(M5+N5)</f>
        <v>24487.5</v>
      </c>
    </row>
    <row r="6" spans="1:15">
      <c r="A6" s="114" t="s">
        <v>198</v>
      </c>
      <c r="B6" s="114" t="s">
        <v>16</v>
      </c>
      <c r="C6" s="114" t="s">
        <v>11</v>
      </c>
      <c r="D6" s="27" t="s">
        <v>194</v>
      </c>
      <c r="E6" s="114">
        <v>9000</v>
      </c>
      <c r="F6" s="114">
        <f>'ATTENDENCE TRACK'!AN6</f>
        <v>30</v>
      </c>
      <c r="G6" s="114">
        <v>1</v>
      </c>
      <c r="H6" s="36">
        <f t="shared" si="0"/>
        <v>9037.5</v>
      </c>
      <c r="I6" s="5">
        <f t="shared" si="1"/>
        <v>450</v>
      </c>
      <c r="J6" s="5">
        <v>800</v>
      </c>
      <c r="K6" s="5">
        <f t="shared" si="2"/>
        <v>375</v>
      </c>
      <c r="L6" s="36">
        <f t="shared" si="3"/>
        <v>10662.5</v>
      </c>
      <c r="M6" s="5">
        <f t="shared" si="4"/>
        <v>1080</v>
      </c>
      <c r="N6" s="5">
        <f t="shared" si="5"/>
        <v>200</v>
      </c>
      <c r="O6" s="36">
        <f t="shared" si="6"/>
        <v>9382.5</v>
      </c>
    </row>
    <row r="7" spans="1:15">
      <c r="A7" s="114" t="s">
        <v>199</v>
      </c>
      <c r="B7" s="114" t="s">
        <v>18</v>
      </c>
      <c r="C7" s="114" t="s">
        <v>11</v>
      </c>
      <c r="D7" s="27" t="s">
        <v>197</v>
      </c>
      <c r="E7" s="114">
        <v>20250</v>
      </c>
      <c r="F7" s="114">
        <f>'ATTENDENCE TRACK'!AN7</f>
        <v>29</v>
      </c>
      <c r="G7" s="114">
        <f>'ATTENDENCE TRACK'!AO7</f>
        <v>1</v>
      </c>
      <c r="H7" s="36">
        <f t="shared" si="0"/>
        <v>19659.375</v>
      </c>
      <c r="I7" s="5">
        <f t="shared" si="1"/>
        <v>2025</v>
      </c>
      <c r="J7" s="5">
        <v>800</v>
      </c>
      <c r="K7" s="5">
        <f t="shared" si="2"/>
        <v>843.75</v>
      </c>
      <c r="L7" s="36">
        <f t="shared" si="3"/>
        <v>23328.125</v>
      </c>
      <c r="M7" s="5">
        <f t="shared" si="4"/>
        <v>1800</v>
      </c>
      <c r="N7" s="5">
        <f t="shared" si="5"/>
        <v>200</v>
      </c>
      <c r="O7" s="36">
        <f t="shared" si="6"/>
        <v>21328.125</v>
      </c>
    </row>
    <row r="8" spans="1:15">
      <c r="A8" s="114" t="s">
        <v>200</v>
      </c>
      <c r="B8" s="114" t="s">
        <v>19</v>
      </c>
      <c r="C8" s="114" t="s">
        <v>201</v>
      </c>
      <c r="D8" s="27" t="s">
        <v>197</v>
      </c>
      <c r="E8" s="114">
        <v>18000</v>
      </c>
      <c r="F8" s="114">
        <f>'ATTENDENCE TRACK'!AN8</f>
        <v>29</v>
      </c>
      <c r="G8" s="114">
        <f>'ATTENDENCE TRACK'!AO8</f>
        <v>0</v>
      </c>
      <c r="H8" s="36">
        <f t="shared" si="0"/>
        <v>17400</v>
      </c>
      <c r="I8" s="5">
        <f t="shared" si="1"/>
        <v>1800</v>
      </c>
      <c r="J8" s="5">
        <v>800</v>
      </c>
      <c r="K8" s="5">
        <f t="shared" si="2"/>
        <v>750</v>
      </c>
      <c r="L8" s="36">
        <f t="shared" si="3"/>
        <v>20750</v>
      </c>
      <c r="M8" s="5">
        <f t="shared" si="4"/>
        <v>1800</v>
      </c>
      <c r="N8" s="5">
        <f t="shared" si="5"/>
        <v>200</v>
      </c>
      <c r="O8" s="36">
        <f t="shared" si="6"/>
        <v>18750</v>
      </c>
    </row>
    <row r="9" spans="1:15">
      <c r="A9" s="114" t="s">
        <v>202</v>
      </c>
      <c r="B9" s="114" t="s">
        <v>20</v>
      </c>
      <c r="C9" s="114" t="s">
        <v>11</v>
      </c>
      <c r="D9" s="27" t="s">
        <v>197</v>
      </c>
      <c r="E9" s="114">
        <v>17550</v>
      </c>
      <c r="F9" s="114">
        <f>'ATTENDENCE TRACK'!AN9</f>
        <v>29</v>
      </c>
      <c r="G9" s="114">
        <f>'ATTENDENCE TRACK'!AO9</f>
        <v>6</v>
      </c>
      <c r="H9" s="36">
        <f t="shared" si="0"/>
        <v>17403.75</v>
      </c>
      <c r="I9" s="5">
        <f t="shared" si="1"/>
        <v>1755</v>
      </c>
      <c r="J9" s="5">
        <v>800</v>
      </c>
      <c r="K9" s="5">
        <f t="shared" si="2"/>
        <v>731.25</v>
      </c>
      <c r="L9" s="36">
        <f t="shared" si="3"/>
        <v>20690</v>
      </c>
      <c r="M9" s="5">
        <f t="shared" si="4"/>
        <v>1800</v>
      </c>
      <c r="N9" s="5">
        <f t="shared" si="5"/>
        <v>200</v>
      </c>
      <c r="O9" s="36">
        <f t="shared" si="6"/>
        <v>18690</v>
      </c>
    </row>
    <row r="10" spans="1:15">
      <c r="A10" s="114" t="s">
        <v>203</v>
      </c>
      <c r="B10" s="114" t="s">
        <v>21</v>
      </c>
      <c r="C10" s="114" t="s">
        <v>11</v>
      </c>
      <c r="D10" s="27" t="s">
        <v>197</v>
      </c>
      <c r="E10" s="114">
        <v>13500</v>
      </c>
      <c r="F10" s="114">
        <f>'ATTENDENCE TRACK'!AN10</f>
        <v>29</v>
      </c>
      <c r="G10" s="114">
        <f>'ATTENDENCE TRACK'!AO10</f>
        <v>7</v>
      </c>
      <c r="H10" s="36">
        <f t="shared" si="0"/>
        <v>13443.75</v>
      </c>
      <c r="I10" s="5">
        <f t="shared" si="1"/>
        <v>1350</v>
      </c>
      <c r="J10" s="5">
        <v>800</v>
      </c>
      <c r="K10" s="5">
        <f t="shared" si="2"/>
        <v>562.5</v>
      </c>
      <c r="L10" s="36">
        <f t="shared" si="3"/>
        <v>16156.25</v>
      </c>
      <c r="M10" s="5">
        <f t="shared" si="4"/>
        <v>1620</v>
      </c>
      <c r="N10" s="5">
        <f t="shared" si="5"/>
        <v>200</v>
      </c>
      <c r="O10" s="36">
        <f t="shared" si="6"/>
        <v>14336.25</v>
      </c>
    </row>
    <row r="11" spans="1:15">
      <c r="A11" s="114" t="s">
        <v>204</v>
      </c>
      <c r="B11" s="114" t="s">
        <v>22</v>
      </c>
      <c r="C11" s="114" t="s">
        <v>11</v>
      </c>
      <c r="D11" s="27" t="s">
        <v>205</v>
      </c>
      <c r="E11" s="114">
        <v>14400</v>
      </c>
      <c r="F11" s="114">
        <f>'ATTENDENCE TRACK'!AN11</f>
        <v>29</v>
      </c>
      <c r="G11" s="114">
        <f>'ATTENDENCE TRACK'!AO11</f>
        <v>4</v>
      </c>
      <c r="H11" s="36">
        <f t="shared" si="0"/>
        <v>14160</v>
      </c>
      <c r="I11" s="5">
        <f t="shared" si="1"/>
        <v>1008.0000000000001</v>
      </c>
      <c r="J11" s="5">
        <v>800</v>
      </c>
      <c r="K11" s="5">
        <f t="shared" si="2"/>
        <v>600</v>
      </c>
      <c r="L11" s="36">
        <f t="shared" si="3"/>
        <v>16568</v>
      </c>
      <c r="M11" s="5">
        <f t="shared" si="4"/>
        <v>1728</v>
      </c>
      <c r="N11" s="5">
        <f t="shared" si="5"/>
        <v>200</v>
      </c>
      <c r="O11" s="36">
        <f t="shared" si="6"/>
        <v>14640</v>
      </c>
    </row>
    <row r="12" spans="1:15">
      <c r="A12" s="114" t="s">
        <v>206</v>
      </c>
      <c r="B12" s="114" t="s">
        <v>23</v>
      </c>
      <c r="C12" s="114" t="s">
        <v>207</v>
      </c>
      <c r="D12" s="27" t="s">
        <v>208</v>
      </c>
      <c r="E12" s="114">
        <v>67500</v>
      </c>
      <c r="F12" s="114">
        <f>'ATTENDENCE TRACK'!AN12</f>
        <v>29</v>
      </c>
      <c r="G12" s="114">
        <f>'ATTENDENCE TRACK'!AO12</f>
        <v>2</v>
      </c>
      <c r="H12" s="36">
        <f t="shared" si="0"/>
        <v>65812.5</v>
      </c>
      <c r="I12" s="5">
        <f t="shared" si="1"/>
        <v>10125</v>
      </c>
      <c r="J12" s="5">
        <v>800</v>
      </c>
      <c r="K12" s="5">
        <f t="shared" si="2"/>
        <v>2812.5</v>
      </c>
      <c r="L12" s="36">
        <f t="shared" si="3"/>
        <v>79550</v>
      </c>
      <c r="M12" s="5">
        <f t="shared" si="4"/>
        <v>1800</v>
      </c>
      <c r="N12" s="5">
        <f t="shared" si="5"/>
        <v>200</v>
      </c>
      <c r="O12" s="36">
        <f t="shared" si="6"/>
        <v>77550</v>
      </c>
    </row>
    <row r="13" spans="1:15">
      <c r="A13" s="114" t="s">
        <v>209</v>
      </c>
      <c r="B13" s="114" t="s">
        <v>24</v>
      </c>
      <c r="C13" s="114" t="s">
        <v>26</v>
      </c>
      <c r="D13" s="27" t="s">
        <v>208</v>
      </c>
      <c r="E13" s="114">
        <v>40500</v>
      </c>
      <c r="F13" s="114">
        <f>'ATTENDENCE TRACK'!AN13</f>
        <v>30</v>
      </c>
      <c r="G13" s="114">
        <f>'ATTENDENCE TRACK'!AO13</f>
        <v>0</v>
      </c>
      <c r="H13" s="36">
        <f t="shared" si="0"/>
        <v>40500</v>
      </c>
      <c r="I13" s="5">
        <f t="shared" si="1"/>
        <v>6075</v>
      </c>
      <c r="J13" s="5">
        <v>800</v>
      </c>
      <c r="K13" s="5">
        <f t="shared" si="2"/>
        <v>1687.5</v>
      </c>
      <c r="L13" s="36">
        <f t="shared" si="3"/>
        <v>49062.5</v>
      </c>
      <c r="M13" s="5">
        <f t="shared" si="4"/>
        <v>1800</v>
      </c>
      <c r="N13" s="5">
        <f t="shared" si="5"/>
        <v>200</v>
      </c>
      <c r="O13" s="36">
        <f t="shared" si="6"/>
        <v>47062.5</v>
      </c>
    </row>
    <row r="14" spans="1:15">
      <c r="A14" s="114" t="s">
        <v>210</v>
      </c>
      <c r="B14" s="114" t="s">
        <v>25</v>
      </c>
      <c r="C14" s="114" t="s">
        <v>196</v>
      </c>
      <c r="D14" s="27" t="s">
        <v>197</v>
      </c>
      <c r="E14" s="114">
        <v>29250</v>
      </c>
      <c r="F14" s="114">
        <f>'ATTENDENCE TRACK'!AN14</f>
        <v>29</v>
      </c>
      <c r="G14" s="114">
        <f>'ATTENDENCE TRACK'!AO14</f>
        <v>1</v>
      </c>
      <c r="H14" s="36">
        <f t="shared" si="0"/>
        <v>28396.875</v>
      </c>
      <c r="I14" s="5">
        <f t="shared" si="1"/>
        <v>2925</v>
      </c>
      <c r="J14" s="5">
        <v>800</v>
      </c>
      <c r="K14" s="5">
        <f t="shared" si="2"/>
        <v>1218.75</v>
      </c>
      <c r="L14" s="36">
        <f t="shared" si="3"/>
        <v>33340.625</v>
      </c>
      <c r="M14" s="5">
        <f t="shared" si="4"/>
        <v>1800</v>
      </c>
      <c r="N14" s="5">
        <f t="shared" si="5"/>
        <v>200</v>
      </c>
      <c r="O14" s="36">
        <f t="shared" si="6"/>
        <v>31340.625</v>
      </c>
    </row>
    <row r="15" spans="1:15">
      <c r="A15" s="114" t="s">
        <v>211</v>
      </c>
      <c r="B15" s="114" t="s">
        <v>27</v>
      </c>
      <c r="C15" s="114" t="s">
        <v>11</v>
      </c>
      <c r="D15" s="27" t="s">
        <v>197</v>
      </c>
      <c r="E15" s="114">
        <v>25650</v>
      </c>
      <c r="F15" s="114">
        <f>'ATTENDENCE TRACK'!AN15</f>
        <v>30</v>
      </c>
      <c r="G15" s="114">
        <f>'ATTENDENCE TRACK'!AO15</f>
        <v>3</v>
      </c>
      <c r="H15" s="36">
        <f t="shared" si="0"/>
        <v>25970.625</v>
      </c>
      <c r="I15" s="5">
        <f t="shared" si="1"/>
        <v>2565</v>
      </c>
      <c r="J15" s="5">
        <v>800</v>
      </c>
      <c r="K15" s="5">
        <f t="shared" si="2"/>
        <v>1068.75</v>
      </c>
      <c r="L15" s="36">
        <f t="shared" si="3"/>
        <v>30404.375</v>
      </c>
      <c r="M15" s="5">
        <f t="shared" si="4"/>
        <v>1800</v>
      </c>
      <c r="N15" s="5">
        <f t="shared" si="5"/>
        <v>200</v>
      </c>
      <c r="O15" s="36">
        <f t="shared" si="6"/>
        <v>28404.375</v>
      </c>
    </row>
    <row r="16" spans="1:15">
      <c r="A16" s="114" t="s">
        <v>212</v>
      </c>
      <c r="B16" s="114" t="s">
        <v>28</v>
      </c>
      <c r="C16" s="114" t="s">
        <v>213</v>
      </c>
      <c r="D16" s="27" t="s">
        <v>208</v>
      </c>
      <c r="E16" s="114">
        <v>40050</v>
      </c>
      <c r="F16" s="114">
        <f>'ATTENDENCE TRACK'!AN16</f>
        <v>30</v>
      </c>
      <c r="G16" s="114">
        <f>'ATTENDENCE TRACK'!AO16</f>
        <v>5</v>
      </c>
      <c r="H16" s="36">
        <f t="shared" si="0"/>
        <v>40884.375</v>
      </c>
      <c r="I16" s="5">
        <f t="shared" si="1"/>
        <v>6007.5</v>
      </c>
      <c r="J16" s="5">
        <v>800</v>
      </c>
      <c r="K16" s="5">
        <f t="shared" si="2"/>
        <v>1668.75</v>
      </c>
      <c r="L16" s="36">
        <f t="shared" si="3"/>
        <v>49360.625</v>
      </c>
      <c r="M16" s="5">
        <f t="shared" si="4"/>
        <v>1800</v>
      </c>
      <c r="N16" s="5">
        <f t="shared" si="5"/>
        <v>200</v>
      </c>
      <c r="O16" s="36">
        <f t="shared" si="6"/>
        <v>47360.625</v>
      </c>
    </row>
    <row r="17" spans="1:15">
      <c r="A17" s="114" t="s">
        <v>214</v>
      </c>
      <c r="B17" s="114" t="s">
        <v>29</v>
      </c>
      <c r="C17" s="114" t="s">
        <v>11</v>
      </c>
      <c r="D17" s="27" t="s">
        <v>197</v>
      </c>
      <c r="E17" s="114">
        <v>25650</v>
      </c>
      <c r="F17" s="114">
        <f>'ATTENDENCE TRACK'!AN17</f>
        <v>29</v>
      </c>
      <c r="G17" s="114">
        <f>'ATTENDENCE TRACK'!AO17</f>
        <v>4</v>
      </c>
      <c r="H17" s="36">
        <f t="shared" si="0"/>
        <v>25222.5</v>
      </c>
      <c r="I17" s="5">
        <f t="shared" si="1"/>
        <v>2565</v>
      </c>
      <c r="J17" s="5">
        <v>800</v>
      </c>
      <c r="K17" s="5">
        <f t="shared" si="2"/>
        <v>1068.75</v>
      </c>
      <c r="L17" s="36">
        <f t="shared" si="3"/>
        <v>29656.25</v>
      </c>
      <c r="M17" s="5">
        <f t="shared" si="4"/>
        <v>1800</v>
      </c>
      <c r="N17" s="5">
        <f t="shared" si="5"/>
        <v>200</v>
      </c>
      <c r="O17" s="36">
        <f t="shared" si="6"/>
        <v>27656.25</v>
      </c>
    </row>
    <row r="18" spans="1:15">
      <c r="A18" s="114" t="s">
        <v>215</v>
      </c>
      <c r="B18" s="114" t="s">
        <v>30</v>
      </c>
      <c r="C18" s="114" t="s">
        <v>148</v>
      </c>
      <c r="D18" s="27" t="s">
        <v>208</v>
      </c>
      <c r="E18" s="114">
        <v>76500</v>
      </c>
      <c r="F18" s="114">
        <f>'ATTENDENCE TRACK'!AN18</f>
        <v>29</v>
      </c>
      <c r="G18" s="114">
        <f>'ATTENDENCE TRACK'!AO18</f>
        <v>3</v>
      </c>
      <c r="H18" s="36">
        <f t="shared" si="0"/>
        <v>74906.25</v>
      </c>
      <c r="I18" s="5">
        <f t="shared" si="1"/>
        <v>11475</v>
      </c>
      <c r="J18" s="5">
        <v>800</v>
      </c>
      <c r="K18" s="5">
        <f t="shared" si="2"/>
        <v>3187.5</v>
      </c>
      <c r="L18" s="36">
        <f t="shared" si="3"/>
        <v>90368.75</v>
      </c>
      <c r="M18" s="5">
        <f t="shared" si="4"/>
        <v>1800</v>
      </c>
      <c r="N18" s="5">
        <f t="shared" si="5"/>
        <v>200</v>
      </c>
      <c r="O18" s="36">
        <f t="shared" si="6"/>
        <v>88368.75</v>
      </c>
    </row>
    <row r="20" spans="1:15">
      <c r="N20" s="134" t="s">
        <v>216</v>
      </c>
      <c r="O20" s="134"/>
    </row>
    <row r="21" spans="1:15">
      <c r="A21" s="132" t="s">
        <v>190</v>
      </c>
      <c r="B21" s="132"/>
      <c r="C21" s="132"/>
      <c r="D21" s="132"/>
      <c r="N21" s="5" t="s">
        <v>191</v>
      </c>
      <c r="O21" s="5"/>
    </row>
    <row r="22" spans="1:15">
      <c r="A22" s="114" t="s">
        <v>217</v>
      </c>
      <c r="B22" s="114" t="s">
        <v>218</v>
      </c>
      <c r="C22" s="114" t="s">
        <v>219</v>
      </c>
      <c r="D22" s="37" t="s">
        <v>220</v>
      </c>
      <c r="E22" s="26" t="s">
        <v>221</v>
      </c>
      <c r="F22" s="26">
        <v>1700000</v>
      </c>
      <c r="H22" t="s">
        <v>222</v>
      </c>
      <c r="I22" s="35">
        <v>0.05</v>
      </c>
      <c r="K22" s="39" t="s">
        <v>187</v>
      </c>
      <c r="L22" s="5">
        <v>9600</v>
      </c>
      <c r="N22" s="5" t="s">
        <v>223</v>
      </c>
      <c r="O22" s="5">
        <v>200</v>
      </c>
    </row>
    <row r="23" spans="1:15">
      <c r="A23" s="114" t="s">
        <v>224</v>
      </c>
      <c r="B23" s="114">
        <v>1800</v>
      </c>
      <c r="C23" s="38">
        <v>0.12</v>
      </c>
      <c r="D23" s="114" t="s">
        <v>225</v>
      </c>
      <c r="E23" s="26" t="s">
        <v>226</v>
      </c>
      <c r="F23" s="33">
        <f>F22*90%</f>
        <v>1530000</v>
      </c>
      <c r="H23" t="s">
        <v>227</v>
      </c>
      <c r="I23" s="35">
        <v>0.1</v>
      </c>
      <c r="L23" s="5">
        <f>L22/12</f>
        <v>800</v>
      </c>
      <c r="N23" s="5" t="s">
        <v>228</v>
      </c>
      <c r="O23" s="5">
        <v>100</v>
      </c>
    </row>
    <row r="24" spans="1:15">
      <c r="A24" s="114" t="s">
        <v>229</v>
      </c>
      <c r="B24" s="114">
        <v>1800</v>
      </c>
      <c r="C24" s="38">
        <v>0.12</v>
      </c>
      <c r="D24" s="114" t="s">
        <v>230</v>
      </c>
      <c r="E24" s="26" t="s">
        <v>231</v>
      </c>
      <c r="F24" s="33">
        <f>F23*60%</f>
        <v>918000</v>
      </c>
      <c r="G24" s="26">
        <f>F24/12</f>
        <v>76500</v>
      </c>
      <c r="H24" t="s">
        <v>232</v>
      </c>
      <c r="I24" s="35">
        <v>0.15</v>
      </c>
    </row>
  </sheetData>
  <customSheetViews>
    <customSheetView guid="{D2E34B70-793B-4ED9-8524-A672A671A0FF}">
      <selection activeCell="I25" sqref="I25"/>
      <pageMargins left="0" right="0" top="0" bottom="0" header="0" footer="0"/>
      <pageSetup orientation="portrait" r:id="rId1"/>
    </customSheetView>
  </customSheetViews>
  <mergeCells count="2">
    <mergeCell ref="A21:D21"/>
    <mergeCell ref="N20:O20"/>
  </mergeCell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18"/>
  <sheetViews>
    <sheetView zoomScaleNormal="100" workbookViewId="0">
      <selection activeCell="A5" sqref="A5"/>
    </sheetView>
  </sheetViews>
  <sheetFormatPr defaultRowHeight="15"/>
  <cols>
    <col min="1" max="1" width="12.140625" bestFit="1" customWidth="1"/>
    <col min="2" max="2" width="18.140625" bestFit="1" customWidth="1"/>
    <col min="3" max="3" width="12.140625" bestFit="1" customWidth="1"/>
    <col min="4" max="4" width="15.85546875" bestFit="1" customWidth="1"/>
    <col min="5" max="5" width="4.28515625" style="26" customWidth="1"/>
    <col min="6" max="6" width="5" style="26" customWidth="1"/>
    <col min="7" max="7" width="4.28515625" style="26" customWidth="1"/>
    <col min="8" max="8" width="5.140625" style="26" customWidth="1"/>
    <col min="9" max="9" width="4.28515625" style="26" customWidth="1"/>
    <col min="10" max="10" width="3.28515625" style="26" customWidth="1"/>
    <col min="11" max="11" width="3.7109375" style="26" customWidth="1"/>
    <col min="12" max="12" width="4.28515625" style="26" customWidth="1"/>
    <col min="13" max="13" width="5" style="26" customWidth="1"/>
    <col min="14" max="14" width="4.28515625" style="26" customWidth="1"/>
    <col min="15" max="15" width="5.140625" style="26" customWidth="1"/>
    <col min="16" max="16" width="4.28515625" style="26" customWidth="1"/>
    <col min="17" max="17" width="3.28515625" style="26" customWidth="1"/>
    <col min="18" max="18" width="3.7109375" style="26" customWidth="1"/>
    <col min="19" max="19" width="4.28515625" style="26" customWidth="1"/>
    <col min="20" max="20" width="5" style="26" customWidth="1"/>
    <col min="21" max="21" width="4.28515625" style="26" customWidth="1"/>
    <col min="22" max="22" width="5.140625" style="26" customWidth="1"/>
    <col min="23" max="23" width="4.28515625" style="26" customWidth="1"/>
    <col min="24" max="24" width="3.28515625" style="26" customWidth="1"/>
    <col min="25" max="25" width="3.7109375" style="26" customWidth="1"/>
    <col min="26" max="26" width="4.28515625" style="26" customWidth="1"/>
    <col min="27" max="27" width="5" style="26" customWidth="1"/>
    <col min="28" max="28" width="4.28515625" style="26" customWidth="1"/>
    <col min="29" max="29" width="5.140625" style="26" customWidth="1"/>
    <col min="30" max="30" width="4.28515625" style="26" customWidth="1"/>
    <col min="31" max="31" width="3.28515625" style="26" customWidth="1"/>
    <col min="32" max="32" width="3.7109375" style="26" customWidth="1"/>
    <col min="33" max="33" width="4.28515625" style="26" customWidth="1"/>
    <col min="34" max="34" width="5" style="26" customWidth="1"/>
    <col min="40" max="40" width="12.42578125" bestFit="1" customWidth="1"/>
    <col min="41" max="41" width="10.140625" bestFit="1" customWidth="1"/>
  </cols>
  <sheetData>
    <row r="1" spans="1:41" ht="24" customHeight="1"/>
    <row r="2" spans="1:41" ht="39.75" customHeight="1">
      <c r="E2" s="30" t="str">
        <f>TEXT(E$3,"ddd")</f>
        <v>Sun</v>
      </c>
      <c r="F2" s="30" t="str">
        <f t="shared" ref="F2:AH2" si="0">TEXT(F$3,"ddd")</f>
        <v>Mon</v>
      </c>
      <c r="G2" s="30" t="str">
        <f t="shared" si="0"/>
        <v>Tue</v>
      </c>
      <c r="H2" s="30" t="str">
        <f t="shared" si="0"/>
        <v>Wed</v>
      </c>
      <c r="I2" s="30" t="str">
        <f t="shared" si="0"/>
        <v>Thu</v>
      </c>
      <c r="J2" s="30" t="str">
        <f t="shared" si="0"/>
        <v>Fri</v>
      </c>
      <c r="K2" s="30" t="str">
        <f t="shared" si="0"/>
        <v>Sat</v>
      </c>
      <c r="L2" s="30" t="str">
        <f t="shared" si="0"/>
        <v>Sun</v>
      </c>
      <c r="M2" s="30" t="str">
        <f t="shared" si="0"/>
        <v>Mon</v>
      </c>
      <c r="N2" s="30" t="str">
        <f t="shared" si="0"/>
        <v>Tue</v>
      </c>
      <c r="O2" s="30" t="str">
        <f t="shared" si="0"/>
        <v>Wed</v>
      </c>
      <c r="P2" s="30" t="str">
        <f t="shared" si="0"/>
        <v>Thu</v>
      </c>
      <c r="Q2" s="30" t="str">
        <f t="shared" si="0"/>
        <v>Fri</v>
      </c>
      <c r="R2" s="30" t="str">
        <f t="shared" si="0"/>
        <v>Sat</v>
      </c>
      <c r="S2" s="30" t="str">
        <f t="shared" si="0"/>
        <v>Sun</v>
      </c>
      <c r="T2" s="30" t="str">
        <f t="shared" si="0"/>
        <v>Mon</v>
      </c>
      <c r="U2" s="30" t="str">
        <f t="shared" si="0"/>
        <v>Tue</v>
      </c>
      <c r="V2" s="30" t="str">
        <f t="shared" si="0"/>
        <v>Wed</v>
      </c>
      <c r="W2" s="30" t="str">
        <f t="shared" si="0"/>
        <v>Thu</v>
      </c>
      <c r="X2" s="30" t="str">
        <f t="shared" si="0"/>
        <v>Fri</v>
      </c>
      <c r="Y2" s="30" t="str">
        <f t="shared" si="0"/>
        <v>Sat</v>
      </c>
      <c r="Z2" s="30" t="str">
        <f t="shared" si="0"/>
        <v>Sun</v>
      </c>
      <c r="AA2" s="30" t="str">
        <f t="shared" si="0"/>
        <v>Mon</v>
      </c>
      <c r="AB2" s="30" t="str">
        <f t="shared" si="0"/>
        <v>Tue</v>
      </c>
      <c r="AC2" s="30" t="str">
        <f t="shared" si="0"/>
        <v>Wed</v>
      </c>
      <c r="AD2" s="30" t="str">
        <f t="shared" si="0"/>
        <v>Thu</v>
      </c>
      <c r="AE2" s="30" t="str">
        <f t="shared" si="0"/>
        <v>Fri</v>
      </c>
      <c r="AF2" s="30" t="str">
        <f t="shared" si="0"/>
        <v>Sat</v>
      </c>
      <c r="AG2" s="30" t="str">
        <f t="shared" si="0"/>
        <v>Sun</v>
      </c>
      <c r="AH2" s="30" t="str">
        <f t="shared" si="0"/>
        <v>Mon</v>
      </c>
    </row>
    <row r="3" spans="1:41">
      <c r="A3" s="14" t="s">
        <v>178</v>
      </c>
      <c r="B3" s="14" t="s">
        <v>179</v>
      </c>
      <c r="C3" s="14" t="s">
        <v>180</v>
      </c>
      <c r="D3" s="28" t="s">
        <v>181</v>
      </c>
      <c r="E3" s="31">
        <v>45536</v>
      </c>
      <c r="F3" s="31">
        <v>45537</v>
      </c>
      <c r="G3" s="31">
        <v>45538</v>
      </c>
      <c r="H3" s="31">
        <v>45539</v>
      </c>
      <c r="I3" s="31">
        <v>45540</v>
      </c>
      <c r="J3" s="31">
        <v>45541</v>
      </c>
      <c r="K3" s="31">
        <v>45542</v>
      </c>
      <c r="L3" s="31">
        <v>45543</v>
      </c>
      <c r="M3" s="31">
        <v>45544</v>
      </c>
      <c r="N3" s="31">
        <v>45545</v>
      </c>
      <c r="O3" s="31">
        <v>45546</v>
      </c>
      <c r="P3" s="31">
        <v>45547</v>
      </c>
      <c r="Q3" s="31">
        <v>45548</v>
      </c>
      <c r="R3" s="31">
        <v>45549</v>
      </c>
      <c r="S3" s="31">
        <v>45550</v>
      </c>
      <c r="T3" s="31">
        <v>45551</v>
      </c>
      <c r="U3" s="31">
        <v>45552</v>
      </c>
      <c r="V3" s="31">
        <v>45553</v>
      </c>
      <c r="W3" s="31">
        <v>45554</v>
      </c>
      <c r="X3" s="31">
        <v>45555</v>
      </c>
      <c r="Y3" s="31">
        <v>45556</v>
      </c>
      <c r="Z3" s="31">
        <v>45557</v>
      </c>
      <c r="AA3" s="31">
        <v>45558</v>
      </c>
      <c r="AB3" s="31">
        <v>45559</v>
      </c>
      <c r="AC3" s="31">
        <v>45560</v>
      </c>
      <c r="AD3" s="31">
        <v>45561</v>
      </c>
      <c r="AE3" s="31">
        <v>45562</v>
      </c>
      <c r="AF3" s="31">
        <v>45563</v>
      </c>
      <c r="AG3" s="31">
        <v>45564</v>
      </c>
      <c r="AH3" s="31">
        <v>45565</v>
      </c>
      <c r="AI3" s="14" t="s">
        <v>183</v>
      </c>
      <c r="AJ3" s="14" t="s">
        <v>233</v>
      </c>
      <c r="AK3" s="14" t="s">
        <v>234</v>
      </c>
      <c r="AL3" s="14" t="s">
        <v>235</v>
      </c>
      <c r="AM3" s="14" t="s">
        <v>236</v>
      </c>
      <c r="AN3" s="32" t="s">
        <v>237</v>
      </c>
      <c r="AO3" s="32" t="s">
        <v>184</v>
      </c>
    </row>
    <row r="4" spans="1:41">
      <c r="A4" s="114" t="s">
        <v>193</v>
      </c>
      <c r="B4" s="114" t="s">
        <v>8</v>
      </c>
      <c r="C4" s="114" t="s">
        <v>11</v>
      </c>
      <c r="D4" s="29" t="s">
        <v>194</v>
      </c>
      <c r="E4" s="114"/>
      <c r="F4" s="114" t="s">
        <v>238</v>
      </c>
      <c r="G4" s="114" t="s">
        <v>235</v>
      </c>
      <c r="H4" s="114" t="s">
        <v>238</v>
      </c>
      <c r="I4" s="114" t="s">
        <v>238</v>
      </c>
      <c r="J4" s="114" t="s">
        <v>234</v>
      </c>
      <c r="K4" s="114" t="s">
        <v>238</v>
      </c>
      <c r="L4" s="114"/>
      <c r="M4" s="114" t="s">
        <v>238</v>
      </c>
      <c r="N4" s="114" t="s">
        <v>238</v>
      </c>
      <c r="O4" s="114" t="s">
        <v>238</v>
      </c>
      <c r="P4" s="114" t="s">
        <v>238</v>
      </c>
      <c r="Q4" s="114" t="s">
        <v>238</v>
      </c>
      <c r="R4" s="114" t="s">
        <v>238</v>
      </c>
      <c r="S4" s="114"/>
      <c r="T4" s="114" t="s">
        <v>238</v>
      </c>
      <c r="U4" s="114" t="s">
        <v>238</v>
      </c>
      <c r="V4" s="114" t="s">
        <v>238</v>
      </c>
      <c r="W4" s="114" t="s">
        <v>238</v>
      </c>
      <c r="X4" s="114" t="s">
        <v>239</v>
      </c>
      <c r="Y4" s="114" t="s">
        <v>238</v>
      </c>
      <c r="Z4" s="114"/>
      <c r="AA4" s="114" t="s">
        <v>238</v>
      </c>
      <c r="AB4" s="114" t="s">
        <v>238</v>
      </c>
      <c r="AC4" s="114" t="s">
        <v>238</v>
      </c>
      <c r="AD4" s="114" t="s">
        <v>235</v>
      </c>
      <c r="AE4" s="114" t="s">
        <v>238</v>
      </c>
      <c r="AF4" s="114" t="s">
        <v>238</v>
      </c>
      <c r="AG4" s="114"/>
      <c r="AH4" s="114" t="s">
        <v>238</v>
      </c>
      <c r="AI4" s="5">
        <f>COUNTIF($E4:$AH4,"P")</f>
        <v>21</v>
      </c>
      <c r="AJ4" s="5">
        <f>COUNTIF($E4:$AH4,"AB")</f>
        <v>1</v>
      </c>
      <c r="AK4" s="5">
        <f t="shared" ref="AK4:AL18" si="1">COUNTIF($E4:$AH4,AK$3)</f>
        <v>1</v>
      </c>
      <c r="AL4" s="5">
        <f t="shared" si="1"/>
        <v>2</v>
      </c>
      <c r="AM4" s="5">
        <f>COUNTBLANK($E4:$AH4)</f>
        <v>5</v>
      </c>
      <c r="AN4" s="5">
        <f>SUM(AI4+AK4+AL4+AM4)</f>
        <v>29</v>
      </c>
      <c r="AO4" s="5">
        <v>0</v>
      </c>
    </row>
    <row r="5" spans="1:41">
      <c r="A5" s="114" t="s">
        <v>195</v>
      </c>
      <c r="B5" s="114" t="s">
        <v>13</v>
      </c>
      <c r="C5" s="114" t="s">
        <v>196</v>
      </c>
      <c r="D5" s="29" t="s">
        <v>197</v>
      </c>
      <c r="E5" s="114"/>
      <c r="F5" s="114" t="s">
        <v>238</v>
      </c>
      <c r="G5" s="114" t="s">
        <v>238</v>
      </c>
      <c r="H5" s="114" t="s">
        <v>238</v>
      </c>
      <c r="I5" s="114" t="s">
        <v>238</v>
      </c>
      <c r="J5" s="114" t="s">
        <v>238</v>
      </c>
      <c r="K5" s="114" t="s">
        <v>238</v>
      </c>
      <c r="L5" s="114"/>
      <c r="M5" s="114" t="s">
        <v>238</v>
      </c>
      <c r="N5" s="114" t="s">
        <v>238</v>
      </c>
      <c r="O5" s="114" t="s">
        <v>238</v>
      </c>
      <c r="P5" s="114" t="s">
        <v>238</v>
      </c>
      <c r="Q5" s="114" t="s">
        <v>238</v>
      </c>
      <c r="R5" s="114" t="s">
        <v>234</v>
      </c>
      <c r="S5" s="114"/>
      <c r="T5" s="114" t="s">
        <v>238</v>
      </c>
      <c r="U5" s="114" t="s">
        <v>238</v>
      </c>
      <c r="V5" s="114" t="s">
        <v>238</v>
      </c>
      <c r="W5" s="114" t="s">
        <v>238</v>
      </c>
      <c r="X5" s="114" t="s">
        <v>238</v>
      </c>
      <c r="Y5" s="114" t="s">
        <v>238</v>
      </c>
      <c r="Z5" s="114"/>
      <c r="AA5" s="114" t="s">
        <v>238</v>
      </c>
      <c r="AB5" s="114" t="s">
        <v>238</v>
      </c>
      <c r="AC5" s="114" t="s">
        <v>235</v>
      </c>
      <c r="AD5" s="114" t="s">
        <v>238</v>
      </c>
      <c r="AE5" s="114" t="s">
        <v>238</v>
      </c>
      <c r="AF5" s="114" t="s">
        <v>238</v>
      </c>
      <c r="AG5" s="114"/>
      <c r="AH5" s="114" t="s">
        <v>238</v>
      </c>
      <c r="AI5" s="5">
        <f t="shared" ref="AI5:AI18" si="2">COUNTIF($E5:$AH5,"P")</f>
        <v>23</v>
      </c>
      <c r="AJ5" s="5">
        <f t="shared" ref="AJ5:AJ18" si="3">COUNTIF($E5:$AH5,"AB")</f>
        <v>0</v>
      </c>
      <c r="AK5" s="5">
        <f t="shared" si="1"/>
        <v>1</v>
      </c>
      <c r="AL5" s="5">
        <f t="shared" si="1"/>
        <v>1</v>
      </c>
      <c r="AM5" s="5">
        <f t="shared" ref="AM5:AM18" si="4">COUNTBLANK($E5:$AH5)</f>
        <v>5</v>
      </c>
      <c r="AN5" s="5">
        <f t="shared" ref="AN5:AN18" si="5">SUM(AI5+AK5+AL5+AM5)</f>
        <v>30</v>
      </c>
      <c r="AO5" s="5">
        <v>0</v>
      </c>
    </row>
    <row r="6" spans="1:41">
      <c r="A6" s="114" t="s">
        <v>198</v>
      </c>
      <c r="B6" s="114" t="s">
        <v>16</v>
      </c>
      <c r="C6" s="114" t="s">
        <v>11</v>
      </c>
      <c r="D6" s="29" t="s">
        <v>194</v>
      </c>
      <c r="E6" s="114"/>
      <c r="F6" s="114" t="s">
        <v>238</v>
      </c>
      <c r="G6" s="114" t="s">
        <v>238</v>
      </c>
      <c r="H6" s="114" t="s">
        <v>238</v>
      </c>
      <c r="I6" s="114" t="s">
        <v>238</v>
      </c>
      <c r="J6" s="114" t="s">
        <v>238</v>
      </c>
      <c r="K6" s="114" t="s">
        <v>238</v>
      </c>
      <c r="L6" s="114"/>
      <c r="M6" s="114" t="s">
        <v>238</v>
      </c>
      <c r="N6" s="114" t="s">
        <v>238</v>
      </c>
      <c r="O6" s="114" t="s">
        <v>238</v>
      </c>
      <c r="P6" s="114" t="s">
        <v>238</v>
      </c>
      <c r="Q6" s="114" t="s">
        <v>238</v>
      </c>
      <c r="R6" s="114" t="s">
        <v>238</v>
      </c>
      <c r="S6" s="114"/>
      <c r="T6" s="114" t="s">
        <v>238</v>
      </c>
      <c r="U6" s="114" t="s">
        <v>238</v>
      </c>
      <c r="V6" s="114" t="s">
        <v>238</v>
      </c>
      <c r="W6" s="114" t="s">
        <v>238</v>
      </c>
      <c r="X6" s="114" t="s">
        <v>238</v>
      </c>
      <c r="Y6" s="114" t="s">
        <v>238</v>
      </c>
      <c r="Z6" s="114"/>
      <c r="AA6" s="114" t="s">
        <v>238</v>
      </c>
      <c r="AB6" s="114" t="s">
        <v>238</v>
      </c>
      <c r="AC6" s="114" t="s">
        <v>238</v>
      </c>
      <c r="AD6" s="114" t="s">
        <v>238</v>
      </c>
      <c r="AE6" s="114" t="s">
        <v>238</v>
      </c>
      <c r="AF6" s="114" t="s">
        <v>238</v>
      </c>
      <c r="AG6" s="114"/>
      <c r="AH6" s="114" t="s">
        <v>238</v>
      </c>
      <c r="AI6" s="5">
        <f t="shared" si="2"/>
        <v>25</v>
      </c>
      <c r="AJ6" s="5">
        <f t="shared" si="3"/>
        <v>0</v>
      </c>
      <c r="AK6" s="5">
        <f t="shared" si="1"/>
        <v>0</v>
      </c>
      <c r="AL6" s="5">
        <f t="shared" si="1"/>
        <v>0</v>
      </c>
      <c r="AM6" s="5">
        <f t="shared" si="4"/>
        <v>5</v>
      </c>
      <c r="AN6" s="5">
        <f t="shared" si="5"/>
        <v>30</v>
      </c>
      <c r="AO6" s="5">
        <v>0</v>
      </c>
    </row>
    <row r="7" spans="1:41">
      <c r="A7" s="114" t="s">
        <v>199</v>
      </c>
      <c r="B7" s="114" t="s">
        <v>18</v>
      </c>
      <c r="C7" s="114" t="s">
        <v>11</v>
      </c>
      <c r="D7" s="29" t="s">
        <v>197</v>
      </c>
      <c r="E7" s="114"/>
      <c r="F7" s="114" t="s">
        <v>238</v>
      </c>
      <c r="G7" s="114" t="s">
        <v>238</v>
      </c>
      <c r="H7" s="114" t="s">
        <v>238</v>
      </c>
      <c r="I7" s="114" t="s">
        <v>238</v>
      </c>
      <c r="J7" s="114" t="s">
        <v>238</v>
      </c>
      <c r="K7" s="114" t="s">
        <v>238</v>
      </c>
      <c r="L7" s="114"/>
      <c r="M7" s="114" t="s">
        <v>238</v>
      </c>
      <c r="N7" s="114" t="s">
        <v>238</v>
      </c>
      <c r="O7" s="114" t="s">
        <v>234</v>
      </c>
      <c r="P7" s="114" t="s">
        <v>238</v>
      </c>
      <c r="Q7" s="114" t="s">
        <v>238</v>
      </c>
      <c r="R7" s="114" t="s">
        <v>238</v>
      </c>
      <c r="S7" s="114"/>
      <c r="T7" s="114" t="s">
        <v>238</v>
      </c>
      <c r="U7" s="114" t="s">
        <v>238</v>
      </c>
      <c r="V7" s="114" t="s">
        <v>238</v>
      </c>
      <c r="W7" s="114" t="s">
        <v>238</v>
      </c>
      <c r="X7" s="114" t="s">
        <v>238</v>
      </c>
      <c r="Y7" s="114" t="s">
        <v>238</v>
      </c>
      <c r="Z7" s="114"/>
      <c r="AA7" s="114" t="s">
        <v>238</v>
      </c>
      <c r="AB7" s="114" t="s">
        <v>238</v>
      </c>
      <c r="AC7" s="114" t="s">
        <v>238</v>
      </c>
      <c r="AD7" s="114" t="s">
        <v>238</v>
      </c>
      <c r="AE7" s="114" t="s">
        <v>235</v>
      </c>
      <c r="AF7" s="114" t="s">
        <v>238</v>
      </c>
      <c r="AG7" s="114"/>
      <c r="AH7" s="114" t="s">
        <v>239</v>
      </c>
      <c r="AI7" s="5">
        <f t="shared" si="2"/>
        <v>22</v>
      </c>
      <c r="AJ7" s="5">
        <f t="shared" si="3"/>
        <v>1</v>
      </c>
      <c r="AK7" s="5">
        <f t="shared" si="1"/>
        <v>1</v>
      </c>
      <c r="AL7" s="5">
        <f t="shared" si="1"/>
        <v>1</v>
      </c>
      <c r="AM7" s="5">
        <f t="shared" si="4"/>
        <v>5</v>
      </c>
      <c r="AN7" s="5">
        <f t="shared" si="5"/>
        <v>29</v>
      </c>
      <c r="AO7" s="5">
        <v>1</v>
      </c>
    </row>
    <row r="8" spans="1:41">
      <c r="A8" s="114" t="s">
        <v>200</v>
      </c>
      <c r="B8" s="114" t="s">
        <v>19</v>
      </c>
      <c r="C8" s="114" t="s">
        <v>201</v>
      </c>
      <c r="D8" s="29" t="s">
        <v>197</v>
      </c>
      <c r="E8" s="114"/>
      <c r="F8" s="114" t="s">
        <v>238</v>
      </c>
      <c r="G8" s="114" t="s">
        <v>239</v>
      </c>
      <c r="H8" s="114" t="s">
        <v>238</v>
      </c>
      <c r="I8" s="114" t="s">
        <v>238</v>
      </c>
      <c r="J8" s="114" t="s">
        <v>238</v>
      </c>
      <c r="K8" s="114" t="s">
        <v>238</v>
      </c>
      <c r="L8" s="114"/>
      <c r="M8" s="114" t="s">
        <v>238</v>
      </c>
      <c r="N8" s="114" t="s">
        <v>238</v>
      </c>
      <c r="O8" s="114" t="s">
        <v>238</v>
      </c>
      <c r="P8" s="114" t="s">
        <v>238</v>
      </c>
      <c r="Q8" s="114" t="s">
        <v>238</v>
      </c>
      <c r="R8" s="114" t="s">
        <v>238</v>
      </c>
      <c r="S8" s="114"/>
      <c r="T8" s="114" t="s">
        <v>238</v>
      </c>
      <c r="U8" s="114" t="s">
        <v>238</v>
      </c>
      <c r="V8" s="114" t="s">
        <v>238</v>
      </c>
      <c r="W8" s="114" t="s">
        <v>238</v>
      </c>
      <c r="X8" s="114" t="s">
        <v>238</v>
      </c>
      <c r="Y8" s="114" t="s">
        <v>238</v>
      </c>
      <c r="Z8" s="114"/>
      <c r="AA8" s="114" t="s">
        <v>235</v>
      </c>
      <c r="AB8" s="114" t="s">
        <v>238</v>
      </c>
      <c r="AC8" s="114" t="s">
        <v>238</v>
      </c>
      <c r="AD8" s="114" t="s">
        <v>238</v>
      </c>
      <c r="AE8" s="114" t="s">
        <v>238</v>
      </c>
      <c r="AF8" s="114" t="s">
        <v>238</v>
      </c>
      <c r="AG8" s="114"/>
      <c r="AH8" s="114" t="s">
        <v>238</v>
      </c>
      <c r="AI8" s="5">
        <f t="shared" si="2"/>
        <v>23</v>
      </c>
      <c r="AJ8" s="5">
        <f t="shared" si="3"/>
        <v>1</v>
      </c>
      <c r="AK8" s="5">
        <f t="shared" si="1"/>
        <v>0</v>
      </c>
      <c r="AL8" s="5">
        <f t="shared" si="1"/>
        <v>1</v>
      </c>
      <c r="AM8" s="5">
        <f t="shared" si="4"/>
        <v>5</v>
      </c>
      <c r="AN8" s="5">
        <f t="shared" si="5"/>
        <v>29</v>
      </c>
      <c r="AO8" s="5">
        <v>0</v>
      </c>
    </row>
    <row r="9" spans="1:41">
      <c r="A9" s="114" t="s">
        <v>202</v>
      </c>
      <c r="B9" s="114" t="s">
        <v>20</v>
      </c>
      <c r="C9" s="114" t="s">
        <v>11</v>
      </c>
      <c r="D9" s="29" t="s">
        <v>197</v>
      </c>
      <c r="E9" s="114"/>
      <c r="F9" s="114" t="s">
        <v>238</v>
      </c>
      <c r="G9" s="114" t="s">
        <v>238</v>
      </c>
      <c r="H9" s="114" t="s">
        <v>238</v>
      </c>
      <c r="I9" s="114" t="s">
        <v>238</v>
      </c>
      <c r="J9" s="114" t="s">
        <v>238</v>
      </c>
      <c r="K9" s="114" t="s">
        <v>238</v>
      </c>
      <c r="L9" s="114"/>
      <c r="M9" s="114" t="s">
        <v>238</v>
      </c>
      <c r="N9" s="114" t="s">
        <v>238</v>
      </c>
      <c r="O9" s="114" t="s">
        <v>238</v>
      </c>
      <c r="P9" s="114" t="s">
        <v>238</v>
      </c>
      <c r="Q9" s="114" t="s">
        <v>238</v>
      </c>
      <c r="R9" s="114" t="s">
        <v>238</v>
      </c>
      <c r="S9" s="114"/>
      <c r="T9" s="114" t="s">
        <v>238</v>
      </c>
      <c r="U9" s="114" t="s">
        <v>238</v>
      </c>
      <c r="V9" s="114" t="s">
        <v>238</v>
      </c>
      <c r="W9" s="114" t="s">
        <v>238</v>
      </c>
      <c r="X9" s="114" t="s">
        <v>238</v>
      </c>
      <c r="Y9" s="114" t="s">
        <v>238</v>
      </c>
      <c r="Z9" s="114"/>
      <c r="AA9" s="114" t="s">
        <v>238</v>
      </c>
      <c r="AB9" s="114" t="s">
        <v>238</v>
      </c>
      <c r="AC9" s="114" t="s">
        <v>234</v>
      </c>
      <c r="AD9" s="114" t="s">
        <v>238</v>
      </c>
      <c r="AE9" s="114" t="s">
        <v>238</v>
      </c>
      <c r="AF9" s="114" t="s">
        <v>239</v>
      </c>
      <c r="AG9" s="114"/>
      <c r="AH9" s="114" t="s">
        <v>238</v>
      </c>
      <c r="AI9" s="5">
        <f t="shared" si="2"/>
        <v>23</v>
      </c>
      <c r="AJ9" s="5">
        <f t="shared" si="3"/>
        <v>1</v>
      </c>
      <c r="AK9" s="5">
        <f t="shared" si="1"/>
        <v>1</v>
      </c>
      <c r="AL9" s="5">
        <f t="shared" si="1"/>
        <v>0</v>
      </c>
      <c r="AM9" s="5">
        <f t="shared" si="4"/>
        <v>5</v>
      </c>
      <c r="AN9" s="5">
        <f t="shared" si="5"/>
        <v>29</v>
      </c>
      <c r="AO9" s="5">
        <v>6</v>
      </c>
    </row>
    <row r="10" spans="1:41">
      <c r="A10" s="114" t="s">
        <v>203</v>
      </c>
      <c r="B10" s="114" t="s">
        <v>21</v>
      </c>
      <c r="C10" s="114" t="s">
        <v>11</v>
      </c>
      <c r="D10" s="29" t="s">
        <v>197</v>
      </c>
      <c r="E10" s="114"/>
      <c r="F10" s="114" t="s">
        <v>238</v>
      </c>
      <c r="G10" s="114" t="s">
        <v>238</v>
      </c>
      <c r="H10" s="114" t="s">
        <v>238</v>
      </c>
      <c r="I10" s="114" t="s">
        <v>238</v>
      </c>
      <c r="J10" s="114" t="s">
        <v>238</v>
      </c>
      <c r="K10" s="114" t="s">
        <v>238</v>
      </c>
      <c r="L10" s="114"/>
      <c r="M10" s="114" t="s">
        <v>239</v>
      </c>
      <c r="N10" s="114" t="s">
        <v>238</v>
      </c>
      <c r="O10" s="114" t="s">
        <v>238</v>
      </c>
      <c r="P10" s="114" t="s">
        <v>238</v>
      </c>
      <c r="Q10" s="114" t="s">
        <v>238</v>
      </c>
      <c r="R10" s="114" t="s">
        <v>238</v>
      </c>
      <c r="S10" s="114"/>
      <c r="T10" s="114" t="s">
        <v>238</v>
      </c>
      <c r="U10" s="114" t="s">
        <v>238</v>
      </c>
      <c r="V10" s="114" t="s">
        <v>238</v>
      </c>
      <c r="W10" s="114" t="s">
        <v>238</v>
      </c>
      <c r="X10" s="114" t="s">
        <v>238</v>
      </c>
      <c r="Y10" s="114" t="s">
        <v>238</v>
      </c>
      <c r="Z10" s="114"/>
      <c r="AA10" s="114" t="s">
        <v>238</v>
      </c>
      <c r="AB10" s="114" t="s">
        <v>238</v>
      </c>
      <c r="AC10" s="114" t="s">
        <v>238</v>
      </c>
      <c r="AD10" s="114" t="s">
        <v>238</v>
      </c>
      <c r="AE10" s="114" t="s">
        <v>238</v>
      </c>
      <c r="AF10" s="114" t="s">
        <v>238</v>
      </c>
      <c r="AG10" s="114"/>
      <c r="AH10" s="114" t="s">
        <v>238</v>
      </c>
      <c r="AI10" s="5">
        <f t="shared" si="2"/>
        <v>24</v>
      </c>
      <c r="AJ10" s="5">
        <f t="shared" si="3"/>
        <v>1</v>
      </c>
      <c r="AK10" s="5">
        <f t="shared" si="1"/>
        <v>0</v>
      </c>
      <c r="AL10" s="5">
        <f t="shared" si="1"/>
        <v>0</v>
      </c>
      <c r="AM10" s="5">
        <f t="shared" si="4"/>
        <v>5</v>
      </c>
      <c r="AN10" s="5">
        <f t="shared" si="5"/>
        <v>29</v>
      </c>
      <c r="AO10" s="5">
        <v>7</v>
      </c>
    </row>
    <row r="11" spans="1:41">
      <c r="A11" s="114" t="s">
        <v>204</v>
      </c>
      <c r="B11" s="114" t="s">
        <v>22</v>
      </c>
      <c r="C11" s="114" t="s">
        <v>11</v>
      </c>
      <c r="D11" s="29" t="s">
        <v>205</v>
      </c>
      <c r="E11" s="114"/>
      <c r="F11" s="114" t="s">
        <v>238</v>
      </c>
      <c r="G11" s="114" t="s">
        <v>238</v>
      </c>
      <c r="H11" s="114" t="s">
        <v>238</v>
      </c>
      <c r="I11" s="114" t="s">
        <v>238</v>
      </c>
      <c r="J11" s="114" t="s">
        <v>238</v>
      </c>
      <c r="K11" s="114" t="s">
        <v>238</v>
      </c>
      <c r="L11" s="114"/>
      <c r="M11" s="114" t="s">
        <v>238</v>
      </c>
      <c r="N11" s="114" t="s">
        <v>238</v>
      </c>
      <c r="O11" s="114" t="s">
        <v>238</v>
      </c>
      <c r="P11" s="114" t="s">
        <v>238</v>
      </c>
      <c r="Q11" s="114" t="s">
        <v>238</v>
      </c>
      <c r="R11" s="114" t="s">
        <v>238</v>
      </c>
      <c r="S11" s="114"/>
      <c r="T11" s="114" t="s">
        <v>238</v>
      </c>
      <c r="U11" s="114" t="s">
        <v>238</v>
      </c>
      <c r="V11" s="114" t="s">
        <v>238</v>
      </c>
      <c r="W11" s="114" t="s">
        <v>238</v>
      </c>
      <c r="X11" s="114" t="s">
        <v>238</v>
      </c>
      <c r="Y11" s="114" t="s">
        <v>239</v>
      </c>
      <c r="Z11" s="114"/>
      <c r="AA11" s="114" t="s">
        <v>238</v>
      </c>
      <c r="AB11" s="114" t="s">
        <v>238</v>
      </c>
      <c r="AC11" s="114" t="s">
        <v>238</v>
      </c>
      <c r="AD11" s="114" t="s">
        <v>238</v>
      </c>
      <c r="AE11" s="114" t="s">
        <v>238</v>
      </c>
      <c r="AF11" s="114" t="s">
        <v>238</v>
      </c>
      <c r="AG11" s="114"/>
      <c r="AH11" s="114" t="s">
        <v>238</v>
      </c>
      <c r="AI11" s="5">
        <f t="shared" si="2"/>
        <v>24</v>
      </c>
      <c r="AJ11" s="5">
        <f t="shared" si="3"/>
        <v>1</v>
      </c>
      <c r="AK11" s="5">
        <f t="shared" si="1"/>
        <v>0</v>
      </c>
      <c r="AL11" s="5">
        <f t="shared" si="1"/>
        <v>0</v>
      </c>
      <c r="AM11" s="5">
        <f t="shared" si="4"/>
        <v>5</v>
      </c>
      <c r="AN11" s="5">
        <f t="shared" si="5"/>
        <v>29</v>
      </c>
      <c r="AO11" s="5">
        <v>4</v>
      </c>
    </row>
    <row r="12" spans="1:41">
      <c r="A12" s="114" t="s">
        <v>206</v>
      </c>
      <c r="B12" s="114" t="s">
        <v>23</v>
      </c>
      <c r="C12" s="114" t="s">
        <v>207</v>
      </c>
      <c r="D12" s="29" t="s">
        <v>208</v>
      </c>
      <c r="E12" s="114"/>
      <c r="F12" s="114" t="s">
        <v>238</v>
      </c>
      <c r="G12" s="114" t="s">
        <v>238</v>
      </c>
      <c r="H12" s="114" t="s">
        <v>238</v>
      </c>
      <c r="I12" s="114" t="s">
        <v>238</v>
      </c>
      <c r="J12" s="114" t="s">
        <v>238</v>
      </c>
      <c r="K12" s="114" t="s">
        <v>238</v>
      </c>
      <c r="L12" s="114"/>
      <c r="M12" s="114" t="s">
        <v>238</v>
      </c>
      <c r="N12" s="114" t="s">
        <v>238</v>
      </c>
      <c r="O12" s="114" t="s">
        <v>238</v>
      </c>
      <c r="P12" s="114" t="s">
        <v>238</v>
      </c>
      <c r="Q12" s="114" t="s">
        <v>239</v>
      </c>
      <c r="R12" s="114" t="s">
        <v>238</v>
      </c>
      <c r="S12" s="114"/>
      <c r="T12" s="114" t="s">
        <v>238</v>
      </c>
      <c r="U12" s="114" t="s">
        <v>238</v>
      </c>
      <c r="V12" s="114" t="s">
        <v>238</v>
      </c>
      <c r="W12" s="114" t="s">
        <v>238</v>
      </c>
      <c r="X12" s="114" t="s">
        <v>238</v>
      </c>
      <c r="Y12" s="114" t="s">
        <v>238</v>
      </c>
      <c r="Z12" s="114"/>
      <c r="AA12" s="114" t="s">
        <v>238</v>
      </c>
      <c r="AB12" s="114" t="s">
        <v>238</v>
      </c>
      <c r="AC12" s="114" t="s">
        <v>238</v>
      </c>
      <c r="AD12" s="114" t="s">
        <v>238</v>
      </c>
      <c r="AE12" s="114" t="s">
        <v>238</v>
      </c>
      <c r="AF12" s="114" t="s">
        <v>238</v>
      </c>
      <c r="AG12" s="114"/>
      <c r="AH12" s="114" t="s">
        <v>238</v>
      </c>
      <c r="AI12" s="5">
        <f t="shared" si="2"/>
        <v>24</v>
      </c>
      <c r="AJ12" s="5">
        <f t="shared" si="3"/>
        <v>1</v>
      </c>
      <c r="AK12" s="5">
        <f t="shared" si="1"/>
        <v>0</v>
      </c>
      <c r="AL12" s="5">
        <f t="shared" si="1"/>
        <v>0</v>
      </c>
      <c r="AM12" s="5">
        <f t="shared" si="4"/>
        <v>5</v>
      </c>
      <c r="AN12" s="5">
        <f t="shared" si="5"/>
        <v>29</v>
      </c>
      <c r="AO12" s="5">
        <v>2</v>
      </c>
    </row>
    <row r="13" spans="1:41">
      <c r="A13" s="114" t="s">
        <v>209</v>
      </c>
      <c r="B13" s="114" t="s">
        <v>24</v>
      </c>
      <c r="C13" s="114" t="s">
        <v>26</v>
      </c>
      <c r="D13" s="29" t="s">
        <v>208</v>
      </c>
      <c r="E13" s="114"/>
      <c r="F13" s="114" t="s">
        <v>238</v>
      </c>
      <c r="G13" s="114" t="s">
        <v>238</v>
      </c>
      <c r="H13" s="114" t="s">
        <v>238</v>
      </c>
      <c r="I13" s="114" t="s">
        <v>238</v>
      </c>
      <c r="J13" s="114" t="s">
        <v>238</v>
      </c>
      <c r="K13" s="114" t="s">
        <v>238</v>
      </c>
      <c r="L13" s="114"/>
      <c r="M13" s="114" t="s">
        <v>238</v>
      </c>
      <c r="N13" s="114" t="s">
        <v>238</v>
      </c>
      <c r="O13" s="114" t="s">
        <v>238</v>
      </c>
      <c r="P13" s="114" t="s">
        <v>238</v>
      </c>
      <c r="Q13" s="114" t="s">
        <v>238</v>
      </c>
      <c r="R13" s="114" t="s">
        <v>238</v>
      </c>
      <c r="S13" s="114"/>
      <c r="T13" s="114" t="s">
        <v>234</v>
      </c>
      <c r="U13" s="114" t="s">
        <v>238</v>
      </c>
      <c r="V13" s="114" t="s">
        <v>238</v>
      </c>
      <c r="W13" s="114" t="s">
        <v>238</v>
      </c>
      <c r="X13" s="114" t="s">
        <v>238</v>
      </c>
      <c r="Y13" s="114" t="s">
        <v>238</v>
      </c>
      <c r="Z13" s="114"/>
      <c r="AA13" s="114" t="s">
        <v>238</v>
      </c>
      <c r="AB13" s="114" t="s">
        <v>238</v>
      </c>
      <c r="AC13" s="114" t="s">
        <v>238</v>
      </c>
      <c r="AD13" s="114" t="s">
        <v>238</v>
      </c>
      <c r="AE13" s="114" t="s">
        <v>238</v>
      </c>
      <c r="AF13" s="114" t="s">
        <v>238</v>
      </c>
      <c r="AG13" s="114"/>
      <c r="AH13" s="114" t="s">
        <v>238</v>
      </c>
      <c r="AI13" s="5">
        <f t="shared" si="2"/>
        <v>24</v>
      </c>
      <c r="AJ13" s="5">
        <f t="shared" si="3"/>
        <v>0</v>
      </c>
      <c r="AK13" s="5">
        <f t="shared" si="1"/>
        <v>1</v>
      </c>
      <c r="AL13" s="5">
        <f t="shared" si="1"/>
        <v>0</v>
      </c>
      <c r="AM13" s="5">
        <f t="shared" si="4"/>
        <v>5</v>
      </c>
      <c r="AN13" s="5">
        <f t="shared" si="5"/>
        <v>30</v>
      </c>
      <c r="AO13" s="5">
        <v>0</v>
      </c>
    </row>
    <row r="14" spans="1:41">
      <c r="A14" s="114" t="s">
        <v>210</v>
      </c>
      <c r="B14" s="114" t="s">
        <v>25</v>
      </c>
      <c r="C14" s="114" t="s">
        <v>196</v>
      </c>
      <c r="D14" s="29" t="s">
        <v>197</v>
      </c>
      <c r="E14" s="114"/>
      <c r="F14" s="114" t="s">
        <v>238</v>
      </c>
      <c r="G14" s="114" t="s">
        <v>238</v>
      </c>
      <c r="H14" s="114" t="s">
        <v>238</v>
      </c>
      <c r="I14" s="114" t="s">
        <v>238</v>
      </c>
      <c r="J14" s="114" t="s">
        <v>238</v>
      </c>
      <c r="K14" s="114" t="s">
        <v>234</v>
      </c>
      <c r="L14" s="114"/>
      <c r="M14" s="114" t="s">
        <v>238</v>
      </c>
      <c r="N14" s="114" t="s">
        <v>238</v>
      </c>
      <c r="O14" s="114" t="s">
        <v>238</v>
      </c>
      <c r="P14" s="114" t="s">
        <v>238</v>
      </c>
      <c r="Q14" s="114" t="s">
        <v>238</v>
      </c>
      <c r="R14" s="114" t="s">
        <v>238</v>
      </c>
      <c r="S14" s="114"/>
      <c r="T14" s="114" t="s">
        <v>238</v>
      </c>
      <c r="U14" s="114" t="s">
        <v>238</v>
      </c>
      <c r="V14" s="114" t="s">
        <v>238</v>
      </c>
      <c r="W14" s="114" t="s">
        <v>238</v>
      </c>
      <c r="X14" s="114" t="s">
        <v>238</v>
      </c>
      <c r="Y14" s="114" t="s">
        <v>238</v>
      </c>
      <c r="Z14" s="114"/>
      <c r="AA14" s="114" t="s">
        <v>238</v>
      </c>
      <c r="AB14" s="114" t="s">
        <v>238</v>
      </c>
      <c r="AC14" s="114" t="s">
        <v>239</v>
      </c>
      <c r="AD14" s="114" t="s">
        <v>238</v>
      </c>
      <c r="AE14" s="114" t="s">
        <v>238</v>
      </c>
      <c r="AF14" s="114" t="s">
        <v>238</v>
      </c>
      <c r="AG14" s="114"/>
      <c r="AH14" s="114" t="s">
        <v>238</v>
      </c>
      <c r="AI14" s="5">
        <f t="shared" si="2"/>
        <v>23</v>
      </c>
      <c r="AJ14" s="5">
        <f t="shared" si="3"/>
        <v>1</v>
      </c>
      <c r="AK14" s="5">
        <f t="shared" si="1"/>
        <v>1</v>
      </c>
      <c r="AL14" s="5">
        <f t="shared" si="1"/>
        <v>0</v>
      </c>
      <c r="AM14" s="5">
        <f t="shared" si="4"/>
        <v>5</v>
      </c>
      <c r="AN14" s="5">
        <f t="shared" si="5"/>
        <v>29</v>
      </c>
      <c r="AO14" s="5">
        <v>1</v>
      </c>
    </row>
    <row r="15" spans="1:41">
      <c r="A15" s="114" t="s">
        <v>211</v>
      </c>
      <c r="B15" s="114" t="s">
        <v>27</v>
      </c>
      <c r="C15" s="114" t="s">
        <v>11</v>
      </c>
      <c r="D15" s="29" t="s">
        <v>197</v>
      </c>
      <c r="E15" s="114"/>
      <c r="F15" s="114" t="s">
        <v>238</v>
      </c>
      <c r="G15" s="114" t="s">
        <v>238</v>
      </c>
      <c r="H15" s="114" t="s">
        <v>238</v>
      </c>
      <c r="I15" s="114" t="s">
        <v>238</v>
      </c>
      <c r="J15" s="114" t="s">
        <v>238</v>
      </c>
      <c r="K15" s="114" t="s">
        <v>238</v>
      </c>
      <c r="L15" s="114"/>
      <c r="M15" s="114" t="s">
        <v>238</v>
      </c>
      <c r="N15" s="114" t="s">
        <v>238</v>
      </c>
      <c r="O15" s="114" t="s">
        <v>238</v>
      </c>
      <c r="P15" s="114" t="s">
        <v>238</v>
      </c>
      <c r="Q15" s="114" t="s">
        <v>238</v>
      </c>
      <c r="R15" s="114" t="s">
        <v>234</v>
      </c>
      <c r="S15" s="114"/>
      <c r="T15" s="114" t="s">
        <v>238</v>
      </c>
      <c r="U15" s="114" t="s">
        <v>238</v>
      </c>
      <c r="V15" s="114" t="s">
        <v>238</v>
      </c>
      <c r="W15" s="114" t="s">
        <v>235</v>
      </c>
      <c r="X15" s="114" t="s">
        <v>238</v>
      </c>
      <c r="Y15" s="114" t="s">
        <v>238</v>
      </c>
      <c r="Z15" s="114"/>
      <c r="AA15" s="114" t="s">
        <v>238</v>
      </c>
      <c r="AB15" s="114" t="s">
        <v>238</v>
      </c>
      <c r="AC15" s="114" t="s">
        <v>238</v>
      </c>
      <c r="AD15" s="114" t="s">
        <v>238</v>
      </c>
      <c r="AE15" s="114" t="s">
        <v>238</v>
      </c>
      <c r="AF15" s="114" t="s">
        <v>238</v>
      </c>
      <c r="AG15" s="114"/>
      <c r="AH15" s="114" t="s">
        <v>238</v>
      </c>
      <c r="AI15" s="5">
        <f t="shared" si="2"/>
        <v>23</v>
      </c>
      <c r="AJ15" s="5">
        <f t="shared" si="3"/>
        <v>0</v>
      </c>
      <c r="AK15" s="5">
        <f t="shared" si="1"/>
        <v>1</v>
      </c>
      <c r="AL15" s="5">
        <f t="shared" si="1"/>
        <v>1</v>
      </c>
      <c r="AM15" s="5">
        <f t="shared" si="4"/>
        <v>5</v>
      </c>
      <c r="AN15" s="5">
        <f t="shared" si="5"/>
        <v>30</v>
      </c>
      <c r="AO15" s="5">
        <v>3</v>
      </c>
    </row>
    <row r="16" spans="1:41">
      <c r="A16" s="114" t="s">
        <v>212</v>
      </c>
      <c r="B16" s="114" t="s">
        <v>28</v>
      </c>
      <c r="C16" s="114" t="s">
        <v>213</v>
      </c>
      <c r="D16" s="29" t="s">
        <v>208</v>
      </c>
      <c r="E16" s="114"/>
      <c r="F16" s="114" t="s">
        <v>238</v>
      </c>
      <c r="G16" s="114" t="s">
        <v>238</v>
      </c>
      <c r="H16" s="114" t="s">
        <v>238</v>
      </c>
      <c r="I16" s="114" t="s">
        <v>238</v>
      </c>
      <c r="J16" s="114" t="s">
        <v>238</v>
      </c>
      <c r="K16" s="114" t="s">
        <v>238</v>
      </c>
      <c r="L16" s="114"/>
      <c r="M16" s="114" t="s">
        <v>238</v>
      </c>
      <c r="N16" s="114" t="s">
        <v>238</v>
      </c>
      <c r="O16" s="114" t="s">
        <v>238</v>
      </c>
      <c r="P16" s="114" t="s">
        <v>238</v>
      </c>
      <c r="Q16" s="114" t="s">
        <v>238</v>
      </c>
      <c r="R16" s="114" t="s">
        <v>238</v>
      </c>
      <c r="S16" s="114"/>
      <c r="T16" s="114" t="s">
        <v>238</v>
      </c>
      <c r="U16" s="114" t="s">
        <v>238</v>
      </c>
      <c r="V16" s="114" t="s">
        <v>238</v>
      </c>
      <c r="W16" s="114" t="s">
        <v>238</v>
      </c>
      <c r="X16" s="114" t="s">
        <v>238</v>
      </c>
      <c r="Y16" s="114" t="s">
        <v>238</v>
      </c>
      <c r="Z16" s="114"/>
      <c r="AA16" s="114" t="s">
        <v>238</v>
      </c>
      <c r="AB16" s="114" t="s">
        <v>238</v>
      </c>
      <c r="AC16" s="114" t="s">
        <v>238</v>
      </c>
      <c r="AD16" s="114" t="s">
        <v>238</v>
      </c>
      <c r="AE16" s="114" t="s">
        <v>238</v>
      </c>
      <c r="AF16" s="114" t="s">
        <v>238</v>
      </c>
      <c r="AG16" s="114"/>
      <c r="AH16" s="114" t="s">
        <v>238</v>
      </c>
      <c r="AI16" s="5">
        <f t="shared" si="2"/>
        <v>25</v>
      </c>
      <c r="AJ16" s="5">
        <f t="shared" si="3"/>
        <v>0</v>
      </c>
      <c r="AK16" s="5">
        <f t="shared" si="1"/>
        <v>0</v>
      </c>
      <c r="AL16" s="5">
        <f t="shared" si="1"/>
        <v>0</v>
      </c>
      <c r="AM16" s="5">
        <f t="shared" si="4"/>
        <v>5</v>
      </c>
      <c r="AN16" s="5">
        <f t="shared" si="5"/>
        <v>30</v>
      </c>
      <c r="AO16" s="5">
        <v>5</v>
      </c>
    </row>
    <row r="17" spans="1:41">
      <c r="A17" s="114" t="s">
        <v>214</v>
      </c>
      <c r="B17" s="114" t="s">
        <v>29</v>
      </c>
      <c r="C17" s="114" t="s">
        <v>11</v>
      </c>
      <c r="D17" s="29" t="s">
        <v>197</v>
      </c>
      <c r="E17" s="114"/>
      <c r="F17" s="114" t="s">
        <v>238</v>
      </c>
      <c r="G17" s="114" t="s">
        <v>238</v>
      </c>
      <c r="H17" s="114" t="s">
        <v>238</v>
      </c>
      <c r="I17" s="114" t="s">
        <v>238</v>
      </c>
      <c r="J17" s="114" t="s">
        <v>238</v>
      </c>
      <c r="K17" s="114" t="s">
        <v>238</v>
      </c>
      <c r="L17" s="114"/>
      <c r="M17" s="114" t="s">
        <v>238</v>
      </c>
      <c r="N17" s="114" t="s">
        <v>238</v>
      </c>
      <c r="O17" s="114" t="s">
        <v>238</v>
      </c>
      <c r="P17" s="114" t="s">
        <v>238</v>
      </c>
      <c r="Q17" s="114" t="s">
        <v>238</v>
      </c>
      <c r="R17" s="114" t="s">
        <v>238</v>
      </c>
      <c r="S17" s="114"/>
      <c r="T17" s="114" t="s">
        <v>238</v>
      </c>
      <c r="U17" s="114" t="s">
        <v>238</v>
      </c>
      <c r="V17" s="114" t="s">
        <v>238</v>
      </c>
      <c r="W17" s="114" t="s">
        <v>239</v>
      </c>
      <c r="X17" s="114" t="s">
        <v>238</v>
      </c>
      <c r="Y17" s="114" t="s">
        <v>238</v>
      </c>
      <c r="Z17" s="114"/>
      <c r="AA17" s="114" t="s">
        <v>238</v>
      </c>
      <c r="AB17" s="114" t="s">
        <v>238</v>
      </c>
      <c r="AC17" s="114" t="s">
        <v>238</v>
      </c>
      <c r="AD17" s="114" t="s">
        <v>238</v>
      </c>
      <c r="AE17" s="114" t="s">
        <v>238</v>
      </c>
      <c r="AF17" s="114" t="s">
        <v>238</v>
      </c>
      <c r="AG17" s="114"/>
      <c r="AH17" s="114" t="s">
        <v>238</v>
      </c>
      <c r="AI17" s="5">
        <f t="shared" si="2"/>
        <v>24</v>
      </c>
      <c r="AJ17" s="5">
        <f t="shared" si="3"/>
        <v>1</v>
      </c>
      <c r="AK17" s="5">
        <f t="shared" si="1"/>
        <v>0</v>
      </c>
      <c r="AL17" s="5">
        <f t="shared" si="1"/>
        <v>0</v>
      </c>
      <c r="AM17" s="5">
        <f t="shared" si="4"/>
        <v>5</v>
      </c>
      <c r="AN17" s="5">
        <f t="shared" si="5"/>
        <v>29</v>
      </c>
      <c r="AO17" s="5">
        <v>4</v>
      </c>
    </row>
    <row r="18" spans="1:41">
      <c r="A18" s="114" t="s">
        <v>215</v>
      </c>
      <c r="B18" s="114" t="s">
        <v>30</v>
      </c>
      <c r="C18" s="114" t="s">
        <v>148</v>
      </c>
      <c r="D18" s="29" t="s">
        <v>208</v>
      </c>
      <c r="E18" s="114"/>
      <c r="F18" s="114" t="s">
        <v>238</v>
      </c>
      <c r="G18" s="114" t="s">
        <v>238</v>
      </c>
      <c r="H18" s="114" t="s">
        <v>234</v>
      </c>
      <c r="I18" s="114" t="s">
        <v>238</v>
      </c>
      <c r="J18" s="114" t="s">
        <v>238</v>
      </c>
      <c r="K18" s="114" t="s">
        <v>238</v>
      </c>
      <c r="L18" s="114"/>
      <c r="M18" s="114" t="s">
        <v>238</v>
      </c>
      <c r="N18" s="114" t="s">
        <v>238</v>
      </c>
      <c r="O18" s="114" t="s">
        <v>238</v>
      </c>
      <c r="P18" s="114" t="s">
        <v>239</v>
      </c>
      <c r="Q18" s="114" t="s">
        <v>238</v>
      </c>
      <c r="R18" s="114" t="s">
        <v>238</v>
      </c>
      <c r="S18" s="114"/>
      <c r="T18" s="114" t="s">
        <v>238</v>
      </c>
      <c r="U18" s="114" t="s">
        <v>238</v>
      </c>
      <c r="V18" s="114" t="s">
        <v>238</v>
      </c>
      <c r="W18" s="114" t="s">
        <v>238</v>
      </c>
      <c r="X18" s="114" t="s">
        <v>238</v>
      </c>
      <c r="Y18" s="114" t="s">
        <v>238</v>
      </c>
      <c r="Z18" s="114"/>
      <c r="AA18" s="114" t="s">
        <v>238</v>
      </c>
      <c r="AB18" s="114" t="s">
        <v>238</v>
      </c>
      <c r="AC18" s="114" t="s">
        <v>238</v>
      </c>
      <c r="AD18" s="114" t="s">
        <v>238</v>
      </c>
      <c r="AE18" s="114" t="s">
        <v>238</v>
      </c>
      <c r="AF18" s="114" t="s">
        <v>238</v>
      </c>
      <c r="AG18" s="114"/>
      <c r="AH18" s="114" t="s">
        <v>238</v>
      </c>
      <c r="AI18" s="5">
        <f t="shared" si="2"/>
        <v>23</v>
      </c>
      <c r="AJ18" s="5">
        <f t="shared" si="3"/>
        <v>1</v>
      </c>
      <c r="AK18" s="5">
        <f t="shared" si="1"/>
        <v>1</v>
      </c>
      <c r="AL18" s="5">
        <f t="shared" si="1"/>
        <v>0</v>
      </c>
      <c r="AM18" s="5">
        <f t="shared" si="4"/>
        <v>5</v>
      </c>
      <c r="AN18" s="5">
        <f t="shared" si="5"/>
        <v>29</v>
      </c>
      <c r="AO18" s="5">
        <v>3</v>
      </c>
    </row>
  </sheetData>
  <customSheetViews>
    <customSheetView guid="{D2E34B70-793B-4ED9-8524-A672A671A0FF}" topLeftCell="H1">
      <selection activeCell="W5" sqref="W5"/>
      <pageMargins left="0" right="0" top="0" bottom="0" header="0" footer="0"/>
    </customSheetView>
  </customSheetViews>
  <conditionalFormatting sqref="E4:AH18">
    <cfRule type="cellIs" dxfId="16" priority="2" operator="equal">
      <formula>"PL"</formula>
    </cfRule>
    <cfRule type="cellIs" dxfId="15" priority="3" operator="equal">
      <formula>"PL"</formula>
    </cfRule>
    <cfRule type="cellIs" dxfId="14" priority="4" operator="equal">
      <formula>"SL"</formula>
    </cfRule>
    <cfRule type="cellIs" dxfId="13" priority="5" operator="equal">
      <formula>"AB"</formula>
    </cfRule>
    <cfRule type="cellIs" dxfId="12" priority="6" operator="equal">
      <formula>"P"</formula>
    </cfRule>
  </conditionalFormatting>
  <conditionalFormatting sqref="E2:AH18">
    <cfRule type="expression" dxfId="11" priority="1">
      <formula>E$2="Sun"</formula>
    </cfRule>
  </conditionalFormatting>
  <dataValidations count="1">
    <dataValidation type="list" allowBlank="1" showInputMessage="1" showErrorMessage="1" sqref="E4:AH18" xr:uid="{00000000-0002-0000-0800-000000000000}">
      <formula1>"P,AB,SL,PL"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"/>
  <sheetViews>
    <sheetView workbookViewId="0">
      <selection activeCell="B5" sqref="B5"/>
    </sheetView>
  </sheetViews>
  <sheetFormatPr defaultRowHeight="15"/>
  <cols>
    <col min="1" max="1" width="16" customWidth="1"/>
    <col min="2" max="2" width="18.5703125" customWidth="1"/>
    <col min="3" max="3" width="21.42578125" customWidth="1"/>
    <col min="4" max="4" width="20.28515625" customWidth="1"/>
  </cols>
  <sheetData>
    <row r="1" spans="1:4" ht="28.5" customHeight="1">
      <c r="A1" s="135" t="s">
        <v>240</v>
      </c>
      <c r="B1" s="135"/>
      <c r="C1" s="135"/>
      <c r="D1" s="135"/>
    </row>
    <row r="2" spans="1:4" ht="36.75" customHeight="1">
      <c r="A2" s="136" t="s">
        <v>241</v>
      </c>
      <c r="B2" s="136"/>
      <c r="C2" s="136"/>
      <c r="D2" s="136"/>
    </row>
    <row r="5" spans="1:4">
      <c r="A5" s="5" t="s">
        <v>178</v>
      </c>
      <c r="B5" s="5" t="s">
        <v>193</v>
      </c>
      <c r="C5" s="40" t="s">
        <v>242</v>
      </c>
      <c r="D5" s="5"/>
    </row>
    <row r="6" spans="1:4">
      <c r="A6" s="5" t="s">
        <v>243</v>
      </c>
      <c r="B6" s="5" t="str">
        <f>VLOOKUP($B$5,'SALARY SHEET'!$A$3:$O$18,ROW()-4,0)</f>
        <v>Rajiv</v>
      </c>
      <c r="C6" s="40" t="s">
        <v>244</v>
      </c>
      <c r="D6" s="5"/>
    </row>
    <row r="7" spans="1:4">
      <c r="A7" s="5" t="s">
        <v>180</v>
      </c>
      <c r="B7" s="5" t="str">
        <f>VLOOKUP($B$5,'SALARY SHEET'!$A$3:$O$18,ROW()-4,0)</f>
        <v>Clerk</v>
      </c>
      <c r="C7" s="40" t="s">
        <v>245</v>
      </c>
      <c r="D7" s="5"/>
    </row>
    <row r="8" spans="1:4">
      <c r="A8" s="5" t="s">
        <v>246</v>
      </c>
      <c r="B8" s="5" t="str">
        <f>VLOOKUP($B$5,'SALARY SHEET'!$A$3:$O$18,ROW()-4,0)</f>
        <v>Unskilled</v>
      </c>
      <c r="C8" s="40" t="s">
        <v>247</v>
      </c>
      <c r="D8" s="5"/>
    </row>
    <row r="9" spans="1:4">
      <c r="A9" s="5" t="s">
        <v>237</v>
      </c>
      <c r="B9" s="5">
        <f>VLOOKUP($B$5,'SALARY SHEET'!$A$3:$O$18,6,0)</f>
        <v>29</v>
      </c>
      <c r="C9" s="5"/>
      <c r="D9" s="5"/>
    </row>
    <row r="10" spans="1:4">
      <c r="A10" s="5" t="s">
        <v>184</v>
      </c>
      <c r="B10" s="5">
        <f>VLOOKUP($B$5,'SALARY SHEET'!$A$3:$O$18,7,0)</f>
        <v>0</v>
      </c>
      <c r="C10" s="5"/>
      <c r="D10" s="5"/>
    </row>
    <row r="12" spans="1:4" ht="18.75">
      <c r="A12" s="41" t="s">
        <v>248</v>
      </c>
      <c r="B12" s="5"/>
      <c r="C12" s="41" t="s">
        <v>249</v>
      </c>
      <c r="D12" s="5"/>
    </row>
    <row r="13" spans="1:4">
      <c r="A13" s="5" t="s">
        <v>250</v>
      </c>
      <c r="B13" s="5">
        <f>VLOOKUP($B$5,'SALARY SHEET'!$A$3:$O$18,5,0)</f>
        <v>6750</v>
      </c>
      <c r="C13" s="5" t="s">
        <v>190</v>
      </c>
      <c r="D13" s="5">
        <f>VLOOKUP($B$5,'SALARY SHEET'!$A$3:$O$18,13,0)</f>
        <v>810</v>
      </c>
    </row>
    <row r="14" spans="1:4">
      <c r="A14" s="5" t="s">
        <v>186</v>
      </c>
      <c r="B14" s="5">
        <f>VLOOKUP($B$5,'SALARY SHEET'!$A$3:$O$18,9,0)</f>
        <v>337.5</v>
      </c>
      <c r="C14" s="5" t="s">
        <v>191</v>
      </c>
      <c r="D14" s="5">
        <f>VLOOKUP($B$5,'SALARY SHEET'!$A$3:$O$18,14,0)</f>
        <v>100</v>
      </c>
    </row>
    <row r="15" spans="1:4">
      <c r="A15" s="5" t="s">
        <v>187</v>
      </c>
      <c r="B15" s="5">
        <f>VLOOKUP($B$5,'SALARY SHEET'!$A$3:$O$18,10,0)</f>
        <v>800</v>
      </c>
      <c r="C15" s="5"/>
      <c r="D15" s="5"/>
    </row>
    <row r="16" spans="1:4">
      <c r="A16" s="5" t="s">
        <v>188</v>
      </c>
      <c r="B16" s="5">
        <f>VLOOKUP($B$5,'SALARY SHEET'!$A$3:$O$18,11,0)</f>
        <v>281.25</v>
      </c>
      <c r="C16" s="5"/>
      <c r="D16" s="5"/>
    </row>
    <row r="17" spans="1:4">
      <c r="A17" s="5" t="s">
        <v>189</v>
      </c>
      <c r="B17" s="5">
        <f>VLOOKUP($B$5,'SALARY SHEET'!$A$3:$O$18,12,0)</f>
        <v>7943.75</v>
      </c>
      <c r="C17" s="5" t="s">
        <v>251</v>
      </c>
      <c r="D17" s="5">
        <f>VLOOKUP($B$5,'SALARY SHEET'!$A$3:$O$18,15,0)</f>
        <v>7033.75</v>
      </c>
    </row>
  </sheetData>
  <customSheetViews>
    <customSheetView guid="{D2E34B70-793B-4ED9-8524-A672A671A0FF}">
      <selection activeCell="K11" sqref="K11"/>
      <pageMargins left="0" right="0" top="0" bottom="0" header="0" footer="0"/>
      <pageSetup orientation="portrait" r:id="rId1"/>
    </customSheetView>
  </customSheetViews>
  <mergeCells count="2">
    <mergeCell ref="A1:D1"/>
    <mergeCell ref="A2:D2"/>
  </mergeCell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'SALARY SHEET'!$A$4:$A$18</xm:f>
          </x14:formula1>
          <xm:sqref>B5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60"/>
  <sheetViews>
    <sheetView topLeftCell="E43" zoomScale="115" zoomScaleNormal="115" workbookViewId="0">
      <selection activeCell="M56" sqref="M56"/>
    </sheetView>
  </sheetViews>
  <sheetFormatPr defaultRowHeight="15"/>
  <cols>
    <col min="1" max="1" width="12.140625" bestFit="1" customWidth="1"/>
    <col min="2" max="2" width="10.42578125" bestFit="1" customWidth="1"/>
    <col min="3" max="3" width="17" bestFit="1" customWidth="1"/>
    <col min="4" max="4" width="11.85546875" style="42" customWidth="1"/>
    <col min="5" max="5" width="11.85546875" style="12" customWidth="1"/>
    <col min="6" max="6" width="12.42578125" style="12" customWidth="1"/>
    <col min="7" max="7" width="13.140625" bestFit="1" customWidth="1"/>
    <col min="8" max="8" width="12.140625" bestFit="1" customWidth="1"/>
    <col min="9" max="9" width="13.42578125" customWidth="1"/>
    <col min="10" max="10" width="17.28515625" style="26" customWidth="1"/>
    <col min="11" max="11" width="12" bestFit="1" customWidth="1"/>
    <col min="12" max="12" width="12.42578125" bestFit="1" customWidth="1"/>
    <col min="13" max="13" width="16.5703125" customWidth="1"/>
  </cols>
  <sheetData>
    <row r="1" spans="1:13">
      <c r="A1" s="138" t="s">
        <v>252</v>
      </c>
      <c r="B1" s="138"/>
      <c r="C1" s="138"/>
      <c r="D1" s="138"/>
      <c r="E1" s="138"/>
      <c r="F1" s="138"/>
      <c r="G1" s="138"/>
      <c r="H1" s="138"/>
      <c r="I1" s="138"/>
      <c r="J1" s="138"/>
      <c r="L1" s="139" t="s">
        <v>253</v>
      </c>
      <c r="M1" s="139"/>
    </row>
    <row r="2" spans="1:13">
      <c r="A2" s="138"/>
      <c r="B2" s="138"/>
      <c r="C2" s="138"/>
      <c r="D2" s="138"/>
      <c r="E2" s="138"/>
      <c r="F2" s="138"/>
      <c r="G2" s="138"/>
      <c r="H2" s="138"/>
      <c r="I2" s="138"/>
      <c r="J2" s="138"/>
      <c r="L2" s="140"/>
      <c r="M2" s="140"/>
    </row>
    <row r="3" spans="1:13">
      <c r="A3" s="43" t="s">
        <v>178</v>
      </c>
      <c r="B3" s="43" t="s">
        <v>1</v>
      </c>
      <c r="C3" s="43" t="s">
        <v>180</v>
      </c>
      <c r="D3" s="44" t="s">
        <v>254</v>
      </c>
      <c r="E3" s="47" t="s">
        <v>255</v>
      </c>
      <c r="F3" s="47" t="s">
        <v>256</v>
      </c>
      <c r="I3" s="45" t="s">
        <v>178</v>
      </c>
      <c r="J3" s="14" t="s">
        <v>257</v>
      </c>
      <c r="L3" s="45" t="s">
        <v>178</v>
      </c>
      <c r="M3" s="14" t="s">
        <v>258</v>
      </c>
    </row>
    <row r="4" spans="1:13">
      <c r="A4" t="s">
        <v>259</v>
      </c>
      <c r="B4" t="s">
        <v>71</v>
      </c>
      <c r="C4" t="s">
        <v>260</v>
      </c>
      <c r="D4" s="42">
        <v>15000</v>
      </c>
      <c r="E4" s="12">
        <v>42</v>
      </c>
      <c r="F4" s="12" t="str">
        <f>VLOOKUP($E4,$I$10:$J$14,MATCH($F$3,$I$10:$J$10,0),1)</f>
        <v>Not Good</v>
      </c>
      <c r="I4" s="45" t="s">
        <v>1</v>
      </c>
      <c r="J4" s="14" t="str">
        <f>VLOOKUP($J$3,$A$3:$F$23,MATCH($I4,$A$3:$F$3,0),0)</f>
        <v>Varun</v>
      </c>
      <c r="L4" s="45" t="s">
        <v>1</v>
      </c>
      <c r="M4" s="14" t="str">
        <f>IFERROR(VLOOKUP($M$3,$A$3:$F$23,MATCH($L4,$A$3:$F$3,0),0),"Invalid")</f>
        <v>Sohan</v>
      </c>
    </row>
    <row r="5" spans="1:13">
      <c r="A5" t="s">
        <v>257</v>
      </c>
      <c r="B5" t="s">
        <v>261</v>
      </c>
      <c r="C5" t="s">
        <v>262</v>
      </c>
      <c r="D5" s="42">
        <v>19000</v>
      </c>
      <c r="E5" s="12">
        <v>77</v>
      </c>
      <c r="F5" s="12" t="str">
        <f t="shared" ref="F5:F23" si="0">VLOOKUP($E5,$I$10:$J$14,MATCH($F$3,$I$10:$J$10,0),1)</f>
        <v>Good</v>
      </c>
      <c r="I5" s="45" t="s">
        <v>180</v>
      </c>
      <c r="J5" s="14" t="str">
        <f t="shared" ref="J5:J7" si="1">VLOOKUP($J$3,$A$3:$F$23,MATCH($I5,$A$3:$F$3,0),0)</f>
        <v>Graphic Designing</v>
      </c>
      <c r="L5" s="45" t="s">
        <v>180</v>
      </c>
      <c r="M5" s="14" t="str">
        <f t="shared" ref="M5:M7" si="2">IFERROR(VLOOKUP($M$3,$A$3:$F$23,MATCH($L5,$A$3:$F$3,0),0),"Invalid")</f>
        <v>Staff</v>
      </c>
    </row>
    <row r="6" spans="1:13">
      <c r="A6" t="s">
        <v>263</v>
      </c>
      <c r="B6" t="s">
        <v>264</v>
      </c>
      <c r="C6" t="s">
        <v>265</v>
      </c>
      <c r="D6" s="42">
        <v>25000</v>
      </c>
      <c r="E6" s="12">
        <v>84</v>
      </c>
      <c r="F6" s="12" t="str">
        <f t="shared" si="0"/>
        <v>Good</v>
      </c>
      <c r="I6" s="46" t="s">
        <v>254</v>
      </c>
      <c r="J6" s="14">
        <f t="shared" si="1"/>
        <v>19000</v>
      </c>
      <c r="L6" s="46" t="s">
        <v>254</v>
      </c>
      <c r="M6" s="63">
        <f>IFERROR(VLOOKUP($M$3,$A$3:$F$23,MATCH($L6,$A$3:$F$3,0),0),"Invalid")</f>
        <v>11000</v>
      </c>
    </row>
    <row r="7" spans="1:13">
      <c r="A7" t="s">
        <v>266</v>
      </c>
      <c r="B7" t="s">
        <v>267</v>
      </c>
      <c r="C7" t="s">
        <v>268</v>
      </c>
      <c r="D7" s="42">
        <v>45000</v>
      </c>
      <c r="E7" s="12">
        <v>80</v>
      </c>
      <c r="F7" s="12" t="str">
        <f t="shared" si="0"/>
        <v>Good</v>
      </c>
      <c r="I7" s="47" t="s">
        <v>256</v>
      </c>
      <c r="J7" s="14" t="str">
        <f t="shared" si="1"/>
        <v>Good</v>
      </c>
      <c r="L7" s="47" t="s">
        <v>256</v>
      </c>
      <c r="M7" s="14" t="str">
        <f t="shared" si="2"/>
        <v>Not Good</v>
      </c>
    </row>
    <row r="8" spans="1:13">
      <c r="A8" t="s">
        <v>269</v>
      </c>
      <c r="B8" t="s">
        <v>270</v>
      </c>
      <c r="C8" t="s">
        <v>213</v>
      </c>
      <c r="D8" s="42">
        <v>65000</v>
      </c>
      <c r="E8" s="12">
        <v>99</v>
      </c>
      <c r="F8" s="12" t="str">
        <f t="shared" si="0"/>
        <v>Awesome</v>
      </c>
    </row>
    <row r="9" spans="1:13">
      <c r="A9" t="s">
        <v>271</v>
      </c>
      <c r="B9" t="s">
        <v>71</v>
      </c>
      <c r="C9" t="s">
        <v>260</v>
      </c>
      <c r="D9" s="42">
        <v>15000</v>
      </c>
      <c r="E9" s="12">
        <v>36</v>
      </c>
      <c r="F9" s="12" t="str">
        <f t="shared" si="0"/>
        <v>Not Good</v>
      </c>
    </row>
    <row r="10" spans="1:13">
      <c r="A10" t="s">
        <v>272</v>
      </c>
      <c r="B10" t="s">
        <v>273</v>
      </c>
      <c r="C10" t="s">
        <v>260</v>
      </c>
      <c r="D10" s="42">
        <v>15000</v>
      </c>
      <c r="E10" s="12">
        <v>43</v>
      </c>
      <c r="F10" s="12" t="str">
        <f t="shared" si="0"/>
        <v>Not Good</v>
      </c>
      <c r="I10" s="48" t="s">
        <v>255</v>
      </c>
      <c r="J10" s="49" t="s">
        <v>256</v>
      </c>
    </row>
    <row r="11" spans="1:13">
      <c r="A11" t="s">
        <v>274</v>
      </c>
      <c r="B11" t="s">
        <v>275</v>
      </c>
      <c r="C11" t="s">
        <v>260</v>
      </c>
      <c r="D11" s="42">
        <v>15000</v>
      </c>
      <c r="E11" s="12">
        <v>68</v>
      </c>
      <c r="F11" s="12" t="str">
        <f t="shared" si="0"/>
        <v>Average</v>
      </c>
      <c r="I11" s="5">
        <v>30</v>
      </c>
      <c r="J11" s="114" t="s">
        <v>276</v>
      </c>
    </row>
    <row r="12" spans="1:13">
      <c r="A12" t="s">
        <v>277</v>
      </c>
      <c r="B12" t="s">
        <v>24</v>
      </c>
      <c r="C12" t="s">
        <v>265</v>
      </c>
      <c r="D12" s="42">
        <v>25000</v>
      </c>
      <c r="E12" s="12">
        <v>79</v>
      </c>
      <c r="F12" s="12" t="str">
        <f t="shared" si="0"/>
        <v>Good</v>
      </c>
      <c r="I12" s="5">
        <v>50</v>
      </c>
      <c r="J12" s="114" t="s">
        <v>278</v>
      </c>
    </row>
    <row r="13" spans="1:13">
      <c r="A13" t="s">
        <v>279</v>
      </c>
      <c r="B13" t="s">
        <v>280</v>
      </c>
      <c r="C13" t="s">
        <v>262</v>
      </c>
      <c r="D13" s="42">
        <v>20000</v>
      </c>
      <c r="E13" s="12">
        <v>69</v>
      </c>
      <c r="F13" s="12" t="str">
        <f t="shared" si="0"/>
        <v>Average</v>
      </c>
      <c r="I13" s="5">
        <v>70</v>
      </c>
      <c r="J13" s="114" t="s">
        <v>281</v>
      </c>
    </row>
    <row r="14" spans="1:13">
      <c r="A14" t="s">
        <v>282</v>
      </c>
      <c r="B14" t="s">
        <v>16</v>
      </c>
      <c r="C14" t="s">
        <v>260</v>
      </c>
      <c r="D14" s="42">
        <v>16000</v>
      </c>
      <c r="E14" s="12">
        <v>44</v>
      </c>
      <c r="F14" s="12" t="str">
        <f t="shared" si="0"/>
        <v>Not Good</v>
      </c>
      <c r="I14" s="5">
        <v>90</v>
      </c>
      <c r="J14" s="114" t="s">
        <v>283</v>
      </c>
    </row>
    <row r="15" spans="1:13">
      <c r="A15" t="s">
        <v>284</v>
      </c>
      <c r="B15" t="s">
        <v>285</v>
      </c>
      <c r="C15" t="s">
        <v>260</v>
      </c>
      <c r="D15" s="42">
        <v>12000</v>
      </c>
      <c r="E15" s="12">
        <v>86</v>
      </c>
      <c r="F15" s="12" t="str">
        <f t="shared" si="0"/>
        <v>Good</v>
      </c>
    </row>
    <row r="16" spans="1:13">
      <c r="A16" t="s">
        <v>286</v>
      </c>
      <c r="B16" t="s">
        <v>73</v>
      </c>
      <c r="C16" t="s">
        <v>260</v>
      </c>
      <c r="D16" s="42">
        <v>13000</v>
      </c>
      <c r="E16" s="12">
        <v>50</v>
      </c>
      <c r="F16" s="12" t="str">
        <f t="shared" si="0"/>
        <v>Average</v>
      </c>
    </row>
    <row r="17" spans="1:14">
      <c r="A17" t="s">
        <v>258</v>
      </c>
      <c r="B17" t="s">
        <v>287</v>
      </c>
      <c r="C17" t="s">
        <v>260</v>
      </c>
      <c r="D17" s="42">
        <v>11000</v>
      </c>
      <c r="E17" s="12">
        <v>32</v>
      </c>
      <c r="F17" s="12" t="str">
        <f t="shared" si="0"/>
        <v>Not Good</v>
      </c>
    </row>
    <row r="18" spans="1:14">
      <c r="A18" t="s">
        <v>288</v>
      </c>
      <c r="B18" t="s">
        <v>289</v>
      </c>
      <c r="C18" t="s">
        <v>260</v>
      </c>
      <c r="D18" s="42">
        <v>16000</v>
      </c>
      <c r="E18" s="12">
        <v>42</v>
      </c>
      <c r="F18" s="12" t="str">
        <f t="shared" si="0"/>
        <v>Not Good</v>
      </c>
      <c r="H18" s="45" t="s">
        <v>178</v>
      </c>
      <c r="I18" s="45" t="s">
        <v>1</v>
      </c>
      <c r="J18" s="45" t="s">
        <v>180</v>
      </c>
      <c r="K18" s="46" t="s">
        <v>254</v>
      </c>
      <c r="L18" s="49" t="s">
        <v>256</v>
      </c>
    </row>
    <row r="19" spans="1:14">
      <c r="A19" t="s">
        <v>290</v>
      </c>
      <c r="B19" t="s">
        <v>291</v>
      </c>
      <c r="C19" t="s">
        <v>260</v>
      </c>
      <c r="D19" s="42">
        <v>17000</v>
      </c>
      <c r="E19" s="12">
        <v>58</v>
      </c>
      <c r="F19" s="12" t="str">
        <f t="shared" si="0"/>
        <v>Average</v>
      </c>
      <c r="H19" s="14" t="s">
        <v>292</v>
      </c>
      <c r="I19" s="5" t="str">
        <f>VLOOKUP($H$19,$A$3:$F$23,MATCH(I$18,$A$3:$F$3,0),0)</f>
        <v>Amit</v>
      </c>
      <c r="J19" s="5" t="str">
        <f>VLOOKUP($H$19,$A:$F,MATCH(J$18,$A$3:$F$3,0),0)</f>
        <v>Staff</v>
      </c>
      <c r="K19" s="64">
        <f>VLOOKUP($H$19,$A:$F,MATCH(K$18,$A$3:$F$3,0),0)</f>
        <v>14000</v>
      </c>
      <c r="L19" s="5" t="str">
        <f>VLOOKUP($H$19,$A:$F,MATCH(L$18,$A$3:$F$3,0),1)</f>
        <v>Awesome</v>
      </c>
    </row>
    <row r="20" spans="1:14">
      <c r="A20" t="s">
        <v>293</v>
      </c>
      <c r="B20" t="s">
        <v>294</v>
      </c>
      <c r="C20" t="s">
        <v>260</v>
      </c>
      <c r="D20" s="42">
        <v>16000</v>
      </c>
      <c r="E20" s="12">
        <v>78</v>
      </c>
      <c r="F20" s="12" t="str">
        <f t="shared" si="0"/>
        <v>Good</v>
      </c>
    </row>
    <row r="21" spans="1:14">
      <c r="A21" t="s">
        <v>295</v>
      </c>
      <c r="B21" t="s">
        <v>296</v>
      </c>
      <c r="C21" t="s">
        <v>260</v>
      </c>
      <c r="D21" s="42">
        <v>15000</v>
      </c>
      <c r="E21" s="12">
        <v>88</v>
      </c>
      <c r="F21" s="12" t="str">
        <f t="shared" si="0"/>
        <v>Good</v>
      </c>
      <c r="H21" s="139" t="s">
        <v>297</v>
      </c>
      <c r="I21" s="139"/>
      <c r="J21" s="139"/>
      <c r="K21" s="139"/>
      <c r="L21" s="139"/>
    </row>
    <row r="22" spans="1:14">
      <c r="A22" t="s">
        <v>292</v>
      </c>
      <c r="B22" t="s">
        <v>71</v>
      </c>
      <c r="C22" t="s">
        <v>260</v>
      </c>
      <c r="D22" s="42">
        <v>14000</v>
      </c>
      <c r="E22" s="12">
        <v>92</v>
      </c>
      <c r="F22" s="12" t="str">
        <f t="shared" si="0"/>
        <v>Awesome</v>
      </c>
      <c r="H22" s="139"/>
      <c r="I22" s="139"/>
      <c r="J22" s="139"/>
      <c r="K22" s="139"/>
      <c r="L22" s="139"/>
    </row>
    <row r="23" spans="1:14">
      <c r="A23" t="s">
        <v>298</v>
      </c>
      <c r="B23" t="s">
        <v>280</v>
      </c>
      <c r="C23" t="s">
        <v>260</v>
      </c>
      <c r="D23" s="42">
        <v>15000</v>
      </c>
      <c r="E23" s="12">
        <v>82</v>
      </c>
      <c r="F23" s="12" t="str">
        <f t="shared" si="0"/>
        <v>Good</v>
      </c>
    </row>
    <row r="24" spans="1:14">
      <c r="G24" s="5" t="s">
        <v>299</v>
      </c>
      <c r="H24" s="5" t="s">
        <v>300</v>
      </c>
      <c r="J24" s="114" t="s">
        <v>300</v>
      </c>
      <c r="K24" s="5" t="s">
        <v>1</v>
      </c>
      <c r="L24" s="5" t="s">
        <v>301</v>
      </c>
      <c r="M24" s="5" t="s">
        <v>302</v>
      </c>
      <c r="N24" s="5" t="s">
        <v>303</v>
      </c>
    </row>
    <row r="25" spans="1:14">
      <c r="G25" s="5">
        <v>1001</v>
      </c>
      <c r="H25" s="5" t="s">
        <v>304</v>
      </c>
      <c r="J25" s="5" t="s">
        <v>304</v>
      </c>
      <c r="K25" s="5" t="s">
        <v>291</v>
      </c>
      <c r="L25" s="5" t="s">
        <v>305</v>
      </c>
      <c r="M25" s="5" t="s">
        <v>83</v>
      </c>
      <c r="N25" s="5">
        <v>77</v>
      </c>
    </row>
    <row r="26" spans="1:14">
      <c r="G26" s="5">
        <v>1002</v>
      </c>
      <c r="H26" s="5" t="s">
        <v>306</v>
      </c>
      <c r="J26" s="5" t="s">
        <v>306</v>
      </c>
      <c r="K26" s="5" t="s">
        <v>294</v>
      </c>
      <c r="L26" s="5" t="s">
        <v>307</v>
      </c>
      <c r="M26" s="5" t="s">
        <v>83</v>
      </c>
      <c r="N26" s="5">
        <v>80</v>
      </c>
    </row>
    <row r="27" spans="1:14">
      <c r="G27" s="5">
        <v>1003</v>
      </c>
      <c r="H27" s="5" t="s">
        <v>308</v>
      </c>
      <c r="J27" s="5" t="s">
        <v>308</v>
      </c>
      <c r="K27" s="5" t="s">
        <v>296</v>
      </c>
      <c r="L27" s="5" t="s">
        <v>309</v>
      </c>
      <c r="M27" s="5" t="s">
        <v>83</v>
      </c>
      <c r="N27" s="5">
        <v>90</v>
      </c>
    </row>
    <row r="28" spans="1:14">
      <c r="G28" s="5">
        <v>1004</v>
      </c>
      <c r="H28" s="5" t="s">
        <v>310</v>
      </c>
      <c r="J28" s="5" t="s">
        <v>310</v>
      </c>
      <c r="K28" s="5" t="s">
        <v>71</v>
      </c>
      <c r="L28" s="5" t="s">
        <v>309</v>
      </c>
      <c r="M28" s="5" t="s">
        <v>83</v>
      </c>
      <c r="N28" s="5">
        <v>89</v>
      </c>
    </row>
    <row r="29" spans="1:14">
      <c r="G29" s="5">
        <v>1005</v>
      </c>
      <c r="H29" s="5" t="s">
        <v>311</v>
      </c>
      <c r="J29" s="5" t="s">
        <v>311</v>
      </c>
      <c r="K29" s="5" t="s">
        <v>280</v>
      </c>
      <c r="L29" s="5" t="s">
        <v>305</v>
      </c>
      <c r="M29" s="5" t="s">
        <v>83</v>
      </c>
      <c r="N29" s="5">
        <v>79</v>
      </c>
    </row>
    <row r="31" spans="1:14">
      <c r="D31"/>
      <c r="G31" s="5" t="s">
        <v>299</v>
      </c>
      <c r="H31" s="114" t="s">
        <v>300</v>
      </c>
      <c r="I31" s="5" t="s">
        <v>1</v>
      </c>
      <c r="J31" s="5" t="s">
        <v>301</v>
      </c>
      <c r="K31" s="5" t="s">
        <v>302</v>
      </c>
      <c r="L31" s="5" t="s">
        <v>303</v>
      </c>
    </row>
    <row r="32" spans="1:14">
      <c r="G32">
        <v>1003</v>
      </c>
      <c r="H32" t="str">
        <f>VLOOKUP(VLOOKUP($G$32,$G$24:$H$29,MATCH($H$31,$G$24:$H$24,0),0),$J$24:$N$29,MATCH(H$31,$J$24:$N$24,0),0)</f>
        <v>B1003</v>
      </c>
      <c r="I32" t="str">
        <f t="shared" ref="I32:L32" si="3">VLOOKUP(VLOOKUP($G$32,$G$24:$H$29,MATCH($H$31,$G$24:$H$24,0),0),$J$24:$N$29,MATCH(I$31,$J$24:$N$24,0),0)</f>
        <v>Faisal</v>
      </c>
      <c r="J32" t="str">
        <f t="shared" si="3"/>
        <v>Commerce</v>
      </c>
      <c r="K32" t="str">
        <f t="shared" si="3"/>
        <v>Delhi</v>
      </c>
      <c r="L32">
        <f t="shared" si="3"/>
        <v>90</v>
      </c>
    </row>
    <row r="34" spans="5:15">
      <c r="G34" s="141" t="s">
        <v>312</v>
      </c>
      <c r="H34" s="141"/>
      <c r="I34" s="141"/>
      <c r="J34" s="141"/>
      <c r="K34" s="141"/>
      <c r="L34" s="141"/>
      <c r="M34" s="141"/>
      <c r="N34" s="141"/>
    </row>
    <row r="35" spans="5:15">
      <c r="E35" s="12" t="s">
        <v>313</v>
      </c>
      <c r="G35" s="141"/>
      <c r="H35" s="141"/>
      <c r="I35" s="141"/>
      <c r="J35" s="141"/>
      <c r="K35" s="141"/>
      <c r="L35" s="141"/>
      <c r="M35" s="141"/>
      <c r="N35" s="141"/>
    </row>
    <row r="37" spans="5:15">
      <c r="G37" s="50" t="s">
        <v>314</v>
      </c>
      <c r="H37" s="50" t="s">
        <v>315</v>
      </c>
      <c r="I37" s="50" t="s">
        <v>316</v>
      </c>
      <c r="J37" s="51" t="s">
        <v>317</v>
      </c>
      <c r="M37" s="52" t="s">
        <v>315</v>
      </c>
    </row>
    <row r="38" spans="5:15">
      <c r="G38" t="str">
        <f>H38&amp;COUNTIF($H$38:H38,H38)</f>
        <v>Iodex1</v>
      </c>
      <c r="H38" t="s">
        <v>318</v>
      </c>
      <c r="I38" t="s">
        <v>319</v>
      </c>
      <c r="J38" s="26">
        <v>30</v>
      </c>
      <c r="M38" t="s">
        <v>320</v>
      </c>
    </row>
    <row r="39" spans="5:15">
      <c r="G39" t="str">
        <f>H39&amp;COUNTIF($H$38:H39,H39)</f>
        <v>Tigerbalm1</v>
      </c>
      <c r="H39" t="s">
        <v>321</v>
      </c>
      <c r="I39" t="s">
        <v>322</v>
      </c>
      <c r="J39" s="26">
        <v>24</v>
      </c>
    </row>
    <row r="40" spans="5:15">
      <c r="G40" t="str">
        <f>H40&amp;COUNTIF($H$38:H40,H40)</f>
        <v>Toothbrush1</v>
      </c>
      <c r="H40" t="s">
        <v>320</v>
      </c>
      <c r="I40" t="s">
        <v>323</v>
      </c>
      <c r="J40" s="26">
        <v>54</v>
      </c>
      <c r="M40" s="52" t="s">
        <v>315</v>
      </c>
      <c r="N40" s="52" t="s">
        <v>316</v>
      </c>
      <c r="O40" s="53" t="s">
        <v>317</v>
      </c>
    </row>
    <row r="41" spans="5:15">
      <c r="G41" t="str">
        <f>H41&amp;COUNTIF($H$38:H41,H41)</f>
        <v>Iodex2</v>
      </c>
      <c r="H41" t="s">
        <v>318</v>
      </c>
      <c r="I41" t="s">
        <v>324</v>
      </c>
      <c r="J41" s="26">
        <v>38</v>
      </c>
      <c r="M41" t="str">
        <f>VLOOKUP($M$38&amp;ROW()-40,$G$37:$J$46,MATCH(M$40,$G$37:$J$37,0),0)</f>
        <v>Toothbrush</v>
      </c>
      <c r="N41" t="str">
        <f t="shared" ref="N41:O42" si="4">VLOOKUP($M$38&amp;ROW()-40,$G$37:$J$46,MATCH(N$40,$G$37:$J$37,0),0)</f>
        <v>West City</v>
      </c>
      <c r="O41">
        <f t="shared" si="4"/>
        <v>54</v>
      </c>
    </row>
    <row r="42" spans="5:15">
      <c r="G42" t="str">
        <f>H42&amp;COUNTIF($H$38:H42,H42)</f>
        <v>Tigerbalm2</v>
      </c>
      <c r="H42" t="s">
        <v>321</v>
      </c>
      <c r="I42" t="s">
        <v>322</v>
      </c>
      <c r="J42" s="26">
        <v>47</v>
      </c>
      <c r="M42" t="str">
        <f>VLOOKUP($M$38&amp;ROW()-40,$G$37:$J$46,MATCH(M$40,$G$37:$J$37,0),0)</f>
        <v>Toothbrush</v>
      </c>
      <c r="N42" t="str">
        <f t="shared" si="4"/>
        <v>East City</v>
      </c>
      <c r="O42">
        <f t="shared" si="4"/>
        <v>40</v>
      </c>
    </row>
    <row r="43" spans="5:15">
      <c r="G43" t="str">
        <f>H43&amp;COUNTIF($H$38:H43,H43)</f>
        <v>Toothbrush2</v>
      </c>
      <c r="H43" t="s">
        <v>320</v>
      </c>
      <c r="I43" t="s">
        <v>324</v>
      </c>
      <c r="J43" s="26">
        <v>40</v>
      </c>
      <c r="M43" t="str">
        <f t="shared" ref="M43:O44" si="5">IFERROR(VLOOKUP($M$38&amp;ROW()-40,$G$37:$J$46,MATCH(M$40,$G$37:$J$37,0),0),"")</f>
        <v/>
      </c>
      <c r="N43" t="str">
        <f t="shared" si="5"/>
        <v/>
      </c>
      <c r="O43" t="str">
        <f t="shared" si="5"/>
        <v/>
      </c>
    </row>
    <row r="44" spans="5:15">
      <c r="G44" t="str">
        <f>H44&amp;COUNTIF($H$38:H44,H44)</f>
        <v>Zandubalm1</v>
      </c>
      <c r="H44" t="s">
        <v>325</v>
      </c>
      <c r="I44" t="s">
        <v>323</v>
      </c>
      <c r="J44" s="26">
        <v>42</v>
      </c>
      <c r="M44" t="str">
        <f t="shared" si="5"/>
        <v/>
      </c>
      <c r="N44" t="str">
        <f t="shared" si="5"/>
        <v/>
      </c>
      <c r="O44" t="str">
        <f t="shared" si="5"/>
        <v/>
      </c>
    </row>
    <row r="45" spans="5:15">
      <c r="G45" t="str">
        <f>H45&amp;COUNTIF($H$38:H45,H45)</f>
        <v>Zandubalm2</v>
      </c>
      <c r="H45" t="s">
        <v>325</v>
      </c>
      <c r="I45" t="s">
        <v>322</v>
      </c>
      <c r="J45" s="26">
        <v>36</v>
      </c>
    </row>
    <row r="46" spans="5:15">
      <c r="G46" t="str">
        <f>H46&amp;COUNTIF($H$38:H46,H46)</f>
        <v>Tigerbalm3</v>
      </c>
      <c r="H46" t="s">
        <v>321</v>
      </c>
      <c r="I46" t="s">
        <v>323</v>
      </c>
      <c r="J46" s="26">
        <v>54</v>
      </c>
    </row>
    <row r="48" spans="5:15">
      <c r="G48" s="137" t="s">
        <v>326</v>
      </c>
      <c r="H48" s="137"/>
      <c r="I48" s="137"/>
      <c r="J48" s="137"/>
      <c r="K48" s="137"/>
      <c r="L48" s="137"/>
      <c r="M48" s="137"/>
      <c r="N48" s="137"/>
    </row>
    <row r="49" spans="7:14">
      <c r="G49" s="137"/>
      <c r="H49" s="137"/>
      <c r="I49" s="137"/>
      <c r="J49" s="137"/>
      <c r="K49" s="137"/>
      <c r="L49" s="137"/>
      <c r="M49" s="137"/>
      <c r="N49" s="137"/>
    </row>
    <row r="50" spans="7:14">
      <c r="G50" s="50" t="s">
        <v>327</v>
      </c>
      <c r="H50" s="50" t="s">
        <v>328</v>
      </c>
      <c r="I50" s="50" t="s">
        <v>315</v>
      </c>
      <c r="J50" s="50" t="s">
        <v>316</v>
      </c>
      <c r="K50" s="51" t="s">
        <v>317</v>
      </c>
    </row>
    <row r="51" spans="7:14">
      <c r="G51">
        <v>1001</v>
      </c>
      <c r="H51" t="s">
        <v>329</v>
      </c>
      <c r="I51" t="s">
        <v>318</v>
      </c>
      <c r="J51" t="s">
        <v>319</v>
      </c>
      <c r="K51" s="26">
        <v>30</v>
      </c>
      <c r="M51" s="57" t="s">
        <v>327</v>
      </c>
    </row>
    <row r="52" spans="7:14">
      <c r="G52">
        <v>1002</v>
      </c>
      <c r="H52" t="s">
        <v>330</v>
      </c>
      <c r="I52" t="s">
        <v>321</v>
      </c>
      <c r="J52" t="s">
        <v>322</v>
      </c>
      <c r="K52" s="26">
        <v>24</v>
      </c>
      <c r="M52" s="58">
        <v>1010</v>
      </c>
    </row>
    <row r="53" spans="7:14">
      <c r="G53">
        <v>1003</v>
      </c>
      <c r="H53" t="s">
        <v>331</v>
      </c>
      <c r="I53" t="s">
        <v>320</v>
      </c>
      <c r="J53" t="s">
        <v>323</v>
      </c>
      <c r="K53" s="26">
        <v>54</v>
      </c>
      <c r="L53" s="55" t="s">
        <v>315</v>
      </c>
      <c r="M53" s="5" t="str">
        <f>IFERROR(VLOOKUP($M$52,$G$50:$K$60,MATCH($L53,$G$50:$K$50,0),0),VLOOKUP($M$52,$H$50:$K$60,MATCH($L53,$H$50:$K$50,0),0))</f>
        <v>Tigerbalm</v>
      </c>
    </row>
    <row r="54" spans="7:14">
      <c r="G54">
        <v>1004</v>
      </c>
      <c r="H54" t="s">
        <v>332</v>
      </c>
      <c r="I54" t="s">
        <v>318</v>
      </c>
      <c r="J54" t="s">
        <v>324</v>
      </c>
      <c r="K54" s="26">
        <v>38</v>
      </c>
      <c r="L54" s="55" t="s">
        <v>316</v>
      </c>
      <c r="M54" s="5" t="str">
        <f t="shared" ref="M54:M55" si="6">IFERROR(VLOOKUP($M$52,$G$50:$K$60,MATCH($L54,$G$50:$K$50,0),0),VLOOKUP($M$52,$H$50:$K$60,MATCH($L54,$H$50:$K$50,0),0))</f>
        <v>West City</v>
      </c>
    </row>
    <row r="55" spans="7:14">
      <c r="G55">
        <v>1005</v>
      </c>
      <c r="H55" t="s">
        <v>333</v>
      </c>
      <c r="I55" t="s">
        <v>321</v>
      </c>
      <c r="J55" t="s">
        <v>322</v>
      </c>
      <c r="K55" s="26">
        <v>47</v>
      </c>
      <c r="L55" s="56" t="s">
        <v>317</v>
      </c>
      <c r="M55" s="5">
        <f t="shared" si="6"/>
        <v>58</v>
      </c>
    </row>
    <row r="56" spans="7:14">
      <c r="G56">
        <v>1006</v>
      </c>
      <c r="H56" t="s">
        <v>334</v>
      </c>
      <c r="I56" t="s">
        <v>320</v>
      </c>
      <c r="J56" t="s">
        <v>324</v>
      </c>
      <c r="K56" s="26">
        <v>40</v>
      </c>
    </row>
    <row r="57" spans="7:14">
      <c r="G57">
        <v>1007</v>
      </c>
      <c r="H57" t="s">
        <v>335</v>
      </c>
      <c r="I57" t="s">
        <v>325</v>
      </c>
      <c r="J57" t="s">
        <v>323</v>
      </c>
      <c r="K57" s="26">
        <v>42</v>
      </c>
    </row>
    <row r="58" spans="7:14">
      <c r="G58">
        <v>1008</v>
      </c>
      <c r="H58" t="s">
        <v>336</v>
      </c>
      <c r="I58" t="s">
        <v>325</v>
      </c>
      <c r="J58" t="s">
        <v>322</v>
      </c>
      <c r="K58" s="26">
        <v>36</v>
      </c>
    </row>
    <row r="59" spans="7:14">
      <c r="G59">
        <v>1009</v>
      </c>
      <c r="H59" t="s">
        <v>337</v>
      </c>
      <c r="I59" t="s">
        <v>321</v>
      </c>
      <c r="J59" t="s">
        <v>323</v>
      </c>
      <c r="K59" s="26">
        <v>54</v>
      </c>
    </row>
    <row r="60" spans="7:14">
      <c r="G60">
        <v>1010</v>
      </c>
      <c r="H60" t="s">
        <v>338</v>
      </c>
      <c r="I60" t="s">
        <v>321</v>
      </c>
      <c r="J60" s="26" t="s">
        <v>323</v>
      </c>
      <c r="K60" s="26">
        <v>58</v>
      </c>
    </row>
  </sheetData>
  <customSheetViews>
    <customSheetView guid="{D2E34B70-793B-4ED9-8524-A672A671A0FF}" scale="115" topLeftCell="E43">
      <selection activeCell="M53" sqref="M53"/>
      <pageMargins left="0" right="0" top="0" bottom="0" header="0" footer="0"/>
      <pageSetup orientation="portrait" r:id="rId1"/>
    </customSheetView>
  </customSheetViews>
  <mergeCells count="5">
    <mergeCell ref="G48:N49"/>
    <mergeCell ref="A1:J2"/>
    <mergeCell ref="L1:M2"/>
    <mergeCell ref="H21:L22"/>
    <mergeCell ref="G34:N35"/>
  </mergeCells>
  <dataValidations count="5">
    <dataValidation type="list" allowBlank="1" showInputMessage="1" showErrorMessage="1" sqref="J3 H19 M3" xr:uid="{00000000-0002-0000-0A00-000000000000}">
      <formula1>$A:$A</formula1>
    </dataValidation>
    <dataValidation type="list" allowBlank="1" showInputMessage="1" showErrorMessage="1" sqref="G32" xr:uid="{00000000-0002-0000-0A00-000001000000}">
      <formula1>$G$25:$G$29</formula1>
    </dataValidation>
    <dataValidation type="list" errorStyle="warning" allowBlank="1" showInputMessage="1" showErrorMessage="1" errorTitle="choose correct product" sqref="M38" xr:uid="{00000000-0002-0000-0A00-000002000000}">
      <formula1>"Iodex,Tigerbalm,Toothbrush,Zandubalm"</formula1>
    </dataValidation>
    <dataValidation type="list" allowBlank="1" showInputMessage="1" showErrorMessage="1" sqref="M51" xr:uid="{00000000-0002-0000-0A00-000003000000}">
      <formula1>$G$50:$H$50</formula1>
    </dataValidation>
    <dataValidation type="list" allowBlank="1" showInputMessage="1" showErrorMessage="1" sqref="M52" xr:uid="{00000000-0002-0000-0A00-000004000000}">
      <formula1>INDEX($G$51:$K$60,0,MATCH($M$51,$G$50:$H$50,0))</formula1>
    </dataValidation>
  </dataValidation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9"/>
  <sheetViews>
    <sheetView topLeftCell="A3" workbookViewId="0">
      <selection activeCell="I17" sqref="I17"/>
    </sheetView>
  </sheetViews>
  <sheetFormatPr defaultRowHeight="15"/>
  <cols>
    <col min="2" max="2" width="13.140625" bestFit="1" customWidth="1"/>
    <col min="6" max="6" width="12" bestFit="1" customWidth="1"/>
    <col min="10" max="10" width="12" bestFit="1" customWidth="1"/>
  </cols>
  <sheetData>
    <row r="1" spans="1:11">
      <c r="A1" s="142" t="s">
        <v>339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2" spans="1:11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</row>
    <row r="3" spans="1:11">
      <c r="A3" s="60" t="s">
        <v>32</v>
      </c>
      <c r="B3" s="61">
        <v>45565</v>
      </c>
      <c r="E3" s="5" t="s">
        <v>32</v>
      </c>
      <c r="F3" s="59">
        <v>45566</v>
      </c>
      <c r="I3" s="5" t="s">
        <v>32</v>
      </c>
      <c r="J3" s="59">
        <v>45567</v>
      </c>
    </row>
    <row r="4" spans="1:11">
      <c r="A4" s="54" t="s">
        <v>340</v>
      </c>
      <c r="B4" s="54" t="s">
        <v>58</v>
      </c>
      <c r="C4" s="54" t="s">
        <v>60</v>
      </c>
      <c r="E4" s="54" t="s">
        <v>340</v>
      </c>
      <c r="F4" s="54" t="s">
        <v>58</v>
      </c>
      <c r="G4" s="54" t="s">
        <v>60</v>
      </c>
      <c r="I4" s="54" t="s">
        <v>340</v>
      </c>
      <c r="J4" s="54" t="s">
        <v>58</v>
      </c>
      <c r="K4" s="54" t="s">
        <v>60</v>
      </c>
    </row>
    <row r="5" spans="1:11">
      <c r="A5">
        <v>1001</v>
      </c>
      <c r="B5" t="s">
        <v>341</v>
      </c>
      <c r="C5">
        <v>2</v>
      </c>
      <c r="E5">
        <v>1011</v>
      </c>
      <c r="F5" t="s">
        <v>342</v>
      </c>
      <c r="G5">
        <v>6</v>
      </c>
      <c r="I5">
        <v>1021</v>
      </c>
      <c r="J5" t="s">
        <v>343</v>
      </c>
      <c r="K5">
        <v>5</v>
      </c>
    </row>
    <row r="6" spans="1:11">
      <c r="A6">
        <v>1002</v>
      </c>
      <c r="B6" t="s">
        <v>344</v>
      </c>
      <c r="C6">
        <v>4</v>
      </c>
      <c r="E6">
        <v>1012</v>
      </c>
      <c r="F6" t="s">
        <v>345</v>
      </c>
      <c r="G6">
        <v>9</v>
      </c>
      <c r="I6">
        <v>1022</v>
      </c>
      <c r="J6" t="s">
        <v>346</v>
      </c>
      <c r="K6">
        <v>3</v>
      </c>
    </row>
    <row r="7" spans="1:11">
      <c r="A7">
        <v>1003</v>
      </c>
      <c r="B7" t="s">
        <v>318</v>
      </c>
      <c r="C7">
        <v>2</v>
      </c>
      <c r="E7">
        <v>1013</v>
      </c>
      <c r="F7" t="s">
        <v>318</v>
      </c>
      <c r="G7">
        <v>3</v>
      </c>
      <c r="I7">
        <v>1023</v>
      </c>
      <c r="J7" t="s">
        <v>347</v>
      </c>
      <c r="K7">
        <v>5</v>
      </c>
    </row>
    <row r="8" spans="1:11">
      <c r="A8">
        <v>1004</v>
      </c>
      <c r="B8" t="s">
        <v>348</v>
      </c>
      <c r="C8">
        <v>7</v>
      </c>
      <c r="E8">
        <v>1014</v>
      </c>
      <c r="F8" t="s">
        <v>349</v>
      </c>
      <c r="G8">
        <v>5</v>
      </c>
      <c r="I8">
        <v>1024</v>
      </c>
      <c r="J8" t="s">
        <v>350</v>
      </c>
      <c r="K8">
        <v>7</v>
      </c>
    </row>
    <row r="9" spans="1:11">
      <c r="A9">
        <v>1005</v>
      </c>
      <c r="B9" t="s">
        <v>349</v>
      </c>
      <c r="C9">
        <v>1</v>
      </c>
      <c r="E9">
        <v>1015</v>
      </c>
      <c r="F9" t="s">
        <v>351</v>
      </c>
      <c r="G9">
        <v>2</v>
      </c>
      <c r="I9">
        <v>1025</v>
      </c>
      <c r="J9" t="s">
        <v>352</v>
      </c>
      <c r="K9">
        <v>8</v>
      </c>
    </row>
    <row r="10" spans="1:11">
      <c r="A10">
        <v>1006</v>
      </c>
      <c r="B10" t="s">
        <v>353</v>
      </c>
      <c r="C10">
        <v>3</v>
      </c>
      <c r="E10">
        <v>1016</v>
      </c>
      <c r="F10" t="s">
        <v>353</v>
      </c>
      <c r="G10">
        <v>9</v>
      </c>
      <c r="I10">
        <v>1026</v>
      </c>
      <c r="J10" t="s">
        <v>351</v>
      </c>
      <c r="K10">
        <v>4</v>
      </c>
    </row>
    <row r="11" spans="1:11">
      <c r="A11">
        <v>1007</v>
      </c>
      <c r="B11" t="s">
        <v>354</v>
      </c>
      <c r="C11">
        <v>8</v>
      </c>
      <c r="E11">
        <v>1017</v>
      </c>
      <c r="F11" t="s">
        <v>352</v>
      </c>
      <c r="G11">
        <v>4</v>
      </c>
      <c r="I11">
        <v>1027</v>
      </c>
      <c r="J11" t="s">
        <v>355</v>
      </c>
      <c r="K11">
        <v>3</v>
      </c>
    </row>
    <row r="12" spans="1:11">
      <c r="A12">
        <v>1008</v>
      </c>
      <c r="B12" t="s">
        <v>345</v>
      </c>
      <c r="C12">
        <v>4</v>
      </c>
      <c r="E12">
        <v>1018</v>
      </c>
      <c r="F12" t="s">
        <v>356</v>
      </c>
      <c r="G12">
        <v>7</v>
      </c>
      <c r="I12">
        <v>1028</v>
      </c>
      <c r="J12" t="s">
        <v>357</v>
      </c>
      <c r="K12">
        <v>3</v>
      </c>
    </row>
    <row r="13" spans="1:11">
      <c r="A13">
        <v>1009</v>
      </c>
      <c r="B13" t="s">
        <v>357</v>
      </c>
      <c r="C13">
        <v>3</v>
      </c>
      <c r="E13">
        <v>1019</v>
      </c>
      <c r="F13" t="s">
        <v>357</v>
      </c>
      <c r="G13">
        <v>5</v>
      </c>
      <c r="I13">
        <v>1029</v>
      </c>
      <c r="J13" t="s">
        <v>348</v>
      </c>
      <c r="K13">
        <v>5</v>
      </c>
    </row>
    <row r="14" spans="1:11">
      <c r="A14">
        <v>1010</v>
      </c>
      <c r="B14" t="s">
        <v>351</v>
      </c>
      <c r="C14">
        <v>8</v>
      </c>
      <c r="E14">
        <v>1020</v>
      </c>
      <c r="F14" t="s">
        <v>348</v>
      </c>
      <c r="G14">
        <v>3</v>
      </c>
      <c r="I14">
        <v>1030</v>
      </c>
      <c r="J14" t="s">
        <v>358</v>
      </c>
      <c r="K14">
        <v>7</v>
      </c>
    </row>
    <row r="17" spans="5:6">
      <c r="E17" s="62" t="s">
        <v>340</v>
      </c>
      <c r="F17" s="114">
        <v>1030</v>
      </c>
    </row>
    <row r="18" spans="5:6">
      <c r="E18" s="62" t="s">
        <v>58</v>
      </c>
      <c r="F18" s="114" t="str">
        <f>VLOOKUP($F$17,IF($F$17&lt;=1010,$A$4:$C$14,IF($F$17&lt;=1020,$E$4:$G$14,$I$4:$K$14)),MATCH($E18,$A$4:$C$4,0),0)</f>
        <v>Toothpaste</v>
      </c>
    </row>
    <row r="19" spans="5:6">
      <c r="E19" s="54" t="s">
        <v>60</v>
      </c>
      <c r="F19" s="114">
        <f>VLOOKUP($F$17,IF($F$17&lt;=1010,$A$4:$C$14,IF($F$17&lt;=1020,$E$4:$G$14,$I$4:$K$14)),MATCH($E19,$A$4:$C$4,0),0)</f>
        <v>7</v>
      </c>
    </row>
  </sheetData>
  <customSheetViews>
    <customSheetView guid="{D2E34B70-793B-4ED9-8524-A672A671A0FF}" topLeftCell="A2">
      <selection activeCell="G13" sqref="G13"/>
      <pageMargins left="0" right="0" top="0" bottom="0" header="0" footer="0"/>
    </customSheetView>
  </customSheetViews>
  <mergeCells count="1">
    <mergeCell ref="A1: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01"/>
  <sheetViews>
    <sheetView workbookViewId="0">
      <selection activeCell="K1" sqref="K1"/>
    </sheetView>
  </sheetViews>
  <sheetFormatPr defaultRowHeight="15"/>
  <cols>
    <col min="1" max="1" width="17.85546875" style="26" customWidth="1"/>
    <col min="2" max="2" width="18" style="26" bestFit="1" customWidth="1"/>
    <col min="3" max="3" width="14.140625" style="26" customWidth="1"/>
    <col min="4" max="4" width="16.5703125" style="26" customWidth="1"/>
    <col min="5" max="5" width="19.85546875" style="26" customWidth="1"/>
    <col min="6" max="6" width="14" style="66" hidden="1" customWidth="1"/>
    <col min="7" max="7" width="15.5703125" style="26" customWidth="1"/>
    <col min="8" max="8" width="20.140625" style="26" customWidth="1"/>
    <col min="9" max="9" width="16.28515625" style="26" customWidth="1"/>
    <col min="10" max="10" width="15.5703125" bestFit="1" customWidth="1"/>
    <col min="11" max="11" width="20.140625" style="26" bestFit="1" customWidth="1"/>
    <col min="12" max="12" width="18.5703125" customWidth="1"/>
    <col min="13" max="13" width="15.5703125" bestFit="1" customWidth="1"/>
    <col min="14" max="14" width="12.7109375" bestFit="1" customWidth="1"/>
  </cols>
  <sheetData>
    <row r="1" spans="1:14">
      <c r="A1" s="104" t="s">
        <v>359</v>
      </c>
      <c r="B1" s="104" t="s">
        <v>1</v>
      </c>
      <c r="C1" s="104" t="s">
        <v>360</v>
      </c>
      <c r="D1" s="104" t="s">
        <v>361</v>
      </c>
      <c r="E1" s="104" t="s">
        <v>362</v>
      </c>
      <c r="F1" s="105" t="s">
        <v>363</v>
      </c>
      <c r="G1" s="104" t="s">
        <v>364</v>
      </c>
      <c r="H1" s="104" t="s">
        <v>365</v>
      </c>
      <c r="I1" s="106" t="s">
        <v>366</v>
      </c>
    </row>
    <row r="2" spans="1:14">
      <c r="A2" s="66">
        <v>684854613020983</v>
      </c>
      <c r="B2" s="26" t="s">
        <v>367</v>
      </c>
      <c r="C2" s="26" t="s">
        <v>368</v>
      </c>
      <c r="D2" s="26">
        <v>15633379</v>
      </c>
      <c r="E2" s="67">
        <v>43815</v>
      </c>
      <c r="F2" s="66">
        <v>91</v>
      </c>
      <c r="G2" s="68">
        <v>9583518243</v>
      </c>
      <c r="H2" s="69">
        <v>64891</v>
      </c>
      <c r="I2" s="26" t="str">
        <f>IF(F2=91,"India",IF(F2=1,"United Staes",IF(F2=7,"Russia",IF(F2=34,"Spain",IF(F2=45,"Denmark",IF(F2=33,"France",IF(F2=61,"Australia",IF(F2=49,"German",IF(F2=81,"Japan",IF(F2=55,"Brazil",IF(F2=44,"United Kindom",IF(F2=27,"South Africa",IF(F2=380,"Ukrain",IF(F2=48,"Poland",IF(F2=82,"South Korea",IF(F2=966,"Saudi Arabia",IF(F2=41,"Swizerland",IF(F2=975,"Bhutan",IF(F2=974,"Qatar",IF(F2=977,"Nepal",IF(F2=972,"Isreal",IF(F2=93,"Afghanistan",IF(F2=351,"Portugal",IF(F2=54,"Argentina",IF(F2=374,"Armrnia",IF(F2=64,"New Zealand",IF(F2=62,"Indonesia",IF(F2=39,"Italy",IF(F2=46,"Sweden",IF(F2=58,"Venezuela",IF(F2=57,"Colombia",IF(F2=63,"Philippines",IF(F2=850,"North Korea",IF(F2=976,"Mongolia","Not exist in this Nation"))))))))))))))))))))))))))))))))))</f>
        <v>India</v>
      </c>
      <c r="K2" s="108" t="s">
        <v>359</v>
      </c>
    </row>
    <row r="3" spans="1:14">
      <c r="A3" s="66">
        <v>312192816249982</v>
      </c>
      <c r="B3" s="26" t="s">
        <v>369</v>
      </c>
      <c r="C3" s="26" t="s">
        <v>370</v>
      </c>
      <c r="D3" s="26">
        <v>13697273</v>
      </c>
      <c r="E3" s="67">
        <v>44641</v>
      </c>
      <c r="F3" s="66">
        <v>91</v>
      </c>
      <c r="G3" s="68">
        <v>9650882171</v>
      </c>
      <c r="H3" s="69">
        <v>67492</v>
      </c>
      <c r="I3" s="26" t="str">
        <f t="shared" ref="I3:I66" si="0">IF(F3=91,"India",IF(F3=1,"United Staes",IF(F3=7,"Russia",IF(F3=34,"Spain",IF(F3=45,"Denmark",IF(F3=33,"France",IF(F3=61,"Australia",IF(F3=49,"German",IF(F3=81,"Japan",IF(F3=55,"Brazil",IF(F3=44,"United Kindom",IF(F3=27,"South Africa",IF(F3=380,"Ukrain",IF(F3=48,"Poland",IF(F3=82,"South Korea",IF(F3=966,"Saudi Arabia",IF(F3=41,"Swizerland",IF(F3=975,"Bhutan",IF(F3=974,"Qatar",IF(F3=977,"Nepal",IF(F3=972,"Isreal",IF(F3=93,"Afghanistan",IF(F3=351,"Portugal",IF(F3=54,"Argentina",IF(F3=374,"Armrnia",IF(F3=64,"New Zealand",IF(F3=62,"Indonesia",IF(F3=39,"Italy",IF(F3=46,"Sweden",IF(F3=58,"Venezuela",IF(F3=57,"Colombia",IF(F3=63,"Philippines",IF(F3=850,"North Korea",IF(F3=976,"Mongolia","Not exist in this Nation"))))))))))))))))))))))))))))))))))</f>
        <v>India</v>
      </c>
      <c r="K3" s="109">
        <v>9470925566</v>
      </c>
    </row>
    <row r="4" spans="1:14">
      <c r="A4" s="66">
        <v>592469086934245</v>
      </c>
      <c r="B4" s="26" t="s">
        <v>371</v>
      </c>
      <c r="C4" s="26" t="s">
        <v>372</v>
      </c>
      <c r="D4" s="26">
        <v>14390885</v>
      </c>
      <c r="E4" s="67">
        <v>42598</v>
      </c>
      <c r="F4" s="66">
        <v>91</v>
      </c>
      <c r="G4" s="68">
        <v>9274325193</v>
      </c>
      <c r="H4" s="69">
        <v>69833</v>
      </c>
      <c r="I4" s="26" t="str">
        <f t="shared" si="0"/>
        <v>India</v>
      </c>
      <c r="J4" s="107" t="s">
        <v>359</v>
      </c>
      <c r="K4" s="66">
        <f t="array" ref="K4">IFERROR(VLOOKUP($K$3,Table24[#All],MATCH($J4,Table24[#Headers],0),0),VLOOKUP($K$3,CHOOSE({1,2,3,4,5,6,7,8,9},Table24[[#All],[Phone No.]],Table24[[#All],[Account No.]],Table24[[#All],[Name]],Table24[[#All],[IFSC Code]],Table24[[#All],[Customer Id]],Table24[[#All],[A/C open Date]],Table24[[#All],[No. Code]],Table24[[#All],[Account Balance]],Table24[[#All],[Nationality]]),ROW()-2,0))</f>
        <v>600384878210911</v>
      </c>
      <c r="L4" s="65"/>
      <c r="M4" s="111"/>
      <c r="N4" s="111"/>
    </row>
    <row r="5" spans="1:14">
      <c r="A5" s="66">
        <v>665558081702523</v>
      </c>
      <c r="B5" s="26" t="s">
        <v>373</v>
      </c>
      <c r="C5" s="26" t="s">
        <v>374</v>
      </c>
      <c r="D5" s="26">
        <v>14108301</v>
      </c>
      <c r="E5" s="67">
        <v>43924</v>
      </c>
      <c r="F5" s="66">
        <v>91</v>
      </c>
      <c r="G5" s="68">
        <v>9499837088</v>
      </c>
      <c r="H5" s="69">
        <v>82996</v>
      </c>
      <c r="I5" s="26" t="str">
        <f t="shared" si="0"/>
        <v>India</v>
      </c>
      <c r="J5" s="107" t="s">
        <v>1</v>
      </c>
      <c r="K5" s="66" t="str">
        <f t="array" ref="K5">IFERROR(VLOOKUP($K$3,Table24[#All],MATCH($J5,Table24[#Headers],0),0),VLOOKUP($K$3,CHOOSE({1,2,3,4,5,6,7,8,9},Table24[[#All],[Phone No.]],Table24[[#All],[Account No.]],Table24[[#All],[Name]],Table24[[#All],[IFSC Code]],Table24[[#All],[Customer Id]],Table24[[#All],[A/C open Date]],Table24[[#All],[No. Code]],Table24[[#All],[Account Balance]],Table24[[#All],[Nationality]]),ROW()-2,0))</f>
        <v>Taj Pal</v>
      </c>
      <c r="L5" s="65"/>
      <c r="M5" s="111"/>
      <c r="N5" s="111"/>
    </row>
    <row r="6" spans="1:14">
      <c r="A6" s="66">
        <v>529606325730995</v>
      </c>
      <c r="B6" s="26" t="s">
        <v>375</v>
      </c>
      <c r="C6" s="26" t="s">
        <v>376</v>
      </c>
      <c r="D6" s="26">
        <v>14031139</v>
      </c>
      <c r="E6" s="67">
        <v>43704</v>
      </c>
      <c r="F6" s="66">
        <v>91</v>
      </c>
      <c r="G6" s="68">
        <v>9900471462</v>
      </c>
      <c r="H6" s="69">
        <v>89674</v>
      </c>
      <c r="I6" s="26" t="str">
        <f t="shared" si="0"/>
        <v>India</v>
      </c>
      <c r="J6" s="107" t="s">
        <v>360</v>
      </c>
      <c r="K6" s="66" t="str">
        <f t="array" ref="K6">IFERROR(VLOOKUP($K$3,Table24[#All],MATCH($J6,Table24[#Headers],0),0),VLOOKUP($K$3,CHOOSE({1,2,3,4,5,6,7,8,9},Table24[[#All],[Phone No.]],Table24[[#All],[Account No.]],Table24[[#All],[Name]],Table24[[#All],[IFSC Code]],Table24[[#All],[Customer Id]],Table24[[#All],[A/C open Date]],Table24[[#All],[No. Code]],Table24[[#All],[Account Balance]],Table24[[#All],[Nationality]]),ROW()-2,0))</f>
        <v>ABI3030</v>
      </c>
      <c r="L6" s="65"/>
      <c r="M6" s="111"/>
      <c r="N6" s="111"/>
    </row>
    <row r="7" spans="1:14">
      <c r="A7" s="66">
        <v>671597281912738</v>
      </c>
      <c r="B7" s="26" t="s">
        <v>377</v>
      </c>
      <c r="C7" s="26" t="s">
        <v>378</v>
      </c>
      <c r="D7" s="26">
        <v>13767861</v>
      </c>
      <c r="E7" s="67">
        <v>43179</v>
      </c>
      <c r="F7" s="66">
        <v>91</v>
      </c>
      <c r="G7" s="68">
        <v>9957757502</v>
      </c>
      <c r="H7" s="69">
        <v>51312</v>
      </c>
      <c r="I7" s="26" t="str">
        <f t="shared" si="0"/>
        <v>India</v>
      </c>
      <c r="J7" s="107" t="s">
        <v>361</v>
      </c>
      <c r="K7" s="66">
        <f t="array" ref="K7">IFERROR(VLOOKUP($K$3,Table24[#All],MATCH($J7,Table24[#Headers],0),0),VLOOKUP($K$3,CHOOSE({1,2,3,4,5,6,7,8,9},Table24[[#All],[Phone No.]],Table24[[#All],[Account No.]],Table24[[#All],[Name]],Table24[[#All],[IFSC Code]],Table24[[#All],[Customer Id]],Table24[[#All],[A/C open Date]],Table24[[#All],[No. Code]],Table24[[#All],[Account Balance]],Table24[[#All],[Nationality]]),ROW()-2,0))</f>
        <v>13654354</v>
      </c>
      <c r="L7" s="111"/>
      <c r="M7" s="111"/>
      <c r="N7" s="111"/>
    </row>
    <row r="8" spans="1:14">
      <c r="A8" s="66">
        <v>771342004086235</v>
      </c>
      <c r="B8" s="26" t="s">
        <v>379</v>
      </c>
      <c r="C8" s="26" t="s">
        <v>380</v>
      </c>
      <c r="D8" s="26">
        <v>15065222</v>
      </c>
      <c r="E8" s="67">
        <v>43582</v>
      </c>
      <c r="F8" s="66">
        <v>91</v>
      </c>
      <c r="G8" s="68">
        <v>9801587468</v>
      </c>
      <c r="H8" s="69">
        <v>92235</v>
      </c>
      <c r="I8" s="26" t="str">
        <f t="shared" si="0"/>
        <v>India</v>
      </c>
      <c r="J8" s="107" t="s">
        <v>362</v>
      </c>
      <c r="K8" s="113">
        <f t="array" ref="K8">IFERROR(VLOOKUP($K$3,Table24[#All],MATCH($J8,Table24[#Headers],0),0),VLOOKUP($K$3,CHOOSE({1,2,3,4,5,6,7,8,9},Table24[[#All],[Phone No.]],Table24[[#All],[Account No.]],Table24[[#All],[Name]],Table24[[#All],[IFSC Code]],Table24[[#All],[Customer Id]],Table24[[#All],[A/C open Date]],Table24[[#All],[No. Code]],Table24[[#All],[Account Balance]],Table24[[#All],[Nationality]]),ROW()-2,0))</f>
        <v>45341</v>
      </c>
      <c r="L8" s="111"/>
      <c r="M8" s="111"/>
      <c r="N8" s="111"/>
    </row>
    <row r="9" spans="1:14">
      <c r="A9" s="66">
        <v>600384878210911</v>
      </c>
      <c r="B9" s="26" t="s">
        <v>381</v>
      </c>
      <c r="C9" s="26" t="s">
        <v>382</v>
      </c>
      <c r="D9" s="26">
        <v>13654354</v>
      </c>
      <c r="E9" s="67">
        <v>45341</v>
      </c>
      <c r="F9" s="66">
        <v>91</v>
      </c>
      <c r="G9" s="68">
        <v>9470925566</v>
      </c>
      <c r="H9" s="69">
        <v>32024</v>
      </c>
      <c r="I9" s="26" t="str">
        <f t="shared" si="0"/>
        <v>India</v>
      </c>
      <c r="J9" s="107" t="s">
        <v>363</v>
      </c>
      <c r="K9" s="66">
        <f t="array" ref="K9">IFERROR(VLOOKUP($K$3,Table24[#All],MATCH($J9,Table24[#Headers],0),0),VLOOKUP($K$3,CHOOSE({1,2,3,4,5,6,7,8,9},Table24[[#All],[Phone No.]],Table24[[#All],[Account No.]],Table24[[#All],[Name]],Table24[[#All],[IFSC Code]],Table24[[#All],[Customer Id]],Table24[[#All],[A/C open Date]],Table24[[#All],[No. Code]],Table24[[#All],[Account Balance]],Table24[[#All],[Nationality]]),ROW()-2,0))</f>
        <v>91</v>
      </c>
      <c r="L9" s="111"/>
      <c r="M9" s="111"/>
      <c r="N9" s="111"/>
    </row>
    <row r="10" spans="1:14">
      <c r="A10" s="66">
        <v>160601338343158</v>
      </c>
      <c r="B10" s="26" t="s">
        <v>383</v>
      </c>
      <c r="C10" s="26" t="s">
        <v>384</v>
      </c>
      <c r="D10" s="26">
        <v>14697304</v>
      </c>
      <c r="E10" s="67">
        <v>44679</v>
      </c>
      <c r="F10" s="66">
        <v>91</v>
      </c>
      <c r="G10" s="68">
        <v>9832109063</v>
      </c>
      <c r="H10" s="69">
        <v>92614</v>
      </c>
      <c r="I10" s="26" t="str">
        <f t="shared" si="0"/>
        <v>India</v>
      </c>
      <c r="J10" s="107" t="s">
        <v>364</v>
      </c>
      <c r="K10" s="66">
        <f t="array" ref="K10">IFERROR(VLOOKUP($K$3,Table24[#All],MATCH($J10,Table24[#Headers],0),0),VLOOKUP($K$3,CHOOSE({1,2,3,4,5,6,7,8,9},Table24[[#All],[Phone No.]],Table24[[#All],[Account No.]],Table24[[#All],[Name]],Table24[[#All],[IFSC Code]],Table24[[#All],[Customer Id]],Table24[[#All],[A/C open Date]],Table24[[#All],[No. Code]],Table24[[#All],[Account Balance]],Table24[[#All],[Nationality]]),1,0))</f>
        <v>9470925566</v>
      </c>
      <c r="L10" s="111"/>
      <c r="M10" s="111"/>
      <c r="N10" s="111"/>
    </row>
    <row r="11" spans="1:14">
      <c r="A11" s="66">
        <v>594157466642130</v>
      </c>
      <c r="B11" s="26" t="s">
        <v>385</v>
      </c>
      <c r="C11" s="26" t="s">
        <v>386</v>
      </c>
      <c r="D11" s="26">
        <v>14755921</v>
      </c>
      <c r="E11" s="67">
        <v>42596</v>
      </c>
      <c r="F11" s="66">
        <v>91</v>
      </c>
      <c r="G11" s="68">
        <v>9353366248</v>
      </c>
      <c r="H11" s="69">
        <v>15406</v>
      </c>
      <c r="I11" s="26" t="str">
        <f t="shared" si="0"/>
        <v>India</v>
      </c>
      <c r="J11" s="107" t="s">
        <v>365</v>
      </c>
      <c r="K11" s="112">
        <f t="array" ref="K11">IFERROR(VLOOKUP($K$3,Table24[#All],MATCH($J11,Table24[#Headers],0),0),VLOOKUP($K$3,CHOOSE({1,2,3,4,5,6,7,8,9},Table24[[#All],[Phone No.]],Table24[[#All],[Account No.]],Table24[[#All],[Name]],Table24[[#All],[IFSC Code]],Table24[[#All],[Customer Id]],Table24[[#All],[A/C open Date]],Table24[[#All],[No. Code]],Table24[[#All],[Account Balance]],Table24[[#All],[Nationality]]),ROW()-3,0))</f>
        <v>32024</v>
      </c>
      <c r="L11" s="111"/>
      <c r="M11" s="111"/>
      <c r="N11" s="111"/>
    </row>
    <row r="12" spans="1:14">
      <c r="A12" s="66">
        <v>287105317477148</v>
      </c>
      <c r="B12" s="26" t="s">
        <v>387</v>
      </c>
      <c r="C12" s="26" t="s">
        <v>388</v>
      </c>
      <c r="D12" s="26">
        <v>14183310</v>
      </c>
      <c r="E12" s="67">
        <v>45228</v>
      </c>
      <c r="F12" s="66">
        <v>91</v>
      </c>
      <c r="G12" s="68">
        <v>9681731416</v>
      </c>
      <c r="H12" s="69">
        <v>70722</v>
      </c>
      <c r="I12" s="26" t="str">
        <f t="shared" si="0"/>
        <v>India</v>
      </c>
      <c r="J12" s="107" t="s">
        <v>366</v>
      </c>
      <c r="K12" s="66" t="str">
        <f t="array" ref="K12">IFERROR(VLOOKUP($K$3,Table24[#All],MATCH($J12,Table24[#Headers],0),0),VLOOKUP($K$3,CHOOSE({1,2,3,4,5,6,7,8,9},Table24[[#All],[Phone No.]],Table24[[#All],[Account No.]],Table24[[#All],[Name]],Table24[[#All],[IFSC Code]],Table24[[#All],[Customer Id]],Table24[[#All],[A/C open Date]],Table24[[#All],[No. Code]],Table24[[#All],[Account Balance]],Table24[[#All],[Nationality]]),ROW()-3,0))</f>
        <v>India</v>
      </c>
      <c r="L12" s="111"/>
      <c r="M12" s="111"/>
      <c r="N12" s="111"/>
    </row>
    <row r="13" spans="1:14">
      <c r="A13" s="66">
        <v>787748411717474</v>
      </c>
      <c r="B13" s="26" t="s">
        <v>389</v>
      </c>
      <c r="C13" s="26" t="s">
        <v>390</v>
      </c>
      <c r="D13" s="26">
        <v>15165567</v>
      </c>
      <c r="E13" s="67">
        <v>42919</v>
      </c>
      <c r="F13" s="66">
        <v>91</v>
      </c>
      <c r="G13" s="68">
        <v>9179954964</v>
      </c>
      <c r="H13" s="69">
        <v>90471</v>
      </c>
      <c r="I13" s="26" t="str">
        <f t="shared" si="0"/>
        <v>India</v>
      </c>
      <c r="L13" s="111"/>
      <c r="M13" s="111"/>
      <c r="N13" s="111"/>
    </row>
    <row r="14" spans="1:14">
      <c r="A14" s="66">
        <v>763458971638737</v>
      </c>
      <c r="B14" s="26" t="s">
        <v>391</v>
      </c>
      <c r="C14" s="26" t="s">
        <v>392</v>
      </c>
      <c r="D14" s="26">
        <v>15115776</v>
      </c>
      <c r="E14" s="67">
        <v>45279</v>
      </c>
      <c r="F14" s="66">
        <v>91</v>
      </c>
      <c r="G14" s="68">
        <v>9938253112</v>
      </c>
      <c r="H14" s="69">
        <v>8649</v>
      </c>
      <c r="I14" s="26" t="str">
        <f t="shared" si="0"/>
        <v>India</v>
      </c>
      <c r="L14" s="111"/>
      <c r="M14" s="111"/>
      <c r="N14" s="111"/>
    </row>
    <row r="15" spans="1:14">
      <c r="A15" s="66">
        <v>318191840280056</v>
      </c>
      <c r="B15" s="26" t="s">
        <v>393</v>
      </c>
      <c r="C15" s="26" t="s">
        <v>394</v>
      </c>
      <c r="D15" s="26">
        <v>13754374</v>
      </c>
      <c r="E15" s="67">
        <v>43945</v>
      </c>
      <c r="F15" s="66">
        <v>91</v>
      </c>
      <c r="G15" s="68">
        <v>9447794116</v>
      </c>
      <c r="H15" s="69">
        <v>74861</v>
      </c>
      <c r="I15" s="26" t="str">
        <f t="shared" si="0"/>
        <v>India</v>
      </c>
      <c r="L15" s="111"/>
      <c r="M15" s="111"/>
      <c r="N15" s="111"/>
    </row>
    <row r="16" spans="1:14">
      <c r="A16" s="66">
        <v>580977965243922</v>
      </c>
      <c r="B16" s="26" t="s">
        <v>395</v>
      </c>
      <c r="C16" s="26" t="s">
        <v>396</v>
      </c>
      <c r="D16" s="26">
        <v>15502447</v>
      </c>
      <c r="E16" s="67">
        <v>45231</v>
      </c>
      <c r="F16" s="66">
        <v>91</v>
      </c>
      <c r="G16" s="68">
        <v>9859874524</v>
      </c>
      <c r="H16" s="69">
        <v>98851</v>
      </c>
      <c r="I16" s="26" t="str">
        <f t="shared" si="0"/>
        <v>India</v>
      </c>
      <c r="L16" s="111"/>
      <c r="M16" s="111"/>
      <c r="N16" s="111"/>
    </row>
    <row r="17" spans="1:14">
      <c r="A17" s="66">
        <v>425147226825317</v>
      </c>
      <c r="B17" s="26" t="s">
        <v>397</v>
      </c>
      <c r="C17" s="26" t="s">
        <v>398</v>
      </c>
      <c r="D17" s="26">
        <v>15223037</v>
      </c>
      <c r="E17" s="67">
        <v>44019</v>
      </c>
      <c r="F17" s="66">
        <v>91</v>
      </c>
      <c r="G17" s="68">
        <v>9431075203</v>
      </c>
      <c r="H17" s="69">
        <v>83129</v>
      </c>
      <c r="I17" s="26" t="str">
        <f t="shared" si="0"/>
        <v>India</v>
      </c>
      <c r="L17" s="111"/>
      <c r="M17" s="111"/>
      <c r="N17" s="111"/>
    </row>
    <row r="18" spans="1:14">
      <c r="A18" s="66">
        <v>547738492633233</v>
      </c>
      <c r="B18" s="26" t="s">
        <v>399</v>
      </c>
      <c r="C18" s="26" t="s">
        <v>400</v>
      </c>
      <c r="D18" s="26">
        <v>15263488</v>
      </c>
      <c r="E18" s="67">
        <v>45402</v>
      </c>
      <c r="F18" s="66">
        <v>91</v>
      </c>
      <c r="G18" s="68">
        <v>9669000718</v>
      </c>
      <c r="H18" s="69">
        <v>80785</v>
      </c>
      <c r="I18" s="26" t="str">
        <f t="shared" si="0"/>
        <v>India</v>
      </c>
      <c r="L18" s="111"/>
      <c r="M18" s="111"/>
      <c r="N18" s="111"/>
    </row>
    <row r="19" spans="1:14">
      <c r="A19" s="66">
        <v>543267984637154</v>
      </c>
      <c r="B19" s="26" t="s">
        <v>401</v>
      </c>
      <c r="C19" s="26" t="s">
        <v>402</v>
      </c>
      <c r="D19" s="26">
        <v>14376945</v>
      </c>
      <c r="E19" s="67">
        <v>42446</v>
      </c>
      <c r="F19" s="66">
        <v>91</v>
      </c>
      <c r="G19" s="68">
        <v>9278881679</v>
      </c>
      <c r="H19" s="69">
        <v>13961</v>
      </c>
      <c r="I19" s="26" t="str">
        <f t="shared" si="0"/>
        <v>India</v>
      </c>
      <c r="L19" s="111"/>
      <c r="M19" s="111"/>
      <c r="N19" s="111"/>
    </row>
    <row r="20" spans="1:14">
      <c r="A20" s="66">
        <v>286692151041850</v>
      </c>
      <c r="B20" s="26" t="s">
        <v>403</v>
      </c>
      <c r="C20" s="26" t="s">
        <v>404</v>
      </c>
      <c r="D20" s="26">
        <v>13337888</v>
      </c>
      <c r="E20" s="67">
        <v>45071</v>
      </c>
      <c r="F20" s="66">
        <v>91</v>
      </c>
      <c r="G20" s="68">
        <v>9586718366</v>
      </c>
      <c r="H20" s="69">
        <v>41468</v>
      </c>
      <c r="I20" s="26" t="str">
        <f t="shared" si="0"/>
        <v>India</v>
      </c>
      <c r="L20" s="111"/>
      <c r="M20" s="111"/>
      <c r="N20" s="111"/>
    </row>
    <row r="21" spans="1:14">
      <c r="A21" s="66">
        <v>467841268520274</v>
      </c>
      <c r="B21" s="26" t="s">
        <v>405</v>
      </c>
      <c r="C21" s="26" t="s">
        <v>406</v>
      </c>
      <c r="D21" s="26">
        <v>14621140</v>
      </c>
      <c r="E21" s="67">
        <v>42925</v>
      </c>
      <c r="F21" s="66">
        <v>91</v>
      </c>
      <c r="G21" s="68">
        <v>9361887417</v>
      </c>
      <c r="H21" s="69">
        <v>78157</v>
      </c>
      <c r="I21" s="26" t="str">
        <f t="shared" si="0"/>
        <v>India</v>
      </c>
      <c r="L21" s="111"/>
      <c r="M21" s="111"/>
      <c r="N21" s="111"/>
    </row>
    <row r="22" spans="1:14">
      <c r="A22" s="66">
        <v>121911566392912</v>
      </c>
      <c r="B22" s="26" t="s">
        <v>407</v>
      </c>
      <c r="C22" s="26" t="s">
        <v>408</v>
      </c>
      <c r="D22" s="26">
        <v>13217113</v>
      </c>
      <c r="E22" s="67">
        <v>43585</v>
      </c>
      <c r="F22" s="66">
        <v>91</v>
      </c>
      <c r="G22" s="68">
        <v>9678309414</v>
      </c>
      <c r="H22" s="69">
        <v>65860</v>
      </c>
      <c r="I22" s="26" t="str">
        <f t="shared" si="0"/>
        <v>India</v>
      </c>
      <c r="L22" s="111"/>
      <c r="M22" s="111"/>
      <c r="N22" s="111"/>
    </row>
    <row r="23" spans="1:14">
      <c r="A23" s="66">
        <v>651835377569835</v>
      </c>
      <c r="B23" s="26" t="s">
        <v>409</v>
      </c>
      <c r="C23" s="26" t="s">
        <v>410</v>
      </c>
      <c r="D23" s="26">
        <v>14865829</v>
      </c>
      <c r="E23" s="67">
        <v>43431</v>
      </c>
      <c r="F23" s="66">
        <v>91</v>
      </c>
      <c r="G23" s="68">
        <v>9533271673</v>
      </c>
      <c r="H23" s="69">
        <v>34726</v>
      </c>
      <c r="I23" s="26" t="str">
        <f t="shared" si="0"/>
        <v>India</v>
      </c>
    </row>
    <row r="24" spans="1:14">
      <c r="A24" s="66">
        <v>681599344556441</v>
      </c>
      <c r="B24" s="26" t="s">
        <v>411</v>
      </c>
      <c r="C24" s="26" t="s">
        <v>412</v>
      </c>
      <c r="D24" s="26">
        <v>15727643</v>
      </c>
      <c r="E24" s="67">
        <v>45317</v>
      </c>
      <c r="F24" s="66">
        <v>91</v>
      </c>
      <c r="G24" s="68">
        <v>9835239528</v>
      </c>
      <c r="H24" s="69">
        <v>54863</v>
      </c>
      <c r="I24" s="26" t="str">
        <f t="shared" si="0"/>
        <v>India</v>
      </c>
    </row>
    <row r="25" spans="1:14">
      <c r="A25" s="66">
        <v>670941519519666</v>
      </c>
      <c r="B25" s="26" t="s">
        <v>413</v>
      </c>
      <c r="C25" s="26" t="s">
        <v>414</v>
      </c>
      <c r="D25" s="26">
        <v>13378677</v>
      </c>
      <c r="E25" s="67">
        <v>42435</v>
      </c>
      <c r="F25" s="66">
        <v>91</v>
      </c>
      <c r="G25" s="68">
        <v>9483271007</v>
      </c>
      <c r="H25" s="69">
        <v>48295</v>
      </c>
      <c r="I25" s="26" t="str">
        <f t="shared" si="0"/>
        <v>India</v>
      </c>
    </row>
    <row r="26" spans="1:14">
      <c r="A26" s="66">
        <v>765092755115406</v>
      </c>
      <c r="B26" s="26" t="s">
        <v>415</v>
      </c>
      <c r="C26" s="26" t="s">
        <v>416</v>
      </c>
      <c r="D26" s="26">
        <v>13768373</v>
      </c>
      <c r="E26" s="67">
        <v>43981</v>
      </c>
      <c r="F26" s="66">
        <v>91</v>
      </c>
      <c r="G26" s="68">
        <v>9279973418</v>
      </c>
      <c r="H26" s="69">
        <v>83961</v>
      </c>
      <c r="I26" s="26" t="str">
        <f t="shared" si="0"/>
        <v>India</v>
      </c>
    </row>
    <row r="27" spans="1:14">
      <c r="A27" s="66">
        <v>650983779034660</v>
      </c>
      <c r="B27" s="26" t="s">
        <v>417</v>
      </c>
      <c r="C27" s="26" t="s">
        <v>418</v>
      </c>
      <c r="D27" s="26">
        <v>13726892</v>
      </c>
      <c r="E27" s="67">
        <v>45449</v>
      </c>
      <c r="F27" s="66">
        <v>91</v>
      </c>
      <c r="G27" s="68">
        <v>9211962905</v>
      </c>
      <c r="H27" s="69">
        <v>72584</v>
      </c>
      <c r="I27" s="26" t="str">
        <f t="shared" si="0"/>
        <v>India</v>
      </c>
    </row>
    <row r="28" spans="1:14">
      <c r="A28" s="66">
        <v>470473608269785</v>
      </c>
      <c r="B28" s="26" t="s">
        <v>419</v>
      </c>
      <c r="C28" s="26" t="s">
        <v>420</v>
      </c>
      <c r="D28" s="26">
        <v>13615453</v>
      </c>
      <c r="E28" s="67">
        <v>45336</v>
      </c>
      <c r="F28" s="66">
        <v>91</v>
      </c>
      <c r="G28" s="68">
        <v>9738432486</v>
      </c>
      <c r="H28" s="69">
        <v>54778</v>
      </c>
      <c r="I28" s="26" t="str">
        <f t="shared" si="0"/>
        <v>India</v>
      </c>
    </row>
    <row r="29" spans="1:14">
      <c r="A29" s="66">
        <v>682031115573009</v>
      </c>
      <c r="B29" s="26" t="s">
        <v>421</v>
      </c>
      <c r="C29" s="26" t="s">
        <v>422</v>
      </c>
      <c r="D29" s="26">
        <v>14417174</v>
      </c>
      <c r="E29" s="67">
        <v>42563</v>
      </c>
      <c r="F29" s="66">
        <v>91</v>
      </c>
      <c r="G29" s="68">
        <v>9837619396</v>
      </c>
      <c r="H29" s="69">
        <v>67135</v>
      </c>
      <c r="I29" s="26" t="str">
        <f t="shared" si="0"/>
        <v>India</v>
      </c>
    </row>
    <row r="30" spans="1:14">
      <c r="A30" s="66">
        <v>505631858741819</v>
      </c>
      <c r="B30" s="26" t="s">
        <v>423</v>
      </c>
      <c r="C30" s="26" t="s">
        <v>424</v>
      </c>
      <c r="D30" s="26">
        <v>14821736</v>
      </c>
      <c r="E30" s="67">
        <v>44188</v>
      </c>
      <c r="F30" s="66">
        <v>91</v>
      </c>
      <c r="G30" s="68">
        <v>9608237993</v>
      </c>
      <c r="H30" s="69">
        <v>29745</v>
      </c>
      <c r="I30" s="26" t="str">
        <f t="shared" si="0"/>
        <v>India</v>
      </c>
    </row>
    <row r="31" spans="1:14">
      <c r="A31" s="66">
        <v>695939186400199</v>
      </c>
      <c r="B31" s="26" t="s">
        <v>425</v>
      </c>
      <c r="C31" s="26" t="s">
        <v>426</v>
      </c>
      <c r="D31" s="26">
        <v>15475650</v>
      </c>
      <c r="E31" s="67">
        <v>43385</v>
      </c>
      <c r="F31" s="66">
        <v>91</v>
      </c>
      <c r="G31" s="68">
        <v>9273722251</v>
      </c>
      <c r="H31" s="69">
        <v>49447</v>
      </c>
      <c r="I31" s="26" t="str">
        <f t="shared" si="0"/>
        <v>India</v>
      </c>
    </row>
    <row r="32" spans="1:14">
      <c r="A32" s="66">
        <v>657081419015200</v>
      </c>
      <c r="B32" s="26" t="s">
        <v>427</v>
      </c>
      <c r="C32" s="26" t="s">
        <v>428</v>
      </c>
      <c r="D32" s="26">
        <v>14493394</v>
      </c>
      <c r="E32" s="67">
        <v>45082</v>
      </c>
      <c r="F32" s="66">
        <v>91</v>
      </c>
      <c r="G32" s="68">
        <v>9733422909</v>
      </c>
      <c r="H32" s="69">
        <v>50604</v>
      </c>
      <c r="I32" s="26" t="str">
        <f t="shared" si="0"/>
        <v>India</v>
      </c>
    </row>
    <row r="33" spans="1:9">
      <c r="A33" s="66">
        <v>421847457825712</v>
      </c>
      <c r="B33" s="26" t="s">
        <v>429</v>
      </c>
      <c r="C33" s="26" t="s">
        <v>430</v>
      </c>
      <c r="D33" s="26">
        <v>13260675</v>
      </c>
      <c r="E33" s="67">
        <v>43766</v>
      </c>
      <c r="F33" s="66">
        <v>1</v>
      </c>
      <c r="G33" s="70">
        <v>9284520716</v>
      </c>
      <c r="H33" s="69">
        <v>38872</v>
      </c>
      <c r="I33" s="26" t="str">
        <f t="shared" si="0"/>
        <v>United Staes</v>
      </c>
    </row>
    <row r="34" spans="1:9">
      <c r="A34" s="66">
        <v>325351818933352</v>
      </c>
      <c r="B34" s="26" t="s">
        <v>431</v>
      </c>
      <c r="C34" s="26" t="s">
        <v>432</v>
      </c>
      <c r="D34" s="26">
        <v>14180782</v>
      </c>
      <c r="E34" s="67">
        <v>44486</v>
      </c>
      <c r="F34" s="66">
        <v>1</v>
      </c>
      <c r="G34" s="70">
        <v>9403140483</v>
      </c>
      <c r="H34" s="69">
        <v>63647</v>
      </c>
      <c r="I34" s="26" t="str">
        <f t="shared" si="0"/>
        <v>United Staes</v>
      </c>
    </row>
    <row r="35" spans="1:9">
      <c r="A35" s="66">
        <v>217809155522571</v>
      </c>
      <c r="B35" s="26" t="s">
        <v>433</v>
      </c>
      <c r="C35" s="26" t="s">
        <v>434</v>
      </c>
      <c r="D35" s="26">
        <v>15134600</v>
      </c>
      <c r="E35" s="67">
        <v>44829</v>
      </c>
      <c r="F35" s="66">
        <v>1</v>
      </c>
      <c r="G35" s="70">
        <v>9919403104</v>
      </c>
      <c r="H35" s="69">
        <v>35921</v>
      </c>
      <c r="I35" s="26" t="str">
        <f t="shared" si="0"/>
        <v>United Staes</v>
      </c>
    </row>
    <row r="36" spans="1:9">
      <c r="A36" s="66">
        <v>499258633895844</v>
      </c>
      <c r="B36" s="26" t="s">
        <v>435</v>
      </c>
      <c r="C36" s="26" t="s">
        <v>436</v>
      </c>
      <c r="D36" s="26">
        <v>15702254</v>
      </c>
      <c r="E36" s="67">
        <v>42392</v>
      </c>
      <c r="F36" s="66">
        <v>1</v>
      </c>
      <c r="G36" s="70">
        <v>9764410736</v>
      </c>
      <c r="H36" s="69">
        <v>16585</v>
      </c>
      <c r="I36" s="26" t="str">
        <f t="shared" si="0"/>
        <v>United Staes</v>
      </c>
    </row>
    <row r="37" spans="1:9">
      <c r="A37" s="66">
        <v>189814617080476</v>
      </c>
      <c r="B37" s="26" t="s">
        <v>437</v>
      </c>
      <c r="C37" s="26" t="s">
        <v>438</v>
      </c>
      <c r="D37" s="26">
        <v>14070646</v>
      </c>
      <c r="E37" s="67">
        <v>45175</v>
      </c>
      <c r="F37" s="66">
        <v>1</v>
      </c>
      <c r="G37" s="70">
        <v>9445106998</v>
      </c>
      <c r="H37" s="69">
        <v>24143</v>
      </c>
      <c r="I37" s="26" t="str">
        <f t="shared" si="0"/>
        <v>United Staes</v>
      </c>
    </row>
    <row r="38" spans="1:9">
      <c r="A38" s="66">
        <v>315802527429999</v>
      </c>
      <c r="B38" s="26" t="s">
        <v>439</v>
      </c>
      <c r="C38" s="26" t="s">
        <v>440</v>
      </c>
      <c r="D38" s="26">
        <v>15412465</v>
      </c>
      <c r="E38" s="67">
        <v>43032</v>
      </c>
      <c r="F38" s="66">
        <v>45</v>
      </c>
      <c r="G38" s="71">
        <v>9271422736</v>
      </c>
      <c r="H38" s="69">
        <v>94379</v>
      </c>
      <c r="I38" s="26" t="str">
        <f t="shared" si="0"/>
        <v>Denmark</v>
      </c>
    </row>
    <row r="39" spans="1:9">
      <c r="A39" s="66">
        <v>635536985095724</v>
      </c>
      <c r="B39" s="26" t="s">
        <v>441</v>
      </c>
      <c r="C39" s="26" t="s">
        <v>442</v>
      </c>
      <c r="D39" s="26">
        <v>14358469</v>
      </c>
      <c r="E39" s="67">
        <v>44866</v>
      </c>
      <c r="F39" s="66">
        <v>45</v>
      </c>
      <c r="G39" s="71">
        <v>9380305761</v>
      </c>
      <c r="H39" s="69">
        <v>29367</v>
      </c>
      <c r="I39" s="26" t="str">
        <f t="shared" si="0"/>
        <v>Denmark</v>
      </c>
    </row>
    <row r="40" spans="1:9">
      <c r="A40" s="66">
        <v>487654599938919</v>
      </c>
      <c r="B40" s="26" t="s">
        <v>443</v>
      </c>
      <c r="C40" s="26" t="s">
        <v>444</v>
      </c>
      <c r="D40" s="26">
        <v>14871738</v>
      </c>
      <c r="E40" s="67">
        <v>44005</v>
      </c>
      <c r="F40" s="66">
        <v>45</v>
      </c>
      <c r="G40" s="71">
        <v>9279364277</v>
      </c>
      <c r="H40" s="69">
        <v>43038</v>
      </c>
      <c r="I40" s="26" t="str">
        <f t="shared" si="0"/>
        <v>Denmark</v>
      </c>
    </row>
    <row r="41" spans="1:9">
      <c r="A41" s="66">
        <v>347449879826430</v>
      </c>
      <c r="B41" s="26" t="s">
        <v>445</v>
      </c>
      <c r="C41" s="26" t="s">
        <v>446</v>
      </c>
      <c r="D41" s="26">
        <v>13719817</v>
      </c>
      <c r="E41" s="67">
        <v>45420</v>
      </c>
      <c r="F41" s="66">
        <v>45</v>
      </c>
      <c r="G41" s="71">
        <v>9192436481</v>
      </c>
      <c r="H41" s="69">
        <v>99305</v>
      </c>
      <c r="I41" s="26" t="str">
        <f t="shared" si="0"/>
        <v>Denmark</v>
      </c>
    </row>
    <row r="42" spans="1:9">
      <c r="A42" s="66">
        <v>302305593693722</v>
      </c>
      <c r="B42" s="26" t="s">
        <v>447</v>
      </c>
      <c r="C42" s="26" t="s">
        <v>448</v>
      </c>
      <c r="D42" s="26">
        <v>14098201</v>
      </c>
      <c r="E42" s="67">
        <v>42857</v>
      </c>
      <c r="F42" s="66">
        <v>45</v>
      </c>
      <c r="G42" s="71">
        <v>9323559038</v>
      </c>
      <c r="H42" s="69">
        <v>50085</v>
      </c>
      <c r="I42" s="26" t="str">
        <f t="shared" si="0"/>
        <v>Denmark</v>
      </c>
    </row>
    <row r="43" spans="1:9">
      <c r="A43" s="66">
        <v>578865680075345</v>
      </c>
      <c r="B43" s="26" t="s">
        <v>449</v>
      </c>
      <c r="C43" s="26" t="s">
        <v>450</v>
      </c>
      <c r="D43" s="26">
        <v>14052259</v>
      </c>
      <c r="E43" s="67">
        <v>42832</v>
      </c>
      <c r="F43" s="66">
        <v>45</v>
      </c>
      <c r="G43" s="71">
        <v>9539983570</v>
      </c>
      <c r="H43" s="69">
        <v>96821</v>
      </c>
      <c r="I43" s="26" t="str">
        <f t="shared" si="0"/>
        <v>Denmark</v>
      </c>
    </row>
    <row r="44" spans="1:9">
      <c r="A44" s="66">
        <v>291212036864626</v>
      </c>
      <c r="B44" s="26" t="s">
        <v>451</v>
      </c>
      <c r="C44" s="26" t="s">
        <v>452</v>
      </c>
      <c r="D44" s="26">
        <v>15366080</v>
      </c>
      <c r="E44" s="67">
        <v>44863</v>
      </c>
      <c r="F44" s="66">
        <v>45</v>
      </c>
      <c r="G44" s="71">
        <v>9756917776</v>
      </c>
      <c r="H44" s="69">
        <v>73327</v>
      </c>
      <c r="I44" s="26" t="str">
        <f t="shared" si="0"/>
        <v>Denmark</v>
      </c>
    </row>
    <row r="45" spans="1:9">
      <c r="A45" s="66">
        <v>157011298163960</v>
      </c>
      <c r="B45" s="26" t="s">
        <v>453</v>
      </c>
      <c r="C45" s="26" t="s">
        <v>454</v>
      </c>
      <c r="D45" s="26">
        <v>15751331</v>
      </c>
      <c r="E45" s="67">
        <v>44279</v>
      </c>
      <c r="F45" s="66">
        <v>45</v>
      </c>
      <c r="G45" s="71">
        <v>9744825170</v>
      </c>
      <c r="H45" s="69">
        <v>22315</v>
      </c>
      <c r="I45" s="26" t="str">
        <f t="shared" si="0"/>
        <v>Denmark</v>
      </c>
    </row>
    <row r="46" spans="1:9">
      <c r="A46" s="66">
        <v>526192203740406</v>
      </c>
      <c r="B46" s="26" t="s">
        <v>455</v>
      </c>
      <c r="C46" s="26" t="s">
        <v>456</v>
      </c>
      <c r="D46" s="26">
        <v>13483369</v>
      </c>
      <c r="E46" s="67">
        <v>42389</v>
      </c>
      <c r="F46" s="66">
        <v>1</v>
      </c>
      <c r="G46" s="70">
        <v>9270503916</v>
      </c>
      <c r="H46" s="69">
        <v>68503</v>
      </c>
      <c r="I46" s="26" t="str">
        <f t="shared" si="0"/>
        <v>United Staes</v>
      </c>
    </row>
    <row r="47" spans="1:9">
      <c r="A47" s="66">
        <v>304363860512092</v>
      </c>
      <c r="B47" s="26" t="s">
        <v>457</v>
      </c>
      <c r="C47" s="26" t="s">
        <v>458</v>
      </c>
      <c r="D47" s="26">
        <v>14808645</v>
      </c>
      <c r="E47" s="67">
        <v>45314</v>
      </c>
      <c r="F47" s="66">
        <v>1</v>
      </c>
      <c r="G47" s="70">
        <v>9149845360</v>
      </c>
      <c r="H47" s="69">
        <v>10689</v>
      </c>
      <c r="I47" s="26" t="str">
        <f t="shared" si="0"/>
        <v>United Staes</v>
      </c>
    </row>
    <row r="48" spans="1:9">
      <c r="A48" s="66">
        <v>248315490778613</v>
      </c>
      <c r="B48" s="26" t="s">
        <v>459</v>
      </c>
      <c r="C48" s="26" t="s">
        <v>460</v>
      </c>
      <c r="D48" s="26">
        <v>13546427</v>
      </c>
      <c r="E48" s="67">
        <v>43694</v>
      </c>
      <c r="F48" s="66">
        <v>1</v>
      </c>
      <c r="G48" s="70">
        <v>9382293592</v>
      </c>
      <c r="H48" s="69">
        <v>60608</v>
      </c>
      <c r="I48" s="26" t="str">
        <f t="shared" si="0"/>
        <v>United Staes</v>
      </c>
    </row>
    <row r="49" spans="1:9">
      <c r="A49" s="66">
        <v>494705401578880</v>
      </c>
      <c r="B49" s="26" t="s">
        <v>461</v>
      </c>
      <c r="C49" s="26" t="s">
        <v>462</v>
      </c>
      <c r="D49" s="26">
        <v>15443279</v>
      </c>
      <c r="E49" s="67">
        <v>44711</v>
      </c>
      <c r="F49" s="66">
        <v>1</v>
      </c>
      <c r="G49" s="70">
        <v>9862868549</v>
      </c>
      <c r="H49" s="69">
        <v>41360</v>
      </c>
      <c r="I49" s="26" t="str">
        <f t="shared" si="0"/>
        <v>United Staes</v>
      </c>
    </row>
    <row r="50" spans="1:9">
      <c r="A50" s="66">
        <v>569282456301015</v>
      </c>
      <c r="B50" s="26" t="s">
        <v>463</v>
      </c>
      <c r="C50" s="26" t="s">
        <v>464</v>
      </c>
      <c r="D50" s="26">
        <v>14191348</v>
      </c>
      <c r="E50" s="67">
        <v>43737</v>
      </c>
      <c r="F50" s="66">
        <v>1</v>
      </c>
      <c r="G50" s="70">
        <v>9633409100</v>
      </c>
      <c r="H50" s="69">
        <v>89012</v>
      </c>
      <c r="I50" s="26" t="str">
        <f t="shared" si="0"/>
        <v>United Staes</v>
      </c>
    </row>
    <row r="51" spans="1:9">
      <c r="A51" s="66">
        <v>569282456301016</v>
      </c>
      <c r="B51" s="26" t="s">
        <v>465</v>
      </c>
      <c r="C51" s="26" t="s">
        <v>466</v>
      </c>
      <c r="D51" s="26">
        <v>14155584</v>
      </c>
      <c r="E51" s="67">
        <v>44625</v>
      </c>
      <c r="F51" s="66">
        <v>1</v>
      </c>
      <c r="G51" s="70">
        <v>9904363358</v>
      </c>
      <c r="H51" s="69">
        <v>9414</v>
      </c>
      <c r="I51" s="26" t="str">
        <f t="shared" si="0"/>
        <v>United Staes</v>
      </c>
    </row>
    <row r="52" spans="1:9">
      <c r="A52" s="66">
        <v>569282456301017</v>
      </c>
      <c r="B52" s="26" t="s">
        <v>467</v>
      </c>
      <c r="C52" s="26" t="s">
        <v>468</v>
      </c>
      <c r="D52" s="26">
        <v>15065986</v>
      </c>
      <c r="E52" s="67">
        <v>44932</v>
      </c>
      <c r="F52" s="66">
        <v>1</v>
      </c>
      <c r="G52" s="70">
        <v>9605879292</v>
      </c>
      <c r="H52" s="69">
        <v>92984</v>
      </c>
      <c r="I52" s="26" t="str">
        <f t="shared" si="0"/>
        <v>United Staes</v>
      </c>
    </row>
    <row r="53" spans="1:9">
      <c r="A53" s="66">
        <v>569282456301018</v>
      </c>
      <c r="B53" s="26" t="s">
        <v>469</v>
      </c>
      <c r="C53" s="26" t="s">
        <v>470</v>
      </c>
      <c r="D53" s="26">
        <v>14819724</v>
      </c>
      <c r="E53" s="67">
        <v>45388</v>
      </c>
      <c r="F53" s="66">
        <v>1</v>
      </c>
      <c r="G53" s="70">
        <v>9915042685</v>
      </c>
      <c r="H53" s="69">
        <v>36615</v>
      </c>
      <c r="I53" s="26" t="str">
        <f t="shared" si="0"/>
        <v>United Staes</v>
      </c>
    </row>
    <row r="54" spans="1:9">
      <c r="A54" s="66">
        <v>569282456301019</v>
      </c>
      <c r="B54" s="26" t="s">
        <v>467</v>
      </c>
      <c r="C54" s="26" t="s">
        <v>471</v>
      </c>
      <c r="D54" s="26">
        <v>13553873</v>
      </c>
      <c r="E54" s="67">
        <v>43354</v>
      </c>
      <c r="F54" s="66">
        <v>1</v>
      </c>
      <c r="G54" s="70">
        <v>9268157376</v>
      </c>
      <c r="H54" s="69">
        <v>76531</v>
      </c>
      <c r="I54" s="26" t="str">
        <f t="shared" si="0"/>
        <v>United Staes</v>
      </c>
    </row>
    <row r="55" spans="1:9">
      <c r="A55" s="66">
        <v>569282456301020</v>
      </c>
      <c r="B55" s="26" t="s">
        <v>472</v>
      </c>
      <c r="C55" s="26" t="s">
        <v>473</v>
      </c>
      <c r="D55" s="26">
        <v>13446949</v>
      </c>
      <c r="E55" s="67">
        <v>43255</v>
      </c>
      <c r="F55" s="66">
        <v>1</v>
      </c>
      <c r="G55" s="70">
        <v>9743710384</v>
      </c>
      <c r="H55" s="69">
        <v>79674</v>
      </c>
      <c r="I55" s="26" t="str">
        <f t="shared" si="0"/>
        <v>United Staes</v>
      </c>
    </row>
    <row r="56" spans="1:9">
      <c r="A56" s="66">
        <v>569282456301021</v>
      </c>
      <c r="B56" s="26" t="s">
        <v>474</v>
      </c>
      <c r="C56" s="26" t="s">
        <v>475</v>
      </c>
      <c r="D56" s="26">
        <v>13434296</v>
      </c>
      <c r="E56" s="67">
        <v>42746</v>
      </c>
      <c r="F56" s="66">
        <v>1</v>
      </c>
      <c r="G56" s="70">
        <v>9529528789</v>
      </c>
      <c r="H56" s="69">
        <v>71499</v>
      </c>
      <c r="I56" s="26" t="str">
        <f t="shared" si="0"/>
        <v>United Staes</v>
      </c>
    </row>
    <row r="57" spans="1:9">
      <c r="A57" s="66">
        <v>569282456301022</v>
      </c>
      <c r="B57" s="26" t="s">
        <v>476</v>
      </c>
      <c r="C57" s="26" t="s">
        <v>477</v>
      </c>
      <c r="D57" s="26">
        <v>15584062</v>
      </c>
      <c r="E57" s="67">
        <v>45486</v>
      </c>
      <c r="F57" s="66">
        <v>1</v>
      </c>
      <c r="G57" s="70">
        <v>9173421991</v>
      </c>
      <c r="H57" s="69">
        <v>90931</v>
      </c>
      <c r="I57" s="26" t="str">
        <f t="shared" si="0"/>
        <v>United Staes</v>
      </c>
    </row>
    <row r="58" spans="1:9">
      <c r="A58" s="66">
        <v>569282456301023</v>
      </c>
      <c r="B58" s="26" t="s">
        <v>478</v>
      </c>
      <c r="C58" s="26" t="s">
        <v>479</v>
      </c>
      <c r="D58" s="26">
        <v>15910670</v>
      </c>
      <c r="E58" s="67">
        <v>43122</v>
      </c>
      <c r="F58" s="66">
        <v>1</v>
      </c>
      <c r="G58" s="70">
        <v>9619391970</v>
      </c>
      <c r="H58" s="69">
        <v>97094</v>
      </c>
      <c r="I58" s="26" t="str">
        <f t="shared" si="0"/>
        <v>United Staes</v>
      </c>
    </row>
    <row r="59" spans="1:9">
      <c r="A59" s="66">
        <v>569282456301024</v>
      </c>
      <c r="B59" s="26" t="s">
        <v>480</v>
      </c>
      <c r="C59" s="26" t="s">
        <v>481</v>
      </c>
      <c r="D59" s="26">
        <v>13569901</v>
      </c>
      <c r="E59" s="67">
        <v>45131</v>
      </c>
      <c r="F59" s="66">
        <v>1</v>
      </c>
      <c r="G59" s="70">
        <v>9605887345</v>
      </c>
      <c r="H59" s="69">
        <v>77228</v>
      </c>
      <c r="I59" s="26" t="str">
        <f t="shared" si="0"/>
        <v>United Staes</v>
      </c>
    </row>
    <row r="60" spans="1:9">
      <c r="A60" s="66">
        <v>540589618166890</v>
      </c>
      <c r="B60" s="26" t="s">
        <v>482</v>
      </c>
      <c r="C60" s="26" t="s">
        <v>483</v>
      </c>
      <c r="D60" s="26">
        <v>15792577</v>
      </c>
      <c r="E60" s="67">
        <v>45208</v>
      </c>
      <c r="F60" s="66">
        <v>1</v>
      </c>
      <c r="G60" s="70">
        <v>9266758569</v>
      </c>
      <c r="H60" s="69">
        <v>23226</v>
      </c>
      <c r="I60" s="26" t="str">
        <f t="shared" si="0"/>
        <v>United Staes</v>
      </c>
    </row>
    <row r="61" spans="1:9">
      <c r="A61" s="66">
        <v>533386070327495</v>
      </c>
      <c r="B61" s="26" t="s">
        <v>484</v>
      </c>
      <c r="C61" s="26" t="s">
        <v>485</v>
      </c>
      <c r="D61" s="26">
        <v>14902765</v>
      </c>
      <c r="E61" s="67">
        <v>45406</v>
      </c>
      <c r="F61" s="66">
        <v>1</v>
      </c>
      <c r="G61" s="70">
        <v>9915945479</v>
      </c>
      <c r="H61" s="69">
        <v>36749</v>
      </c>
      <c r="I61" s="26" t="str">
        <f t="shared" si="0"/>
        <v>United Staes</v>
      </c>
    </row>
    <row r="62" spans="1:9">
      <c r="A62" s="66">
        <v>544828888475945</v>
      </c>
      <c r="B62" s="26" t="s">
        <v>486</v>
      </c>
      <c r="C62" s="26" t="s">
        <v>487</v>
      </c>
      <c r="D62" s="26">
        <v>13961452</v>
      </c>
      <c r="E62" s="67">
        <v>43465</v>
      </c>
      <c r="F62" s="66">
        <v>1</v>
      </c>
      <c r="G62" s="70">
        <v>9224896230</v>
      </c>
      <c r="H62" s="69">
        <v>58741</v>
      </c>
      <c r="I62" s="26" t="str">
        <f t="shared" si="0"/>
        <v>United Staes</v>
      </c>
    </row>
    <row r="63" spans="1:9">
      <c r="A63" s="66">
        <v>550465108786374</v>
      </c>
      <c r="B63" s="26" t="s">
        <v>488</v>
      </c>
      <c r="C63" s="26" t="s">
        <v>489</v>
      </c>
      <c r="D63" s="26">
        <v>15632238</v>
      </c>
      <c r="E63" s="67">
        <v>43863</v>
      </c>
      <c r="F63" s="66">
        <v>1</v>
      </c>
      <c r="G63" s="70">
        <v>9918908813</v>
      </c>
      <c r="H63" s="69">
        <v>52699</v>
      </c>
      <c r="I63" s="26" t="str">
        <f t="shared" si="0"/>
        <v>United Staes</v>
      </c>
    </row>
    <row r="64" spans="1:9">
      <c r="A64" s="66">
        <v>559744310959106</v>
      </c>
      <c r="B64" s="26" t="s">
        <v>490</v>
      </c>
      <c r="C64" s="26" t="s">
        <v>491</v>
      </c>
      <c r="D64" s="26">
        <v>15670911</v>
      </c>
      <c r="E64" s="67">
        <v>42598</v>
      </c>
      <c r="F64" s="66">
        <v>1</v>
      </c>
      <c r="G64" s="70">
        <v>9697679262</v>
      </c>
      <c r="H64" s="69">
        <v>47829</v>
      </c>
      <c r="I64" s="26" t="str">
        <f t="shared" si="0"/>
        <v>United Staes</v>
      </c>
    </row>
    <row r="65" spans="1:9">
      <c r="A65" s="66">
        <v>561850390341816</v>
      </c>
      <c r="B65" s="26" t="s">
        <v>492</v>
      </c>
      <c r="C65" s="26" t="s">
        <v>493</v>
      </c>
      <c r="D65" s="26">
        <v>14004155</v>
      </c>
      <c r="E65" s="67">
        <v>44521</v>
      </c>
      <c r="F65" s="66">
        <v>1</v>
      </c>
      <c r="G65" s="70">
        <v>9350840472</v>
      </c>
      <c r="H65" s="69">
        <v>11367</v>
      </c>
      <c r="I65" s="26" t="str">
        <f t="shared" si="0"/>
        <v>United Staes</v>
      </c>
    </row>
    <row r="66" spans="1:9">
      <c r="A66" s="66">
        <v>573582650507419</v>
      </c>
      <c r="B66" s="26" t="s">
        <v>494</v>
      </c>
      <c r="C66" s="26" t="s">
        <v>495</v>
      </c>
      <c r="D66" s="26">
        <v>13358435</v>
      </c>
      <c r="E66" s="67">
        <v>43092</v>
      </c>
      <c r="F66" s="66">
        <v>1</v>
      </c>
      <c r="G66" s="70">
        <v>9202543393</v>
      </c>
      <c r="H66" s="69">
        <v>8974</v>
      </c>
      <c r="I66" s="26" t="str">
        <f t="shared" si="0"/>
        <v>United Staes</v>
      </c>
    </row>
    <row r="67" spans="1:9">
      <c r="A67" s="66">
        <v>538774781742479</v>
      </c>
      <c r="B67" s="26" t="s">
        <v>496</v>
      </c>
      <c r="C67" s="26" t="s">
        <v>497</v>
      </c>
      <c r="D67" s="26">
        <v>13405427</v>
      </c>
      <c r="E67" s="67">
        <v>44795</v>
      </c>
      <c r="F67" s="66">
        <v>1</v>
      </c>
      <c r="G67" s="70">
        <v>9128749304</v>
      </c>
      <c r="H67" s="69">
        <v>97203</v>
      </c>
      <c r="I67" s="26" t="str">
        <f t="shared" ref="I67:I130" si="1">IF(F67=91,"India",IF(F67=1,"United Staes",IF(F67=7,"Russia",IF(F67=34,"Spain",IF(F67=45,"Denmark",IF(F67=33,"France",IF(F67=61,"Australia",IF(F67=49,"German",IF(F67=81,"Japan",IF(F67=55,"Brazil",IF(F67=44,"United Kindom",IF(F67=27,"South Africa",IF(F67=380,"Ukrain",IF(F67=48,"Poland",IF(F67=82,"South Korea",IF(F67=966,"Saudi Arabia",IF(F67=41,"Swizerland",IF(F67=975,"Bhutan",IF(F67=974,"Qatar",IF(F67=977,"Nepal",IF(F67=972,"Isreal",IF(F67=93,"Afghanistan",IF(F67=351,"Portugal",IF(F67=54,"Argentina",IF(F67=374,"Armrnia",IF(F67=64,"New Zealand",IF(F67=62,"Indonesia",IF(F67=39,"Italy",IF(F67=46,"Sweden",IF(F67=58,"Venezuela",IF(F67=57,"Colombia",IF(F67=63,"Philippines",IF(F67=850,"North Korea",IF(F67=976,"Mongolia","Not exist in this Nation"))))))))))))))))))))))))))))))))))</f>
        <v>United Staes</v>
      </c>
    </row>
    <row r="68" spans="1:9">
      <c r="A68" s="66">
        <v>538556969807871</v>
      </c>
      <c r="B68" s="26" t="s">
        <v>498</v>
      </c>
      <c r="C68" s="26" t="s">
        <v>499</v>
      </c>
      <c r="D68" s="26">
        <v>14901450</v>
      </c>
      <c r="E68" s="67">
        <v>43368</v>
      </c>
      <c r="F68" s="66">
        <v>1</v>
      </c>
      <c r="G68" s="70">
        <v>9527142149</v>
      </c>
      <c r="H68" s="69">
        <v>73976</v>
      </c>
      <c r="I68" s="26" t="str">
        <f t="shared" si="1"/>
        <v>United Staes</v>
      </c>
    </row>
    <row r="69" spans="1:9">
      <c r="A69" s="66">
        <v>593884610974629</v>
      </c>
      <c r="B69" s="26" t="s">
        <v>500</v>
      </c>
      <c r="C69" s="26" t="s">
        <v>501</v>
      </c>
      <c r="D69" s="26">
        <v>13176028</v>
      </c>
      <c r="E69" s="67">
        <v>43757</v>
      </c>
      <c r="F69" s="66">
        <v>1</v>
      </c>
      <c r="G69" s="70">
        <v>9859410728</v>
      </c>
      <c r="H69" s="69">
        <v>79631</v>
      </c>
      <c r="I69" s="26" t="str">
        <f t="shared" si="1"/>
        <v>United Staes</v>
      </c>
    </row>
    <row r="70" spans="1:9">
      <c r="A70" s="66">
        <v>565401174915283</v>
      </c>
      <c r="B70" s="26" t="s">
        <v>502</v>
      </c>
      <c r="C70" s="26" t="s">
        <v>503</v>
      </c>
      <c r="D70" s="26">
        <v>15660319</v>
      </c>
      <c r="E70" s="67">
        <v>43285</v>
      </c>
      <c r="F70" s="66">
        <v>1</v>
      </c>
      <c r="G70" s="70">
        <v>9756316221</v>
      </c>
      <c r="H70" s="69">
        <v>87816</v>
      </c>
      <c r="I70" s="26" t="str">
        <f t="shared" si="1"/>
        <v>United Staes</v>
      </c>
    </row>
    <row r="71" spans="1:9">
      <c r="A71" s="66">
        <v>571507420639441</v>
      </c>
      <c r="B71" s="26" t="s">
        <v>504</v>
      </c>
      <c r="C71" s="26" t="s">
        <v>505</v>
      </c>
      <c r="D71" s="26">
        <v>13690047</v>
      </c>
      <c r="E71" s="67">
        <v>45384</v>
      </c>
      <c r="F71" s="66">
        <v>1</v>
      </c>
      <c r="G71" s="70">
        <v>9224968536</v>
      </c>
      <c r="H71" s="69">
        <v>96957</v>
      </c>
      <c r="I71" s="26" t="str">
        <f t="shared" si="1"/>
        <v>United Staes</v>
      </c>
    </row>
    <row r="72" spans="1:9">
      <c r="A72" s="66">
        <v>577440408422086</v>
      </c>
      <c r="B72" s="26" t="s">
        <v>506</v>
      </c>
      <c r="C72" s="26" t="s">
        <v>507</v>
      </c>
      <c r="D72" s="26">
        <v>15717725</v>
      </c>
      <c r="E72" s="67">
        <v>44450</v>
      </c>
      <c r="F72" s="66">
        <v>1</v>
      </c>
      <c r="G72" s="70">
        <v>9927956886</v>
      </c>
      <c r="H72" s="69">
        <v>25865</v>
      </c>
      <c r="I72" s="26" t="str">
        <f t="shared" si="1"/>
        <v>United Staes</v>
      </c>
    </row>
    <row r="73" spans="1:9">
      <c r="A73" s="66">
        <v>530948055485047</v>
      </c>
      <c r="B73" s="26" t="s">
        <v>508</v>
      </c>
      <c r="C73" s="26" t="s">
        <v>509</v>
      </c>
      <c r="D73" s="26">
        <v>15303622</v>
      </c>
      <c r="E73" s="67">
        <v>44205</v>
      </c>
      <c r="F73" s="66">
        <v>1</v>
      </c>
      <c r="G73" s="70">
        <v>9164860631</v>
      </c>
      <c r="H73" s="69">
        <v>66547</v>
      </c>
      <c r="I73" s="26" t="str">
        <f t="shared" si="1"/>
        <v>United Staes</v>
      </c>
    </row>
    <row r="74" spans="1:9">
      <c r="A74" s="66">
        <v>566085867527865</v>
      </c>
      <c r="B74" s="26" t="s">
        <v>510</v>
      </c>
      <c r="C74" s="26" t="s">
        <v>511</v>
      </c>
      <c r="D74" s="26">
        <v>13489988</v>
      </c>
      <c r="E74" s="67">
        <v>44039</v>
      </c>
      <c r="F74" s="66">
        <v>1</v>
      </c>
      <c r="G74" s="70">
        <v>9368774553</v>
      </c>
      <c r="H74" s="69">
        <v>32937</v>
      </c>
      <c r="I74" s="26" t="str">
        <f t="shared" si="1"/>
        <v>United Staes</v>
      </c>
    </row>
    <row r="75" spans="1:9">
      <c r="A75" s="66">
        <v>537462787838257</v>
      </c>
      <c r="B75" s="26" t="s">
        <v>512</v>
      </c>
      <c r="C75" s="26" t="s">
        <v>513</v>
      </c>
      <c r="D75" s="26">
        <v>15667367</v>
      </c>
      <c r="E75" s="67">
        <v>43748</v>
      </c>
      <c r="F75" s="66">
        <v>1</v>
      </c>
      <c r="G75" s="70">
        <v>9942808385</v>
      </c>
      <c r="H75" s="69">
        <v>59193</v>
      </c>
      <c r="I75" s="26" t="str">
        <f t="shared" si="1"/>
        <v>United Staes</v>
      </c>
    </row>
    <row r="76" spans="1:9">
      <c r="A76" s="66">
        <v>555143395246257</v>
      </c>
      <c r="B76" s="26" t="s">
        <v>514</v>
      </c>
      <c r="C76" s="26" t="s">
        <v>515</v>
      </c>
      <c r="D76" s="26">
        <v>14311020</v>
      </c>
      <c r="E76" s="67">
        <v>43652</v>
      </c>
      <c r="F76" s="66">
        <v>1</v>
      </c>
      <c r="G76" s="70">
        <v>9204516844</v>
      </c>
      <c r="H76" s="69">
        <v>84443</v>
      </c>
      <c r="I76" s="26" t="str">
        <f t="shared" si="1"/>
        <v>United Staes</v>
      </c>
    </row>
    <row r="77" spans="1:9">
      <c r="A77" s="66">
        <v>599095815449179</v>
      </c>
      <c r="B77" s="26" t="s">
        <v>516</v>
      </c>
      <c r="C77" s="26" t="s">
        <v>517</v>
      </c>
      <c r="D77" s="26">
        <v>13392318</v>
      </c>
      <c r="E77" s="67">
        <v>45170</v>
      </c>
      <c r="F77" s="66">
        <v>7</v>
      </c>
      <c r="G77" s="72">
        <v>9881069031</v>
      </c>
      <c r="H77" s="69">
        <v>39252</v>
      </c>
      <c r="I77" s="26" t="str">
        <f t="shared" si="1"/>
        <v>Russia</v>
      </c>
    </row>
    <row r="78" spans="1:9">
      <c r="A78" s="66">
        <v>587911952156727</v>
      </c>
      <c r="B78" s="26" t="s">
        <v>518</v>
      </c>
      <c r="C78" s="26" t="s">
        <v>519</v>
      </c>
      <c r="D78" s="26">
        <v>13466609</v>
      </c>
      <c r="E78" s="67">
        <v>45229</v>
      </c>
      <c r="F78" s="66">
        <v>7</v>
      </c>
      <c r="G78" s="72">
        <v>9205160531</v>
      </c>
      <c r="H78" s="69">
        <v>43730</v>
      </c>
      <c r="I78" s="26" t="str">
        <f t="shared" si="1"/>
        <v>Russia</v>
      </c>
    </row>
    <row r="79" spans="1:9">
      <c r="A79" s="66">
        <v>551637921057570</v>
      </c>
      <c r="B79" s="26" t="s">
        <v>520</v>
      </c>
      <c r="C79" s="26" t="s">
        <v>521</v>
      </c>
      <c r="D79" s="26">
        <v>15654262</v>
      </c>
      <c r="E79" s="67">
        <v>45452</v>
      </c>
      <c r="F79" s="66">
        <v>7</v>
      </c>
      <c r="G79" s="72">
        <v>9593077406</v>
      </c>
      <c r="H79" s="69">
        <v>28709</v>
      </c>
      <c r="I79" s="26" t="str">
        <f t="shared" si="1"/>
        <v>Russia</v>
      </c>
    </row>
    <row r="80" spans="1:9">
      <c r="A80" s="66">
        <v>559042633831737</v>
      </c>
      <c r="B80" s="26" t="s">
        <v>522</v>
      </c>
      <c r="C80" s="26" t="s">
        <v>523</v>
      </c>
      <c r="D80" s="26">
        <v>14553714</v>
      </c>
      <c r="E80" s="67">
        <v>43604</v>
      </c>
      <c r="F80" s="66">
        <v>7</v>
      </c>
      <c r="G80" s="72">
        <v>9554106458</v>
      </c>
      <c r="H80" s="69">
        <v>42098</v>
      </c>
      <c r="I80" s="26" t="str">
        <f t="shared" si="1"/>
        <v>Russia</v>
      </c>
    </row>
    <row r="81" spans="1:9">
      <c r="A81" s="66">
        <v>544466522932380</v>
      </c>
      <c r="B81" s="26" t="s">
        <v>524</v>
      </c>
      <c r="C81" s="26" t="s">
        <v>525</v>
      </c>
      <c r="D81" s="26">
        <v>15328053</v>
      </c>
      <c r="E81" s="67">
        <v>44150</v>
      </c>
      <c r="F81" s="66">
        <v>7</v>
      </c>
      <c r="G81" s="72">
        <v>9764564130</v>
      </c>
      <c r="H81" s="69">
        <v>82987</v>
      </c>
      <c r="I81" s="26" t="str">
        <f t="shared" si="1"/>
        <v>Russia</v>
      </c>
    </row>
    <row r="82" spans="1:9">
      <c r="A82" s="66">
        <v>599796468575966</v>
      </c>
      <c r="B82" s="26" t="s">
        <v>526</v>
      </c>
      <c r="C82" s="26" t="s">
        <v>527</v>
      </c>
      <c r="D82" s="26">
        <v>14131059</v>
      </c>
      <c r="E82" s="67">
        <v>43586</v>
      </c>
      <c r="F82" s="66">
        <v>7</v>
      </c>
      <c r="G82" s="72">
        <v>9154329116</v>
      </c>
      <c r="H82" s="69">
        <v>11055</v>
      </c>
      <c r="I82" s="26" t="str">
        <f t="shared" si="1"/>
        <v>Russia</v>
      </c>
    </row>
    <row r="83" spans="1:9">
      <c r="A83" s="66">
        <v>587726498320128</v>
      </c>
      <c r="B83" s="26" t="s">
        <v>528</v>
      </c>
      <c r="C83" s="26" t="s">
        <v>529</v>
      </c>
      <c r="D83" s="26">
        <v>15647664</v>
      </c>
      <c r="E83" s="67">
        <v>45186</v>
      </c>
      <c r="F83" s="66">
        <v>7</v>
      </c>
      <c r="G83" s="72">
        <v>9339286862</v>
      </c>
      <c r="H83" s="69">
        <v>48444</v>
      </c>
      <c r="I83" s="26" t="str">
        <f t="shared" si="1"/>
        <v>Russia</v>
      </c>
    </row>
    <row r="84" spans="1:9">
      <c r="A84" s="66">
        <v>544042857224742</v>
      </c>
      <c r="B84" s="26" t="s">
        <v>530</v>
      </c>
      <c r="C84" s="26" t="s">
        <v>531</v>
      </c>
      <c r="D84" s="26">
        <v>15542393</v>
      </c>
      <c r="E84" s="67">
        <v>44709</v>
      </c>
      <c r="F84" s="66">
        <v>7</v>
      </c>
      <c r="G84" s="72">
        <v>9218432050</v>
      </c>
      <c r="H84" s="69">
        <v>6521</v>
      </c>
      <c r="I84" s="26" t="str">
        <f t="shared" si="1"/>
        <v>Russia</v>
      </c>
    </row>
    <row r="85" spans="1:9">
      <c r="A85" s="66">
        <v>554220291940025</v>
      </c>
      <c r="B85" s="26" t="s">
        <v>532</v>
      </c>
      <c r="C85" s="26" t="s">
        <v>533</v>
      </c>
      <c r="D85" s="26">
        <v>13643301</v>
      </c>
      <c r="E85" s="67">
        <v>43824</v>
      </c>
      <c r="F85" s="66">
        <v>7</v>
      </c>
      <c r="G85" s="72">
        <v>9914610329</v>
      </c>
      <c r="H85" s="69">
        <v>47902</v>
      </c>
      <c r="I85" s="26" t="str">
        <f t="shared" si="1"/>
        <v>Russia</v>
      </c>
    </row>
    <row r="86" spans="1:9">
      <c r="A86" s="66">
        <v>587127746690484</v>
      </c>
      <c r="B86" s="26" t="s">
        <v>534</v>
      </c>
      <c r="C86" s="26" t="s">
        <v>535</v>
      </c>
      <c r="D86" s="26">
        <v>13433418</v>
      </c>
      <c r="E86" s="67">
        <v>42606</v>
      </c>
      <c r="F86" s="66">
        <v>7</v>
      </c>
      <c r="G86" s="72">
        <v>9354350469</v>
      </c>
      <c r="H86" s="69">
        <v>49533</v>
      </c>
      <c r="I86" s="26" t="str">
        <f t="shared" si="1"/>
        <v>Russia</v>
      </c>
    </row>
    <row r="87" spans="1:9">
      <c r="A87" s="66">
        <v>576020459902676</v>
      </c>
      <c r="B87" s="26" t="s">
        <v>536</v>
      </c>
      <c r="C87" s="26" t="s">
        <v>537</v>
      </c>
      <c r="D87" s="26">
        <v>14813420</v>
      </c>
      <c r="E87" s="67">
        <v>44586</v>
      </c>
      <c r="F87" s="66">
        <v>7</v>
      </c>
      <c r="G87" s="72">
        <v>9140714485</v>
      </c>
      <c r="H87" s="69">
        <v>93522</v>
      </c>
      <c r="I87" s="26" t="str">
        <f t="shared" si="1"/>
        <v>Russia</v>
      </c>
    </row>
    <row r="88" spans="1:9">
      <c r="A88" s="66">
        <v>585920934853543</v>
      </c>
      <c r="B88" s="26" t="s">
        <v>538</v>
      </c>
      <c r="C88" s="26" t="s">
        <v>539</v>
      </c>
      <c r="D88" s="26">
        <v>14749662</v>
      </c>
      <c r="E88" s="67">
        <v>43705</v>
      </c>
      <c r="F88" s="66">
        <v>7</v>
      </c>
      <c r="G88" s="72">
        <v>9491024155</v>
      </c>
      <c r="H88" s="69">
        <v>74890</v>
      </c>
      <c r="I88" s="26" t="str">
        <f t="shared" si="1"/>
        <v>Russia</v>
      </c>
    </row>
    <row r="89" spans="1:9">
      <c r="A89" s="66">
        <v>562666611691165</v>
      </c>
      <c r="B89" s="26" t="s">
        <v>540</v>
      </c>
      <c r="C89" s="26" t="s">
        <v>541</v>
      </c>
      <c r="D89" s="26">
        <v>14489254</v>
      </c>
      <c r="E89" s="67">
        <v>43323</v>
      </c>
      <c r="F89" s="66">
        <v>7</v>
      </c>
      <c r="G89" s="72">
        <v>9174656267</v>
      </c>
      <c r="H89" s="69">
        <v>36932</v>
      </c>
      <c r="I89" s="26" t="str">
        <f t="shared" si="1"/>
        <v>Russia</v>
      </c>
    </row>
    <row r="90" spans="1:9">
      <c r="A90" s="66">
        <v>543417423388013</v>
      </c>
      <c r="B90" s="26" t="s">
        <v>542</v>
      </c>
      <c r="C90" s="26" t="s">
        <v>543</v>
      </c>
      <c r="D90" s="26">
        <v>14329745</v>
      </c>
      <c r="E90" s="67">
        <v>44554</v>
      </c>
      <c r="F90" s="66">
        <v>7</v>
      </c>
      <c r="G90" s="72">
        <v>9761565234</v>
      </c>
      <c r="H90" s="69">
        <v>80688</v>
      </c>
      <c r="I90" s="26" t="str">
        <f t="shared" si="1"/>
        <v>Russia</v>
      </c>
    </row>
    <row r="91" spans="1:9">
      <c r="A91" s="66">
        <v>561005631897879</v>
      </c>
      <c r="B91" s="26" t="s">
        <v>544</v>
      </c>
      <c r="C91" s="26" t="s">
        <v>545</v>
      </c>
      <c r="D91" s="26">
        <v>14236243</v>
      </c>
      <c r="E91" s="67">
        <v>44466</v>
      </c>
      <c r="F91" s="66">
        <v>7</v>
      </c>
      <c r="G91" s="72">
        <v>9731232891</v>
      </c>
      <c r="H91" s="69">
        <v>82099</v>
      </c>
      <c r="I91" s="26" t="str">
        <f t="shared" si="1"/>
        <v>Russia</v>
      </c>
    </row>
    <row r="92" spans="1:9">
      <c r="A92" s="66">
        <v>541393921634767</v>
      </c>
      <c r="B92" s="26" t="s">
        <v>546</v>
      </c>
      <c r="C92" s="26" t="s">
        <v>547</v>
      </c>
      <c r="D92" s="26">
        <v>13715519</v>
      </c>
      <c r="E92" s="67">
        <v>44642</v>
      </c>
      <c r="F92" s="66">
        <v>7</v>
      </c>
      <c r="G92" s="72">
        <v>9157297261</v>
      </c>
      <c r="H92" s="69">
        <v>60576</v>
      </c>
      <c r="I92" s="26" t="str">
        <f t="shared" si="1"/>
        <v>Russia</v>
      </c>
    </row>
    <row r="93" spans="1:9">
      <c r="A93" s="66">
        <v>548596611043359</v>
      </c>
      <c r="B93" s="26" t="s">
        <v>548</v>
      </c>
      <c r="C93" s="26" t="s">
        <v>549</v>
      </c>
      <c r="D93" s="26">
        <v>15951892</v>
      </c>
      <c r="E93" s="67">
        <v>42768</v>
      </c>
      <c r="F93" s="66">
        <v>7</v>
      </c>
      <c r="G93" s="72">
        <v>9817990758</v>
      </c>
      <c r="H93" s="69">
        <v>75407</v>
      </c>
      <c r="I93" s="26" t="str">
        <f t="shared" si="1"/>
        <v>Russia</v>
      </c>
    </row>
    <row r="94" spans="1:9">
      <c r="A94" s="66">
        <v>575800659654335</v>
      </c>
      <c r="B94" s="26" t="s">
        <v>550</v>
      </c>
      <c r="C94" s="26" t="s">
        <v>551</v>
      </c>
      <c r="D94" s="26">
        <v>13292128</v>
      </c>
      <c r="E94" s="67">
        <v>44680</v>
      </c>
      <c r="F94" s="66">
        <v>7</v>
      </c>
      <c r="G94" s="72">
        <v>9833750174</v>
      </c>
      <c r="H94" s="69">
        <v>82446</v>
      </c>
      <c r="I94" s="26" t="str">
        <f t="shared" si="1"/>
        <v>Russia</v>
      </c>
    </row>
    <row r="95" spans="1:9">
      <c r="A95" s="66">
        <v>599363819595381</v>
      </c>
      <c r="B95" s="26" t="s">
        <v>552</v>
      </c>
      <c r="C95" s="26" t="s">
        <v>553</v>
      </c>
      <c r="D95" s="26">
        <v>15526394</v>
      </c>
      <c r="E95" s="67">
        <v>43028</v>
      </c>
      <c r="F95" s="66">
        <v>34</v>
      </c>
      <c r="G95" s="73">
        <v>9185429413</v>
      </c>
      <c r="H95" s="69">
        <v>76654</v>
      </c>
      <c r="I95" s="26" t="str">
        <f t="shared" si="1"/>
        <v>Spain</v>
      </c>
    </row>
    <row r="96" spans="1:9">
      <c r="A96" s="66">
        <v>530818446576650</v>
      </c>
      <c r="B96" s="26" t="s">
        <v>554</v>
      </c>
      <c r="C96" s="26" t="s">
        <v>555</v>
      </c>
      <c r="D96" s="26">
        <v>15954833</v>
      </c>
      <c r="E96" s="67">
        <v>45066</v>
      </c>
      <c r="F96" s="66">
        <v>34</v>
      </c>
      <c r="G96" s="73">
        <v>9947716573</v>
      </c>
      <c r="H96" s="69">
        <v>16244</v>
      </c>
      <c r="I96" s="26" t="str">
        <f t="shared" si="1"/>
        <v>Spain</v>
      </c>
    </row>
    <row r="97" spans="1:9">
      <c r="A97" s="66">
        <v>591535214393319</v>
      </c>
      <c r="B97" s="26" t="s">
        <v>556</v>
      </c>
      <c r="C97" s="26" t="s">
        <v>557</v>
      </c>
      <c r="D97" s="26">
        <v>15118062</v>
      </c>
      <c r="E97" s="67">
        <v>45218</v>
      </c>
      <c r="F97" s="66">
        <v>34</v>
      </c>
      <c r="G97" s="73">
        <v>9269676591</v>
      </c>
      <c r="H97" s="69">
        <v>45317</v>
      </c>
      <c r="I97" s="26" t="str">
        <f t="shared" si="1"/>
        <v>Spain</v>
      </c>
    </row>
    <row r="98" spans="1:9">
      <c r="A98" s="66">
        <v>556846039730003</v>
      </c>
      <c r="B98" s="26" t="s">
        <v>558</v>
      </c>
      <c r="C98" s="26" t="s">
        <v>559</v>
      </c>
      <c r="D98" s="26">
        <v>14443453</v>
      </c>
      <c r="E98" s="67">
        <v>43033</v>
      </c>
      <c r="F98" s="66">
        <v>34</v>
      </c>
      <c r="G98" s="73">
        <v>9149310184</v>
      </c>
      <c r="H98" s="69">
        <v>11192</v>
      </c>
      <c r="I98" s="26" t="str">
        <f t="shared" si="1"/>
        <v>Spain</v>
      </c>
    </row>
    <row r="99" spans="1:9">
      <c r="A99" s="66">
        <v>535859120081496</v>
      </c>
      <c r="B99" s="26" t="s">
        <v>560</v>
      </c>
      <c r="C99" s="26" t="s">
        <v>561</v>
      </c>
      <c r="D99" s="26">
        <v>13174690</v>
      </c>
      <c r="E99" s="67">
        <v>44829</v>
      </c>
      <c r="F99" s="66">
        <v>34</v>
      </c>
      <c r="G99" s="73">
        <v>9696643433</v>
      </c>
      <c r="H99" s="69">
        <v>82254</v>
      </c>
      <c r="I99" s="26" t="str">
        <f t="shared" si="1"/>
        <v>Spain</v>
      </c>
    </row>
    <row r="100" spans="1:9">
      <c r="A100" s="66">
        <v>590101575237537</v>
      </c>
      <c r="B100" s="26" t="s">
        <v>562</v>
      </c>
      <c r="C100" s="26" t="s">
        <v>563</v>
      </c>
      <c r="D100" s="26">
        <v>14278596</v>
      </c>
      <c r="E100" s="67">
        <v>42816</v>
      </c>
      <c r="F100" s="66">
        <v>34</v>
      </c>
      <c r="G100" s="73">
        <v>9748509890</v>
      </c>
      <c r="H100" s="69">
        <v>60986</v>
      </c>
      <c r="I100" s="26" t="str">
        <f t="shared" si="1"/>
        <v>Spain</v>
      </c>
    </row>
    <row r="101" spans="1:9">
      <c r="A101" s="66">
        <v>555595000088297</v>
      </c>
      <c r="B101" s="26" t="s">
        <v>564</v>
      </c>
      <c r="C101" s="26" t="s">
        <v>565</v>
      </c>
      <c r="D101" s="26">
        <v>13444750</v>
      </c>
      <c r="E101" s="67">
        <v>44549</v>
      </c>
      <c r="F101" s="66">
        <v>34</v>
      </c>
      <c r="G101" s="73">
        <v>9398620346</v>
      </c>
      <c r="H101" s="69">
        <v>61263</v>
      </c>
      <c r="I101" s="26" t="str">
        <f t="shared" si="1"/>
        <v>Spain</v>
      </c>
    </row>
    <row r="102" spans="1:9">
      <c r="A102" s="66">
        <v>850302628741982</v>
      </c>
      <c r="B102" s="26" t="s">
        <v>566</v>
      </c>
      <c r="C102" s="26" t="s">
        <v>567</v>
      </c>
      <c r="D102" s="26">
        <v>72100497</v>
      </c>
      <c r="E102" s="67">
        <v>44631</v>
      </c>
      <c r="F102" s="66">
        <v>58</v>
      </c>
      <c r="G102" s="74">
        <v>8316916570</v>
      </c>
      <c r="H102" s="69">
        <v>26731</v>
      </c>
      <c r="I102" s="26" t="str">
        <f t="shared" si="1"/>
        <v>Venezuela</v>
      </c>
    </row>
    <row r="103" spans="1:9">
      <c r="A103" s="66">
        <v>817476449483837</v>
      </c>
      <c r="B103" s="26" t="s">
        <v>568</v>
      </c>
      <c r="C103" s="26" t="s">
        <v>569</v>
      </c>
      <c r="D103" s="26">
        <v>85475623</v>
      </c>
      <c r="E103" s="67">
        <v>44993</v>
      </c>
      <c r="F103" s="66">
        <v>58</v>
      </c>
      <c r="G103" s="74">
        <v>8026114451</v>
      </c>
      <c r="H103" s="69">
        <v>18763</v>
      </c>
      <c r="I103" s="26" t="str">
        <f t="shared" si="1"/>
        <v>Venezuela</v>
      </c>
    </row>
    <row r="104" spans="1:9">
      <c r="A104" s="66">
        <v>991609176382222</v>
      </c>
      <c r="B104" s="26" t="s">
        <v>570</v>
      </c>
      <c r="C104" s="26" t="s">
        <v>571</v>
      </c>
      <c r="D104" s="26">
        <v>65990101</v>
      </c>
      <c r="E104" s="67">
        <v>44004</v>
      </c>
      <c r="F104" s="66">
        <v>58</v>
      </c>
      <c r="G104" s="74">
        <v>4648438820</v>
      </c>
      <c r="H104" s="69">
        <v>59151</v>
      </c>
      <c r="I104" s="26" t="str">
        <f t="shared" si="1"/>
        <v>Venezuela</v>
      </c>
    </row>
    <row r="105" spans="1:9">
      <c r="A105" s="66">
        <v>960988325237357</v>
      </c>
      <c r="B105" s="26" t="s">
        <v>572</v>
      </c>
      <c r="C105" s="26" t="s">
        <v>573</v>
      </c>
      <c r="D105" s="26">
        <v>70826793</v>
      </c>
      <c r="E105" s="67">
        <v>44367</v>
      </c>
      <c r="F105" s="66">
        <v>58</v>
      </c>
      <c r="G105" s="74">
        <v>5229176262</v>
      </c>
      <c r="H105" s="69">
        <v>67639</v>
      </c>
      <c r="I105" s="26" t="str">
        <f t="shared" si="1"/>
        <v>Venezuela</v>
      </c>
    </row>
    <row r="106" spans="1:9">
      <c r="A106" s="66">
        <v>947735086376531</v>
      </c>
      <c r="B106" s="26" t="s">
        <v>574</v>
      </c>
      <c r="C106" s="26" t="s">
        <v>575</v>
      </c>
      <c r="D106" s="26">
        <v>67623629</v>
      </c>
      <c r="E106" s="67">
        <v>43952</v>
      </c>
      <c r="F106" s="66">
        <v>58</v>
      </c>
      <c r="G106" s="74">
        <v>6087269815</v>
      </c>
      <c r="H106" s="69">
        <v>30375</v>
      </c>
      <c r="I106" s="26" t="str">
        <f t="shared" si="1"/>
        <v>Venezuela</v>
      </c>
    </row>
    <row r="107" spans="1:9">
      <c r="A107" s="66">
        <v>928715065063403</v>
      </c>
      <c r="B107" s="26" t="s">
        <v>576</v>
      </c>
      <c r="C107" s="26" t="s">
        <v>577</v>
      </c>
      <c r="D107" s="26">
        <v>66770580</v>
      </c>
      <c r="E107" s="67">
        <v>45255</v>
      </c>
      <c r="F107" s="66">
        <v>58</v>
      </c>
      <c r="G107" s="74">
        <v>9123560560</v>
      </c>
      <c r="H107" s="69">
        <v>60958</v>
      </c>
      <c r="I107" s="26" t="str">
        <f t="shared" si="1"/>
        <v>Venezuela</v>
      </c>
    </row>
    <row r="108" spans="1:9">
      <c r="A108" s="66">
        <v>959012646154933</v>
      </c>
      <c r="B108" s="26" t="s">
        <v>578</v>
      </c>
      <c r="C108" s="26" t="s">
        <v>579</v>
      </c>
      <c r="D108" s="26">
        <v>72926879</v>
      </c>
      <c r="E108" s="67">
        <v>44873</v>
      </c>
      <c r="F108" s="66">
        <v>58</v>
      </c>
      <c r="G108" s="74">
        <v>8196286579</v>
      </c>
      <c r="H108" s="69">
        <v>43450</v>
      </c>
      <c r="I108" s="26" t="str">
        <f t="shared" si="1"/>
        <v>Venezuela</v>
      </c>
    </row>
    <row r="109" spans="1:9">
      <c r="A109" s="66">
        <v>972864558084819</v>
      </c>
      <c r="B109" s="75" t="s">
        <v>580</v>
      </c>
      <c r="C109" s="26" t="s">
        <v>581</v>
      </c>
      <c r="D109" s="26">
        <v>82895312</v>
      </c>
      <c r="E109" s="67">
        <v>45077</v>
      </c>
      <c r="F109" s="66">
        <v>58</v>
      </c>
      <c r="G109" s="74">
        <v>6363412814</v>
      </c>
      <c r="H109" s="69">
        <v>77624</v>
      </c>
      <c r="I109" s="26" t="str">
        <f t="shared" si="1"/>
        <v>Venezuela</v>
      </c>
    </row>
    <row r="110" spans="1:9">
      <c r="A110" s="66">
        <v>810053352171124</v>
      </c>
      <c r="B110" s="75" t="s">
        <v>582</v>
      </c>
      <c r="C110" s="26" t="s">
        <v>583</v>
      </c>
      <c r="D110" s="26">
        <v>84404255</v>
      </c>
      <c r="E110" s="67">
        <v>44724</v>
      </c>
      <c r="F110" s="66">
        <v>58</v>
      </c>
      <c r="G110" s="74">
        <v>9174613190</v>
      </c>
      <c r="H110" s="69">
        <v>99458</v>
      </c>
      <c r="I110" s="26" t="str">
        <f t="shared" si="1"/>
        <v>Venezuela</v>
      </c>
    </row>
    <row r="111" spans="1:9">
      <c r="A111" s="66">
        <v>855179442745722</v>
      </c>
      <c r="B111" s="26" t="s">
        <v>584</v>
      </c>
      <c r="C111" s="26" t="s">
        <v>585</v>
      </c>
      <c r="D111" s="26">
        <v>71307909</v>
      </c>
      <c r="E111" s="67">
        <v>45121</v>
      </c>
      <c r="F111" s="66">
        <v>58</v>
      </c>
      <c r="G111" s="74">
        <v>8728305896</v>
      </c>
      <c r="H111" s="69">
        <v>43182</v>
      </c>
      <c r="I111" s="26" t="str">
        <f t="shared" si="1"/>
        <v>Venezuela</v>
      </c>
    </row>
    <row r="112" spans="1:9">
      <c r="A112" s="66">
        <v>930981956246810</v>
      </c>
      <c r="B112" s="75" t="s">
        <v>586</v>
      </c>
      <c r="C112" s="26" t="s">
        <v>587</v>
      </c>
      <c r="D112" s="26">
        <v>75932029</v>
      </c>
      <c r="E112" s="67">
        <v>44032</v>
      </c>
      <c r="F112" s="66">
        <v>58</v>
      </c>
      <c r="G112" s="74">
        <v>6188390131</v>
      </c>
      <c r="H112" s="69">
        <v>36750</v>
      </c>
      <c r="I112" s="26" t="str">
        <f t="shared" si="1"/>
        <v>Venezuela</v>
      </c>
    </row>
    <row r="113" spans="1:9">
      <c r="A113" s="66">
        <v>874314130376529</v>
      </c>
      <c r="B113" s="75" t="s">
        <v>588</v>
      </c>
      <c r="C113" s="26" t="s">
        <v>589</v>
      </c>
      <c r="D113" s="26">
        <v>64028709</v>
      </c>
      <c r="E113" s="67">
        <v>44732</v>
      </c>
      <c r="F113" s="66">
        <v>58</v>
      </c>
      <c r="G113" s="74">
        <v>4816861862</v>
      </c>
      <c r="H113" s="69">
        <v>27644</v>
      </c>
      <c r="I113" s="26" t="str">
        <f t="shared" si="1"/>
        <v>Venezuela</v>
      </c>
    </row>
    <row r="114" spans="1:9">
      <c r="A114" s="66">
        <v>976243869466971</v>
      </c>
      <c r="B114" s="75" t="s">
        <v>590</v>
      </c>
      <c r="C114" s="26" t="s">
        <v>591</v>
      </c>
      <c r="D114" s="26">
        <v>79559092</v>
      </c>
      <c r="E114" s="67">
        <v>44925</v>
      </c>
      <c r="F114" s="66">
        <v>58</v>
      </c>
      <c r="G114" s="74">
        <v>8545998146</v>
      </c>
      <c r="H114" s="69">
        <v>11517</v>
      </c>
      <c r="I114" s="26" t="str">
        <f t="shared" si="1"/>
        <v>Venezuela</v>
      </c>
    </row>
    <row r="115" spans="1:9">
      <c r="A115" s="66">
        <v>918976048427196</v>
      </c>
      <c r="B115" s="75" t="s">
        <v>592</v>
      </c>
      <c r="C115" s="26" t="s">
        <v>593</v>
      </c>
      <c r="D115" s="26">
        <v>64079344</v>
      </c>
      <c r="E115" s="67">
        <v>44853</v>
      </c>
      <c r="F115" s="66">
        <v>58</v>
      </c>
      <c r="G115" s="74">
        <v>7797405971</v>
      </c>
      <c r="H115" s="69">
        <v>10439</v>
      </c>
      <c r="I115" s="26" t="str">
        <f t="shared" si="1"/>
        <v>Venezuela</v>
      </c>
    </row>
    <row r="116" spans="1:9">
      <c r="A116" s="66">
        <v>982773322104255</v>
      </c>
      <c r="B116" s="75" t="s">
        <v>594</v>
      </c>
      <c r="C116" s="26" t="s">
        <v>595</v>
      </c>
      <c r="D116" s="26">
        <v>84734803</v>
      </c>
      <c r="E116" s="67">
        <v>44776</v>
      </c>
      <c r="F116" s="66">
        <v>58</v>
      </c>
      <c r="G116" s="74">
        <v>9479793882</v>
      </c>
      <c r="H116" s="69">
        <v>16243</v>
      </c>
      <c r="I116" s="26" t="str">
        <f t="shared" si="1"/>
        <v>Venezuela</v>
      </c>
    </row>
    <row r="117" spans="1:9">
      <c r="A117" s="66">
        <v>988313783088845</v>
      </c>
      <c r="B117" s="75" t="s">
        <v>596</v>
      </c>
      <c r="C117" s="26" t="s">
        <v>597</v>
      </c>
      <c r="D117" s="26">
        <v>73871243</v>
      </c>
      <c r="E117" s="67">
        <v>45093</v>
      </c>
      <c r="F117" s="66">
        <v>58</v>
      </c>
      <c r="G117" s="74">
        <v>8980767692</v>
      </c>
      <c r="H117" s="69">
        <v>98430</v>
      </c>
      <c r="I117" s="26" t="str">
        <f t="shared" si="1"/>
        <v>Venezuela</v>
      </c>
    </row>
    <row r="118" spans="1:9">
      <c r="A118" s="66">
        <v>926654938587501</v>
      </c>
      <c r="B118" s="75" t="s">
        <v>598</v>
      </c>
      <c r="C118" s="26" t="s">
        <v>599</v>
      </c>
      <c r="D118" s="26">
        <v>68430322</v>
      </c>
      <c r="E118" s="67">
        <v>45312</v>
      </c>
      <c r="F118" s="66">
        <v>58</v>
      </c>
      <c r="G118" s="74">
        <v>7005090968</v>
      </c>
      <c r="H118" s="69">
        <v>21501</v>
      </c>
      <c r="I118" s="26" t="str">
        <f t="shared" si="1"/>
        <v>Venezuela</v>
      </c>
    </row>
    <row r="119" spans="1:9">
      <c r="A119" s="66">
        <v>821770897808985</v>
      </c>
      <c r="B119" s="75" t="s">
        <v>600</v>
      </c>
      <c r="C119" s="26" t="s">
        <v>601</v>
      </c>
      <c r="D119" s="26">
        <v>63509261</v>
      </c>
      <c r="E119" s="67">
        <v>44534</v>
      </c>
      <c r="F119" s="66">
        <v>58</v>
      </c>
      <c r="G119" s="74">
        <v>8883597027</v>
      </c>
      <c r="H119" s="69">
        <v>41391</v>
      </c>
      <c r="I119" s="26" t="str">
        <f t="shared" si="1"/>
        <v>Venezuela</v>
      </c>
    </row>
    <row r="120" spans="1:9">
      <c r="A120" s="66">
        <v>920680833145916</v>
      </c>
      <c r="B120" s="75" t="s">
        <v>602</v>
      </c>
      <c r="C120" s="26" t="s">
        <v>603</v>
      </c>
      <c r="D120" s="26">
        <v>79133522</v>
      </c>
      <c r="E120" s="67">
        <v>44019</v>
      </c>
      <c r="F120" s="66">
        <v>58</v>
      </c>
      <c r="G120" s="74">
        <v>4861144563</v>
      </c>
      <c r="H120" s="69">
        <v>40036</v>
      </c>
      <c r="I120" s="26" t="str">
        <f t="shared" si="1"/>
        <v>Venezuela</v>
      </c>
    </row>
    <row r="121" spans="1:9">
      <c r="A121" s="66">
        <v>925063950876551</v>
      </c>
      <c r="B121" s="75" t="s">
        <v>604</v>
      </c>
      <c r="C121" s="26" t="s">
        <v>605</v>
      </c>
      <c r="D121" s="26">
        <v>67353572</v>
      </c>
      <c r="E121" s="67">
        <v>44498</v>
      </c>
      <c r="F121" s="66">
        <v>58</v>
      </c>
      <c r="G121" s="74">
        <v>7167090772</v>
      </c>
      <c r="H121" s="69">
        <v>34723</v>
      </c>
      <c r="I121" s="26" t="str">
        <f t="shared" si="1"/>
        <v>Venezuela</v>
      </c>
    </row>
    <row r="122" spans="1:9">
      <c r="A122" s="66">
        <v>962547138980936</v>
      </c>
      <c r="B122" s="75" t="s">
        <v>606</v>
      </c>
      <c r="C122" s="26" t="s">
        <v>607</v>
      </c>
      <c r="D122" s="26">
        <v>78961750</v>
      </c>
      <c r="E122" s="67">
        <v>43627</v>
      </c>
      <c r="F122" s="66">
        <v>58</v>
      </c>
      <c r="G122" s="74">
        <v>9751852875</v>
      </c>
      <c r="H122" s="69">
        <v>49116</v>
      </c>
      <c r="I122" s="26" t="str">
        <f t="shared" si="1"/>
        <v>Venezuela</v>
      </c>
    </row>
    <row r="123" spans="1:9">
      <c r="A123" s="66">
        <v>853654290551582</v>
      </c>
      <c r="B123" s="75" t="s">
        <v>608</v>
      </c>
      <c r="C123" s="26" t="s">
        <v>609</v>
      </c>
      <c r="D123" s="26">
        <v>62976034</v>
      </c>
      <c r="E123" s="67">
        <v>43798</v>
      </c>
      <c r="F123" s="66">
        <v>58</v>
      </c>
      <c r="G123" s="74">
        <v>5223571818</v>
      </c>
      <c r="H123" s="69">
        <v>85600</v>
      </c>
      <c r="I123" s="26" t="str">
        <f t="shared" si="1"/>
        <v>Venezuela</v>
      </c>
    </row>
    <row r="124" spans="1:9">
      <c r="A124" s="66">
        <v>842560939528909</v>
      </c>
      <c r="B124" s="75" t="s">
        <v>610</v>
      </c>
      <c r="C124" s="26" t="s">
        <v>611</v>
      </c>
      <c r="D124" s="26">
        <v>89005734</v>
      </c>
      <c r="E124" s="67">
        <v>43613</v>
      </c>
      <c r="F124" s="66">
        <v>58</v>
      </c>
      <c r="G124" s="74">
        <v>8811664753</v>
      </c>
      <c r="H124" s="69">
        <v>71282</v>
      </c>
      <c r="I124" s="26" t="str">
        <f t="shared" si="1"/>
        <v>Venezuela</v>
      </c>
    </row>
    <row r="125" spans="1:9">
      <c r="A125" s="66">
        <v>989595954647597</v>
      </c>
      <c r="B125" s="75" t="s">
        <v>612</v>
      </c>
      <c r="C125" s="26" t="s">
        <v>613</v>
      </c>
      <c r="D125" s="26">
        <v>88749928</v>
      </c>
      <c r="E125" s="67">
        <v>43575</v>
      </c>
      <c r="F125" s="66">
        <v>58</v>
      </c>
      <c r="G125" s="74">
        <v>8739482054</v>
      </c>
      <c r="H125" s="69">
        <v>54521</v>
      </c>
      <c r="I125" s="26" t="str">
        <f t="shared" si="1"/>
        <v>Venezuela</v>
      </c>
    </row>
    <row r="126" spans="1:9">
      <c r="A126" s="66">
        <v>899117527863768</v>
      </c>
      <c r="B126" s="75" t="s">
        <v>614</v>
      </c>
      <c r="C126" s="26" t="s">
        <v>615</v>
      </c>
      <c r="D126" s="26">
        <v>63394023</v>
      </c>
      <c r="E126" s="67">
        <v>44716</v>
      </c>
      <c r="F126" s="66">
        <v>58</v>
      </c>
      <c r="G126" s="74">
        <v>8683407302</v>
      </c>
      <c r="H126" s="69">
        <v>7624</v>
      </c>
      <c r="I126" s="26" t="str">
        <f t="shared" si="1"/>
        <v>Venezuela</v>
      </c>
    </row>
    <row r="127" spans="1:9">
      <c r="A127" s="66">
        <v>972469654650698</v>
      </c>
      <c r="B127" s="75" t="s">
        <v>616</v>
      </c>
      <c r="C127" s="26" t="s">
        <v>617</v>
      </c>
      <c r="D127" s="26">
        <v>71706352</v>
      </c>
      <c r="E127" s="67">
        <v>44762</v>
      </c>
      <c r="F127" s="66">
        <v>58</v>
      </c>
      <c r="G127" s="74">
        <v>9291468888</v>
      </c>
      <c r="H127" s="69">
        <v>69359</v>
      </c>
      <c r="I127" s="26" t="str">
        <f t="shared" si="1"/>
        <v>Venezuela</v>
      </c>
    </row>
    <row r="128" spans="1:9">
      <c r="A128" s="66">
        <v>958234762200317</v>
      </c>
      <c r="B128" s="75" t="s">
        <v>618</v>
      </c>
      <c r="C128" s="26" t="s">
        <v>619</v>
      </c>
      <c r="D128" s="26">
        <v>83620290</v>
      </c>
      <c r="E128" s="67">
        <v>44937</v>
      </c>
      <c r="F128" s="66">
        <v>58</v>
      </c>
      <c r="G128" s="74">
        <v>7207064751</v>
      </c>
      <c r="H128" s="69">
        <v>71460</v>
      </c>
      <c r="I128" s="26" t="str">
        <f t="shared" si="1"/>
        <v>Venezuela</v>
      </c>
    </row>
    <row r="129" spans="1:9">
      <c r="A129" s="66">
        <v>883176859223095</v>
      </c>
      <c r="B129" s="75" t="s">
        <v>620</v>
      </c>
      <c r="C129" s="26" t="s">
        <v>621</v>
      </c>
      <c r="D129" s="26">
        <v>68154660</v>
      </c>
      <c r="E129" s="67">
        <v>43811</v>
      </c>
      <c r="F129" s="66">
        <v>58</v>
      </c>
      <c r="G129" s="74">
        <v>6475290941</v>
      </c>
      <c r="H129" s="69">
        <v>88575</v>
      </c>
      <c r="I129" s="26" t="str">
        <f t="shared" si="1"/>
        <v>Venezuela</v>
      </c>
    </row>
    <row r="130" spans="1:9">
      <c r="A130" s="66">
        <v>882833102515043</v>
      </c>
      <c r="B130" s="75" t="s">
        <v>622</v>
      </c>
      <c r="C130" s="26" t="s">
        <v>623</v>
      </c>
      <c r="D130" s="26">
        <v>86001017</v>
      </c>
      <c r="E130" s="67">
        <v>44653</v>
      </c>
      <c r="F130" s="66">
        <v>58</v>
      </c>
      <c r="G130" s="74">
        <v>9360313628</v>
      </c>
      <c r="H130" s="69">
        <v>39866</v>
      </c>
      <c r="I130" s="26" t="str">
        <f t="shared" si="1"/>
        <v>Venezuela</v>
      </c>
    </row>
    <row r="131" spans="1:9">
      <c r="A131" s="66">
        <v>936769375066333</v>
      </c>
      <c r="B131" s="75" t="s">
        <v>624</v>
      </c>
      <c r="C131" s="26" t="s">
        <v>625</v>
      </c>
      <c r="D131" s="26">
        <v>85139365</v>
      </c>
      <c r="E131" s="67">
        <v>44769</v>
      </c>
      <c r="F131" s="66">
        <v>58</v>
      </c>
      <c r="G131" s="74">
        <v>8143254681</v>
      </c>
      <c r="H131" s="69">
        <v>57458</v>
      </c>
      <c r="I131" s="26" t="str">
        <f t="shared" ref="I131:I194" si="2">IF(F131=91,"India",IF(F131=1,"United Staes",IF(F131=7,"Russia",IF(F131=34,"Spain",IF(F131=45,"Denmark",IF(F131=33,"France",IF(F131=61,"Australia",IF(F131=49,"German",IF(F131=81,"Japan",IF(F131=55,"Brazil",IF(F131=44,"United Kindom",IF(F131=27,"South Africa",IF(F131=380,"Ukrain",IF(F131=48,"Poland",IF(F131=82,"South Korea",IF(F131=966,"Saudi Arabia",IF(F131=41,"Swizerland",IF(F131=975,"Bhutan",IF(F131=974,"Qatar",IF(F131=977,"Nepal",IF(F131=972,"Isreal",IF(F131=93,"Afghanistan",IF(F131=351,"Portugal",IF(F131=54,"Argentina",IF(F131=374,"Armrnia",IF(F131=64,"New Zealand",IF(F131=62,"Indonesia",IF(F131=39,"Italy",IF(F131=46,"Sweden",IF(F131=58,"Venezuela",IF(F131=57,"Colombia",IF(F131=63,"Philippines",IF(F131=850,"North Korea",IF(F131=976,"Mongolia","Not exist in this Nation"))))))))))))))))))))))))))))))))))</f>
        <v>Venezuela</v>
      </c>
    </row>
    <row r="132" spans="1:9">
      <c r="A132" s="66">
        <v>990363298912678</v>
      </c>
      <c r="B132" s="26" t="s">
        <v>626</v>
      </c>
      <c r="C132" s="26" t="s">
        <v>627</v>
      </c>
      <c r="D132" s="26">
        <v>78210303</v>
      </c>
      <c r="E132" s="67">
        <v>43519</v>
      </c>
      <c r="F132" s="66">
        <v>49</v>
      </c>
      <c r="G132" s="76">
        <v>8776650324</v>
      </c>
      <c r="H132" s="69">
        <v>70952</v>
      </c>
      <c r="I132" s="26" t="str">
        <f t="shared" si="2"/>
        <v>German</v>
      </c>
    </row>
    <row r="133" spans="1:9">
      <c r="A133" s="66">
        <v>954398349137008</v>
      </c>
      <c r="B133" s="26" t="s">
        <v>628</v>
      </c>
      <c r="C133" s="26" t="s">
        <v>629</v>
      </c>
      <c r="D133" s="26">
        <v>62067196</v>
      </c>
      <c r="E133" s="67">
        <v>43761</v>
      </c>
      <c r="F133" s="66">
        <v>49</v>
      </c>
      <c r="G133" s="76">
        <v>9218331982</v>
      </c>
      <c r="H133" s="69">
        <v>27520</v>
      </c>
      <c r="I133" s="26" t="str">
        <f t="shared" si="2"/>
        <v>German</v>
      </c>
    </row>
    <row r="134" spans="1:9">
      <c r="A134" s="66">
        <v>946982625000144</v>
      </c>
      <c r="B134" s="26" t="s">
        <v>630</v>
      </c>
      <c r="C134" s="26" t="s">
        <v>631</v>
      </c>
      <c r="D134" s="26">
        <v>63780916</v>
      </c>
      <c r="E134" s="67">
        <v>43486</v>
      </c>
      <c r="F134" s="66">
        <v>49</v>
      </c>
      <c r="G134" s="76">
        <v>9524433544</v>
      </c>
      <c r="H134" s="69">
        <v>20788</v>
      </c>
      <c r="I134" s="26" t="str">
        <f t="shared" si="2"/>
        <v>German</v>
      </c>
    </row>
    <row r="135" spans="1:9">
      <c r="A135" s="66">
        <v>847257575981595</v>
      </c>
      <c r="B135" s="26" t="s">
        <v>632</v>
      </c>
      <c r="C135" s="26" t="s">
        <v>633</v>
      </c>
      <c r="D135" s="26">
        <v>85093160</v>
      </c>
      <c r="E135" s="67">
        <v>44044</v>
      </c>
      <c r="F135" s="66">
        <v>49</v>
      </c>
      <c r="G135" s="76">
        <v>4579981211</v>
      </c>
      <c r="H135" s="69">
        <v>18980</v>
      </c>
      <c r="I135" s="26" t="str">
        <f t="shared" si="2"/>
        <v>German</v>
      </c>
    </row>
    <row r="136" spans="1:9">
      <c r="A136" s="66">
        <v>963002923877193</v>
      </c>
      <c r="B136" s="26" t="s">
        <v>634</v>
      </c>
      <c r="C136" s="26" t="s">
        <v>635</v>
      </c>
      <c r="D136" s="26">
        <v>80705356</v>
      </c>
      <c r="E136" s="67">
        <v>44107</v>
      </c>
      <c r="F136" s="66">
        <v>49</v>
      </c>
      <c r="G136" s="76">
        <v>5904463811</v>
      </c>
      <c r="H136" s="69">
        <v>84017</v>
      </c>
      <c r="I136" s="26" t="str">
        <f t="shared" si="2"/>
        <v>German</v>
      </c>
    </row>
    <row r="137" spans="1:9">
      <c r="A137" s="66">
        <v>817063521510042</v>
      </c>
      <c r="B137" s="26" t="s">
        <v>636</v>
      </c>
      <c r="C137" s="26" t="s">
        <v>637</v>
      </c>
      <c r="D137" s="26">
        <v>61327503</v>
      </c>
      <c r="E137" s="67">
        <v>44968</v>
      </c>
      <c r="F137" s="66">
        <v>49</v>
      </c>
      <c r="G137" s="76">
        <v>7114025929</v>
      </c>
      <c r="H137" s="69">
        <v>34036</v>
      </c>
      <c r="I137" s="26" t="str">
        <f t="shared" si="2"/>
        <v>German</v>
      </c>
    </row>
    <row r="138" spans="1:9">
      <c r="A138" s="66">
        <v>833933109939865</v>
      </c>
      <c r="B138" s="26" t="s">
        <v>638</v>
      </c>
      <c r="C138" s="26" t="s">
        <v>639</v>
      </c>
      <c r="D138" s="26">
        <v>87431706</v>
      </c>
      <c r="E138" s="67">
        <v>43937</v>
      </c>
      <c r="F138" s="66">
        <v>49</v>
      </c>
      <c r="G138" s="76">
        <v>8406210516</v>
      </c>
      <c r="H138" s="69">
        <v>97561</v>
      </c>
      <c r="I138" s="26" t="str">
        <f t="shared" si="2"/>
        <v>German</v>
      </c>
    </row>
    <row r="139" spans="1:9">
      <c r="A139" s="66">
        <v>898249780511658</v>
      </c>
      <c r="B139" s="26" t="s">
        <v>640</v>
      </c>
      <c r="C139" s="26" t="s">
        <v>641</v>
      </c>
      <c r="D139" s="26">
        <v>78138051</v>
      </c>
      <c r="E139" s="67">
        <v>45417</v>
      </c>
      <c r="F139" s="66">
        <v>49</v>
      </c>
      <c r="G139" s="76">
        <v>9729253209</v>
      </c>
      <c r="H139" s="69">
        <v>59941</v>
      </c>
      <c r="I139" s="26" t="str">
        <f t="shared" si="2"/>
        <v>German</v>
      </c>
    </row>
    <row r="140" spans="1:9">
      <c r="A140" s="66">
        <v>943943630175646</v>
      </c>
      <c r="B140" s="26" t="s">
        <v>642</v>
      </c>
      <c r="C140" s="26" t="s">
        <v>643</v>
      </c>
      <c r="D140" s="26">
        <v>87056097</v>
      </c>
      <c r="E140" s="67">
        <v>44557</v>
      </c>
      <c r="F140" s="66">
        <v>49</v>
      </c>
      <c r="G140" s="76">
        <v>9226632902</v>
      </c>
      <c r="H140" s="69">
        <v>42702</v>
      </c>
      <c r="I140" s="26" t="str">
        <f t="shared" si="2"/>
        <v>German</v>
      </c>
    </row>
    <row r="141" spans="1:9">
      <c r="A141" s="66">
        <v>979271472524503</v>
      </c>
      <c r="B141" s="26" t="s">
        <v>644</v>
      </c>
      <c r="C141" s="26" t="s">
        <v>645</v>
      </c>
      <c r="D141" s="26">
        <v>88416111</v>
      </c>
      <c r="E141" s="67">
        <v>45033</v>
      </c>
      <c r="F141" s="66">
        <v>49</v>
      </c>
      <c r="G141" s="76">
        <v>8880564491</v>
      </c>
      <c r="H141" s="69">
        <v>39030</v>
      </c>
      <c r="I141" s="26" t="str">
        <f t="shared" si="2"/>
        <v>German</v>
      </c>
    </row>
    <row r="142" spans="1:9">
      <c r="A142" s="66">
        <v>925695130618929</v>
      </c>
      <c r="B142" s="26" t="s">
        <v>646</v>
      </c>
      <c r="C142" s="26" t="s">
        <v>647</v>
      </c>
      <c r="D142" s="26">
        <v>78102899</v>
      </c>
      <c r="E142" s="67">
        <v>43944</v>
      </c>
      <c r="F142" s="66">
        <v>49</v>
      </c>
      <c r="G142" s="76">
        <v>8909638033</v>
      </c>
      <c r="H142" s="69">
        <v>42298</v>
      </c>
      <c r="I142" s="26" t="str">
        <f t="shared" si="2"/>
        <v>German</v>
      </c>
    </row>
    <row r="143" spans="1:9">
      <c r="A143" s="66">
        <v>828228675774862</v>
      </c>
      <c r="B143" s="26" t="s">
        <v>648</v>
      </c>
      <c r="C143" s="26" t="s">
        <v>649</v>
      </c>
      <c r="D143" s="26">
        <v>78873413</v>
      </c>
      <c r="E143" s="67">
        <v>45019</v>
      </c>
      <c r="F143" s="66">
        <v>49</v>
      </c>
      <c r="G143" s="76">
        <v>5013518038</v>
      </c>
      <c r="H143" s="69">
        <v>71482</v>
      </c>
      <c r="I143" s="26" t="str">
        <f t="shared" si="2"/>
        <v>German</v>
      </c>
    </row>
    <row r="144" spans="1:9">
      <c r="A144" s="66">
        <v>969104094578916</v>
      </c>
      <c r="B144" s="26" t="s">
        <v>650</v>
      </c>
      <c r="C144" s="26" t="s">
        <v>651</v>
      </c>
      <c r="D144" s="26">
        <v>62261007</v>
      </c>
      <c r="E144" s="67">
        <v>44593</v>
      </c>
      <c r="F144" s="66">
        <v>49</v>
      </c>
      <c r="G144" s="76">
        <v>5457947130</v>
      </c>
      <c r="H144" s="69">
        <v>92943</v>
      </c>
      <c r="I144" s="26" t="str">
        <f t="shared" si="2"/>
        <v>German</v>
      </c>
    </row>
    <row r="145" spans="1:9">
      <c r="A145" s="66">
        <v>953432945064405</v>
      </c>
      <c r="B145" s="26" t="s">
        <v>652</v>
      </c>
      <c r="C145" s="26" t="s">
        <v>653</v>
      </c>
      <c r="D145" s="26">
        <v>86806551</v>
      </c>
      <c r="E145" s="67">
        <v>45221</v>
      </c>
      <c r="F145" s="66">
        <v>49</v>
      </c>
      <c r="G145" s="76">
        <v>8739139382</v>
      </c>
      <c r="H145" s="69">
        <v>52983</v>
      </c>
      <c r="I145" s="26" t="str">
        <f t="shared" si="2"/>
        <v>German</v>
      </c>
    </row>
    <row r="146" spans="1:9">
      <c r="A146" s="66">
        <v>938124101738993</v>
      </c>
      <c r="B146" s="26" t="s">
        <v>654</v>
      </c>
      <c r="C146" s="26" t="s">
        <v>655</v>
      </c>
      <c r="D146" s="26">
        <v>78486909</v>
      </c>
      <c r="E146" s="67">
        <v>43605</v>
      </c>
      <c r="F146" s="66">
        <v>49</v>
      </c>
      <c r="G146" s="76">
        <v>6171938658</v>
      </c>
      <c r="H146" s="69">
        <v>16130</v>
      </c>
      <c r="I146" s="26" t="str">
        <f t="shared" si="2"/>
        <v>German</v>
      </c>
    </row>
    <row r="147" spans="1:9">
      <c r="A147" s="66">
        <v>877951844947160</v>
      </c>
      <c r="B147" s="26" t="s">
        <v>656</v>
      </c>
      <c r="C147" s="26" t="s">
        <v>657</v>
      </c>
      <c r="D147" s="26">
        <v>66915366</v>
      </c>
      <c r="E147" s="67">
        <v>43490</v>
      </c>
      <c r="F147" s="66">
        <v>49</v>
      </c>
      <c r="G147" s="76">
        <v>8159837097</v>
      </c>
      <c r="H147" s="69">
        <v>38076</v>
      </c>
      <c r="I147" s="26" t="str">
        <f t="shared" si="2"/>
        <v>German</v>
      </c>
    </row>
    <row r="148" spans="1:9">
      <c r="A148" s="66">
        <v>986205930589349</v>
      </c>
      <c r="B148" s="26" t="s">
        <v>658</v>
      </c>
      <c r="C148" s="26" t="s">
        <v>659</v>
      </c>
      <c r="D148" s="26">
        <v>66926936</v>
      </c>
      <c r="E148" s="67">
        <v>45392</v>
      </c>
      <c r="F148" s="66">
        <v>49</v>
      </c>
      <c r="G148" s="76">
        <v>7019613752</v>
      </c>
      <c r="H148" s="69">
        <v>18855</v>
      </c>
      <c r="I148" s="26" t="str">
        <f t="shared" si="2"/>
        <v>German</v>
      </c>
    </row>
    <row r="149" spans="1:9">
      <c r="A149" s="66">
        <v>810046613715007</v>
      </c>
      <c r="B149" s="26" t="s">
        <v>660</v>
      </c>
      <c r="C149" s="26" t="s">
        <v>661</v>
      </c>
      <c r="D149" s="26">
        <v>61369405</v>
      </c>
      <c r="E149" s="67">
        <v>45517</v>
      </c>
      <c r="F149" s="66">
        <v>49</v>
      </c>
      <c r="G149" s="76">
        <v>8544501090</v>
      </c>
      <c r="H149" s="69">
        <v>16972</v>
      </c>
      <c r="I149" s="26" t="str">
        <f t="shared" si="2"/>
        <v>German</v>
      </c>
    </row>
    <row r="150" spans="1:9">
      <c r="A150" s="66">
        <v>826161793787297</v>
      </c>
      <c r="B150" s="26" t="s">
        <v>662</v>
      </c>
      <c r="C150" s="26" t="s">
        <v>663</v>
      </c>
      <c r="D150" s="26">
        <v>66579124</v>
      </c>
      <c r="E150" s="67">
        <v>44622</v>
      </c>
      <c r="F150" s="66">
        <v>49</v>
      </c>
      <c r="G150" s="76">
        <v>8130075580</v>
      </c>
      <c r="H150" s="69">
        <v>30635</v>
      </c>
      <c r="I150" s="26" t="str">
        <f t="shared" si="2"/>
        <v>German</v>
      </c>
    </row>
    <row r="151" spans="1:9">
      <c r="A151" s="66">
        <v>822274398776224</v>
      </c>
      <c r="B151" s="26" t="s">
        <v>664</v>
      </c>
      <c r="C151" s="26" t="s">
        <v>665</v>
      </c>
      <c r="D151" s="26">
        <v>81577120</v>
      </c>
      <c r="E151" s="67">
        <v>44387</v>
      </c>
      <c r="F151" s="66">
        <v>49</v>
      </c>
      <c r="G151" s="76">
        <v>5363485133</v>
      </c>
      <c r="H151" s="69">
        <v>65148</v>
      </c>
      <c r="I151" s="26" t="str">
        <f t="shared" si="2"/>
        <v>German</v>
      </c>
    </row>
    <row r="152" spans="1:9">
      <c r="A152" s="66">
        <v>959637195260262</v>
      </c>
      <c r="B152" s="26" t="s">
        <v>666</v>
      </c>
      <c r="C152" s="26" t="s">
        <v>667</v>
      </c>
      <c r="D152" s="26">
        <v>87596437</v>
      </c>
      <c r="E152" s="67">
        <v>44958</v>
      </c>
      <c r="F152" s="66">
        <v>49</v>
      </c>
      <c r="G152" s="76">
        <v>4909431782</v>
      </c>
      <c r="H152" s="69">
        <v>49102</v>
      </c>
      <c r="I152" s="26" t="str">
        <f t="shared" si="2"/>
        <v>German</v>
      </c>
    </row>
    <row r="153" spans="1:9">
      <c r="A153" s="66">
        <v>932549954413796</v>
      </c>
      <c r="B153" s="26" t="s">
        <v>668</v>
      </c>
      <c r="C153" s="26" t="s">
        <v>669</v>
      </c>
      <c r="D153" s="26">
        <v>71330222</v>
      </c>
      <c r="E153" s="67">
        <v>45148</v>
      </c>
      <c r="F153" s="66">
        <v>49</v>
      </c>
      <c r="G153" s="76">
        <v>5616287676</v>
      </c>
      <c r="H153" s="69">
        <v>40754</v>
      </c>
      <c r="I153" s="26" t="str">
        <f t="shared" si="2"/>
        <v>German</v>
      </c>
    </row>
    <row r="154" spans="1:9">
      <c r="A154" s="66">
        <v>925718306967268</v>
      </c>
      <c r="B154" s="26" t="s">
        <v>670</v>
      </c>
      <c r="C154" s="26" t="s">
        <v>671</v>
      </c>
      <c r="D154" s="26">
        <v>82992402</v>
      </c>
      <c r="E154" s="67">
        <v>45564</v>
      </c>
      <c r="F154" s="66">
        <v>49</v>
      </c>
      <c r="G154" s="76">
        <v>9868709936</v>
      </c>
      <c r="H154" s="69">
        <v>79608</v>
      </c>
      <c r="I154" s="26" t="str">
        <f t="shared" si="2"/>
        <v>German</v>
      </c>
    </row>
    <row r="155" spans="1:9">
      <c r="A155" s="66">
        <v>936385443490106</v>
      </c>
      <c r="B155" s="26" t="s">
        <v>672</v>
      </c>
      <c r="C155" s="26" t="s">
        <v>673</v>
      </c>
      <c r="D155" s="26">
        <v>65121715</v>
      </c>
      <c r="E155" s="67">
        <v>43791</v>
      </c>
      <c r="F155" s="66">
        <v>49</v>
      </c>
      <c r="G155" s="76">
        <v>8854302403</v>
      </c>
      <c r="H155" s="69">
        <v>40029</v>
      </c>
      <c r="I155" s="26" t="str">
        <f t="shared" si="2"/>
        <v>German</v>
      </c>
    </row>
    <row r="156" spans="1:9">
      <c r="A156" s="66">
        <v>975095917527067</v>
      </c>
      <c r="B156" s="26" t="s">
        <v>674</v>
      </c>
      <c r="C156" s="26" t="s">
        <v>675</v>
      </c>
      <c r="D156" s="26">
        <v>88785486</v>
      </c>
      <c r="E156" s="67">
        <v>44489</v>
      </c>
      <c r="F156" s="66">
        <v>49</v>
      </c>
      <c r="G156" s="76">
        <v>7236846171</v>
      </c>
      <c r="H156" s="69">
        <v>64334</v>
      </c>
      <c r="I156" s="26" t="str">
        <f t="shared" si="2"/>
        <v>German</v>
      </c>
    </row>
    <row r="157" spans="1:9">
      <c r="A157" s="66">
        <v>893662189076463</v>
      </c>
      <c r="B157" s="26" t="s">
        <v>676</v>
      </c>
      <c r="C157" s="26" t="s">
        <v>677</v>
      </c>
      <c r="D157" s="26">
        <v>72030522</v>
      </c>
      <c r="E157" s="67">
        <v>44791</v>
      </c>
      <c r="F157" s="66">
        <v>49</v>
      </c>
      <c r="G157" s="76">
        <v>6156094008</v>
      </c>
      <c r="H157" s="69">
        <v>14406</v>
      </c>
      <c r="I157" s="26" t="str">
        <f t="shared" si="2"/>
        <v>German</v>
      </c>
    </row>
    <row r="158" spans="1:9">
      <c r="A158" s="66">
        <v>979858909965541</v>
      </c>
      <c r="B158" s="26" t="s">
        <v>678</v>
      </c>
      <c r="C158" s="26" t="s">
        <v>679</v>
      </c>
      <c r="D158" s="26">
        <v>81168839</v>
      </c>
      <c r="E158" s="67">
        <v>44797</v>
      </c>
      <c r="F158" s="66">
        <v>49</v>
      </c>
      <c r="G158" s="76">
        <v>5573521786</v>
      </c>
      <c r="H158" s="69">
        <v>87630</v>
      </c>
      <c r="I158" s="26" t="str">
        <f t="shared" si="2"/>
        <v>German</v>
      </c>
    </row>
    <row r="159" spans="1:9">
      <c r="A159" s="66">
        <v>954589028837527</v>
      </c>
      <c r="B159" s="26" t="s">
        <v>680</v>
      </c>
      <c r="C159" s="26" t="s">
        <v>681</v>
      </c>
      <c r="D159" s="26">
        <v>72849113</v>
      </c>
      <c r="E159" s="67">
        <v>45168</v>
      </c>
      <c r="F159" s="66">
        <v>49</v>
      </c>
      <c r="G159" s="76">
        <v>8512277528</v>
      </c>
      <c r="H159" s="69">
        <v>26162</v>
      </c>
      <c r="I159" s="26" t="str">
        <f t="shared" si="2"/>
        <v>German</v>
      </c>
    </row>
    <row r="160" spans="1:9">
      <c r="A160" s="66">
        <v>980119178849211</v>
      </c>
      <c r="B160" s="26" t="s">
        <v>682</v>
      </c>
      <c r="C160" s="26" t="s">
        <v>683</v>
      </c>
      <c r="D160" s="26">
        <v>61893610</v>
      </c>
      <c r="E160" s="67">
        <v>45322</v>
      </c>
      <c r="F160" s="66">
        <v>49</v>
      </c>
      <c r="G160" s="76">
        <v>4931465169</v>
      </c>
      <c r="H160" s="69">
        <v>54286</v>
      </c>
      <c r="I160" s="26" t="str">
        <f t="shared" si="2"/>
        <v>German</v>
      </c>
    </row>
    <row r="161" spans="1:9">
      <c r="A161" s="66">
        <v>820042926345556</v>
      </c>
      <c r="B161" s="26" t="s">
        <v>684</v>
      </c>
      <c r="C161" s="26" t="s">
        <v>685</v>
      </c>
      <c r="D161" s="26">
        <v>70904035</v>
      </c>
      <c r="E161" s="67">
        <v>45409</v>
      </c>
      <c r="F161" s="66">
        <v>49</v>
      </c>
      <c r="G161" s="76">
        <v>7470048893</v>
      </c>
      <c r="H161" s="69">
        <v>7922</v>
      </c>
      <c r="I161" s="26" t="str">
        <f t="shared" si="2"/>
        <v>German</v>
      </c>
    </row>
    <row r="162" spans="1:9">
      <c r="A162" s="66">
        <v>828508767901506</v>
      </c>
      <c r="B162" s="26" t="s">
        <v>686</v>
      </c>
      <c r="C162" s="26" t="s">
        <v>687</v>
      </c>
      <c r="D162" s="26">
        <v>78297623</v>
      </c>
      <c r="E162" s="67">
        <v>44576</v>
      </c>
      <c r="F162" s="66">
        <v>7</v>
      </c>
      <c r="G162" s="72">
        <v>9641334705</v>
      </c>
      <c r="H162" s="69">
        <v>78796</v>
      </c>
      <c r="I162" s="26" t="str">
        <f t="shared" si="2"/>
        <v>Russia</v>
      </c>
    </row>
    <row r="163" spans="1:9">
      <c r="A163" s="66">
        <v>829625490048635</v>
      </c>
      <c r="B163" s="26" t="s">
        <v>688</v>
      </c>
      <c r="C163" s="26" t="s">
        <v>689</v>
      </c>
      <c r="D163" s="26">
        <v>74674577</v>
      </c>
      <c r="E163" s="67">
        <v>44031</v>
      </c>
      <c r="F163" s="66">
        <v>7</v>
      </c>
      <c r="G163" s="72">
        <v>9350008101</v>
      </c>
      <c r="H163" s="69">
        <v>83328</v>
      </c>
      <c r="I163" s="26" t="str">
        <f t="shared" si="2"/>
        <v>Russia</v>
      </c>
    </row>
    <row r="164" spans="1:9">
      <c r="A164" s="66">
        <v>860725249800774</v>
      </c>
      <c r="B164" s="26" t="s">
        <v>690</v>
      </c>
      <c r="C164" s="26" t="s">
        <v>691</v>
      </c>
      <c r="D164" s="26">
        <v>84540367</v>
      </c>
      <c r="E164" s="67">
        <v>44310</v>
      </c>
      <c r="F164" s="66">
        <v>7</v>
      </c>
      <c r="G164" s="72">
        <v>7487962420</v>
      </c>
      <c r="H164" s="69">
        <v>49835</v>
      </c>
      <c r="I164" s="26" t="str">
        <f t="shared" si="2"/>
        <v>Russia</v>
      </c>
    </row>
    <row r="165" spans="1:9">
      <c r="A165" s="66">
        <v>859993881290743</v>
      </c>
      <c r="B165" s="26" t="s">
        <v>692</v>
      </c>
      <c r="C165" s="26" t="s">
        <v>693</v>
      </c>
      <c r="D165" s="26">
        <v>76763254</v>
      </c>
      <c r="E165" s="67">
        <v>44781</v>
      </c>
      <c r="F165" s="66">
        <v>7</v>
      </c>
      <c r="G165" s="72">
        <v>8784828087</v>
      </c>
      <c r="H165" s="69">
        <v>73656</v>
      </c>
      <c r="I165" s="26" t="str">
        <f t="shared" si="2"/>
        <v>Russia</v>
      </c>
    </row>
    <row r="166" spans="1:9">
      <c r="A166" s="66">
        <v>982970269741064</v>
      </c>
      <c r="B166" s="26" t="s">
        <v>694</v>
      </c>
      <c r="C166" s="26" t="s">
        <v>695</v>
      </c>
      <c r="D166" s="26">
        <v>81309331</v>
      </c>
      <c r="E166" s="67">
        <v>44439</v>
      </c>
      <c r="F166" s="66">
        <v>7</v>
      </c>
      <c r="G166" s="72">
        <v>6802042042</v>
      </c>
      <c r="H166" s="69">
        <v>13758</v>
      </c>
      <c r="I166" s="26" t="str">
        <f t="shared" si="2"/>
        <v>Russia</v>
      </c>
    </row>
    <row r="167" spans="1:9">
      <c r="A167" s="66">
        <v>945735618360901</v>
      </c>
      <c r="B167" s="26" t="s">
        <v>696</v>
      </c>
      <c r="C167" s="26" t="s">
        <v>697</v>
      </c>
      <c r="D167" s="26">
        <v>82219727</v>
      </c>
      <c r="E167" s="67">
        <v>44295</v>
      </c>
      <c r="F167" s="66">
        <v>7</v>
      </c>
      <c r="G167" s="72">
        <v>5506836979</v>
      </c>
      <c r="H167" s="69">
        <v>80001</v>
      </c>
      <c r="I167" s="26" t="str">
        <f t="shared" si="2"/>
        <v>Russia</v>
      </c>
    </row>
    <row r="168" spans="1:9">
      <c r="A168" s="66">
        <v>807413239626537</v>
      </c>
      <c r="B168" s="26" t="s">
        <v>698</v>
      </c>
      <c r="C168" s="26" t="s">
        <v>699</v>
      </c>
      <c r="D168" s="26">
        <v>82640209</v>
      </c>
      <c r="E168" s="67">
        <v>43489</v>
      </c>
      <c r="F168" s="66">
        <v>7</v>
      </c>
      <c r="G168" s="72">
        <v>8646233284</v>
      </c>
      <c r="H168" s="69">
        <v>90974</v>
      </c>
      <c r="I168" s="26" t="str">
        <f t="shared" si="2"/>
        <v>Russia</v>
      </c>
    </row>
    <row r="169" spans="1:9">
      <c r="A169" s="66">
        <v>983181505248770</v>
      </c>
      <c r="B169" s="26" t="s">
        <v>700</v>
      </c>
      <c r="C169" s="26" t="s">
        <v>701</v>
      </c>
      <c r="D169" s="26">
        <v>62204036</v>
      </c>
      <c r="E169" s="67">
        <v>45402</v>
      </c>
      <c r="F169" s="66">
        <v>7</v>
      </c>
      <c r="G169" s="72">
        <v>7091478881</v>
      </c>
      <c r="H169" s="69">
        <v>49571</v>
      </c>
      <c r="I169" s="26" t="str">
        <f t="shared" si="2"/>
        <v>Russia</v>
      </c>
    </row>
    <row r="170" spans="1:9">
      <c r="A170" s="66">
        <v>969373315266037</v>
      </c>
      <c r="B170" s="26" t="s">
        <v>702</v>
      </c>
      <c r="C170" s="26" t="s">
        <v>703</v>
      </c>
      <c r="D170" s="26">
        <v>67510012</v>
      </c>
      <c r="E170" s="67">
        <v>44056</v>
      </c>
      <c r="F170" s="66">
        <v>7</v>
      </c>
      <c r="G170" s="72">
        <v>5793532193</v>
      </c>
      <c r="H170" s="69">
        <v>8146</v>
      </c>
      <c r="I170" s="26" t="str">
        <f t="shared" si="2"/>
        <v>Russia</v>
      </c>
    </row>
    <row r="171" spans="1:9">
      <c r="A171" s="66">
        <v>950474150249556</v>
      </c>
      <c r="B171" s="26" t="s">
        <v>704</v>
      </c>
      <c r="C171" s="26" t="s">
        <v>705</v>
      </c>
      <c r="D171" s="26">
        <v>63100176</v>
      </c>
      <c r="E171" s="67">
        <v>44123</v>
      </c>
      <c r="F171" s="66">
        <v>7</v>
      </c>
      <c r="G171" s="72">
        <v>5381087259</v>
      </c>
      <c r="H171" s="69">
        <v>72259</v>
      </c>
      <c r="I171" s="26" t="str">
        <f t="shared" si="2"/>
        <v>Russia</v>
      </c>
    </row>
    <row r="172" spans="1:9">
      <c r="A172" s="66">
        <v>843592879447210</v>
      </c>
      <c r="B172" s="26" t="s">
        <v>706</v>
      </c>
      <c r="C172" s="26" t="s">
        <v>707</v>
      </c>
      <c r="D172" s="26">
        <v>81555379</v>
      </c>
      <c r="E172" s="67">
        <v>43746</v>
      </c>
      <c r="F172" s="66">
        <v>7</v>
      </c>
      <c r="G172" s="72">
        <v>7835124943</v>
      </c>
      <c r="H172" s="69">
        <v>78869</v>
      </c>
      <c r="I172" s="26" t="str">
        <f t="shared" si="2"/>
        <v>Russia</v>
      </c>
    </row>
    <row r="173" spans="1:9">
      <c r="A173" s="66">
        <v>946752421020482</v>
      </c>
      <c r="B173" s="26" t="s">
        <v>708</v>
      </c>
      <c r="C173" s="26" t="s">
        <v>709</v>
      </c>
      <c r="D173" s="26">
        <v>80278109</v>
      </c>
      <c r="E173" s="67">
        <v>45118</v>
      </c>
      <c r="F173" s="66">
        <v>7</v>
      </c>
      <c r="G173" s="72">
        <v>6443478948</v>
      </c>
      <c r="H173" s="69">
        <v>67036</v>
      </c>
      <c r="I173" s="26" t="str">
        <f t="shared" si="2"/>
        <v>Russia</v>
      </c>
    </row>
    <row r="174" spans="1:9">
      <c r="A174" s="66">
        <v>900216270308960</v>
      </c>
      <c r="B174" s="26" t="s">
        <v>710</v>
      </c>
      <c r="C174" s="26" t="s">
        <v>711</v>
      </c>
      <c r="D174" s="26">
        <v>83932190</v>
      </c>
      <c r="E174" s="67">
        <v>43620</v>
      </c>
      <c r="F174" s="66">
        <v>7</v>
      </c>
      <c r="G174" s="72">
        <v>4501780044</v>
      </c>
      <c r="H174" s="69">
        <v>52532</v>
      </c>
      <c r="I174" s="26" t="str">
        <f t="shared" si="2"/>
        <v>Russia</v>
      </c>
    </row>
    <row r="175" spans="1:9">
      <c r="A175" s="66">
        <v>853673264824941</v>
      </c>
      <c r="B175" s="26" t="s">
        <v>712</v>
      </c>
      <c r="C175" s="26" t="s">
        <v>713</v>
      </c>
      <c r="D175" s="26">
        <v>76857719</v>
      </c>
      <c r="E175" s="67">
        <v>44882</v>
      </c>
      <c r="F175" s="66">
        <v>7</v>
      </c>
      <c r="G175" s="72">
        <v>7055437960</v>
      </c>
      <c r="H175" s="69">
        <v>55048</v>
      </c>
      <c r="I175" s="26" t="str">
        <f t="shared" si="2"/>
        <v>Russia</v>
      </c>
    </row>
    <row r="176" spans="1:9">
      <c r="A176" s="66">
        <v>882746585810514</v>
      </c>
      <c r="B176" s="26" t="s">
        <v>714</v>
      </c>
      <c r="C176" s="26" t="s">
        <v>715</v>
      </c>
      <c r="D176" s="26">
        <v>66258909</v>
      </c>
      <c r="E176" s="67">
        <v>45229</v>
      </c>
      <c r="F176" s="66">
        <v>7</v>
      </c>
      <c r="G176" s="72">
        <v>5269226558</v>
      </c>
      <c r="H176" s="69">
        <v>66910</v>
      </c>
      <c r="I176" s="26" t="str">
        <f t="shared" si="2"/>
        <v>Russia</v>
      </c>
    </row>
    <row r="177" spans="1:9">
      <c r="A177" s="66">
        <v>963483480948367</v>
      </c>
      <c r="B177" s="26" t="s">
        <v>716</v>
      </c>
      <c r="C177" s="26" t="s">
        <v>717</v>
      </c>
      <c r="D177" s="26">
        <v>63142754</v>
      </c>
      <c r="E177" s="67">
        <v>44145</v>
      </c>
      <c r="F177" s="66">
        <v>7</v>
      </c>
      <c r="G177" s="72">
        <v>6532177532</v>
      </c>
      <c r="H177" s="69">
        <v>59509</v>
      </c>
      <c r="I177" s="26" t="str">
        <f t="shared" si="2"/>
        <v>Russia</v>
      </c>
    </row>
    <row r="178" spans="1:9">
      <c r="A178" s="66">
        <v>888881025800896</v>
      </c>
      <c r="B178" s="26" t="s">
        <v>718</v>
      </c>
      <c r="C178" s="26" t="s">
        <v>719</v>
      </c>
      <c r="D178" s="26">
        <v>61347581</v>
      </c>
      <c r="E178" s="67">
        <v>44403</v>
      </c>
      <c r="F178" s="66">
        <v>7</v>
      </c>
      <c r="G178" s="72">
        <v>5372693607</v>
      </c>
      <c r="H178" s="69">
        <v>58495</v>
      </c>
      <c r="I178" s="26" t="str">
        <f t="shared" si="2"/>
        <v>Russia</v>
      </c>
    </row>
    <row r="179" spans="1:9">
      <c r="A179" s="66">
        <v>956509329986870</v>
      </c>
      <c r="B179" s="26" t="s">
        <v>720</v>
      </c>
      <c r="C179" s="26" t="s">
        <v>721</v>
      </c>
      <c r="D179" s="26">
        <v>88273758</v>
      </c>
      <c r="E179" s="67">
        <v>43480</v>
      </c>
      <c r="F179" s="66">
        <v>7</v>
      </c>
      <c r="G179" s="72">
        <v>6724209389</v>
      </c>
      <c r="H179" s="69">
        <v>79362</v>
      </c>
      <c r="I179" s="26" t="str">
        <f t="shared" si="2"/>
        <v>Russia</v>
      </c>
    </row>
    <row r="180" spans="1:9">
      <c r="A180" s="66">
        <v>832684251453619</v>
      </c>
      <c r="B180" s="26" t="s">
        <v>722</v>
      </c>
      <c r="C180" s="26" t="s">
        <v>723</v>
      </c>
      <c r="D180" s="26">
        <v>69576801</v>
      </c>
      <c r="E180" s="67">
        <v>43772</v>
      </c>
      <c r="F180" s="66">
        <v>7</v>
      </c>
      <c r="G180" s="72">
        <v>9702600042</v>
      </c>
      <c r="H180" s="69">
        <v>29548</v>
      </c>
      <c r="I180" s="26" t="str">
        <f t="shared" si="2"/>
        <v>Russia</v>
      </c>
    </row>
    <row r="181" spans="1:9">
      <c r="A181" s="66">
        <v>871206306802271</v>
      </c>
      <c r="B181" s="26" t="s">
        <v>724</v>
      </c>
      <c r="C181" s="26" t="s">
        <v>725</v>
      </c>
      <c r="D181" s="26">
        <v>85901717</v>
      </c>
      <c r="E181" s="67">
        <v>45239</v>
      </c>
      <c r="F181" s="66">
        <v>7</v>
      </c>
      <c r="G181" s="72">
        <v>4838362232</v>
      </c>
      <c r="H181" s="69">
        <v>85858</v>
      </c>
      <c r="I181" s="26" t="str">
        <f t="shared" si="2"/>
        <v>Russia</v>
      </c>
    </row>
    <row r="182" spans="1:9">
      <c r="A182" s="66">
        <v>853166148790680</v>
      </c>
      <c r="B182" s="26" t="s">
        <v>726</v>
      </c>
      <c r="C182" s="26" t="s">
        <v>727</v>
      </c>
      <c r="D182" s="26">
        <v>65598166</v>
      </c>
      <c r="E182" s="67">
        <v>45002</v>
      </c>
      <c r="F182" s="66">
        <v>7</v>
      </c>
      <c r="G182" s="72">
        <v>7381595547</v>
      </c>
      <c r="H182" s="69">
        <v>46047</v>
      </c>
      <c r="I182" s="26" t="str">
        <f t="shared" si="2"/>
        <v>Russia</v>
      </c>
    </row>
    <row r="183" spans="1:9">
      <c r="A183" s="66">
        <v>976111986431036</v>
      </c>
      <c r="B183" s="26" t="s">
        <v>728</v>
      </c>
      <c r="C183" s="26" t="s">
        <v>729</v>
      </c>
      <c r="D183" s="26">
        <v>87711573</v>
      </c>
      <c r="E183" s="67">
        <v>43520</v>
      </c>
      <c r="F183" s="66">
        <v>7</v>
      </c>
      <c r="G183" s="72">
        <v>9962077703</v>
      </c>
      <c r="H183" s="69">
        <v>83222</v>
      </c>
      <c r="I183" s="26" t="str">
        <f t="shared" si="2"/>
        <v>Russia</v>
      </c>
    </row>
    <row r="184" spans="1:9">
      <c r="A184" s="66">
        <v>909140709837248</v>
      </c>
      <c r="B184" s="26" t="s">
        <v>730</v>
      </c>
      <c r="C184" s="26" t="s">
        <v>731</v>
      </c>
      <c r="D184" s="26">
        <v>86010896</v>
      </c>
      <c r="E184" s="67">
        <v>43573</v>
      </c>
      <c r="F184" s="66">
        <v>7</v>
      </c>
      <c r="G184" s="72">
        <v>6206994439</v>
      </c>
      <c r="H184" s="69">
        <v>26093</v>
      </c>
      <c r="I184" s="26" t="str">
        <f t="shared" si="2"/>
        <v>Russia</v>
      </c>
    </row>
    <row r="185" spans="1:9">
      <c r="A185" s="66">
        <v>888137536342250</v>
      </c>
      <c r="B185" s="26" t="s">
        <v>732</v>
      </c>
      <c r="C185" s="26" t="s">
        <v>733</v>
      </c>
      <c r="D185" s="26">
        <v>68873768</v>
      </c>
      <c r="E185" s="67">
        <v>44970</v>
      </c>
      <c r="F185" s="66">
        <v>7</v>
      </c>
      <c r="G185" s="72">
        <v>7461367762</v>
      </c>
      <c r="H185" s="69">
        <v>8925</v>
      </c>
      <c r="I185" s="26" t="str">
        <f t="shared" si="2"/>
        <v>Russia</v>
      </c>
    </row>
    <row r="186" spans="1:9">
      <c r="A186" s="66">
        <v>921899619608273</v>
      </c>
      <c r="B186" s="26" t="s">
        <v>734</v>
      </c>
      <c r="C186" s="26" t="s">
        <v>735</v>
      </c>
      <c r="D186" s="26">
        <v>74459875</v>
      </c>
      <c r="E186" s="67">
        <v>44314</v>
      </c>
      <c r="F186" s="66">
        <v>7</v>
      </c>
      <c r="G186" s="72">
        <v>5026051855</v>
      </c>
      <c r="H186" s="69">
        <v>64679</v>
      </c>
      <c r="I186" s="26" t="str">
        <f t="shared" si="2"/>
        <v>Russia</v>
      </c>
    </row>
    <row r="187" spans="1:9">
      <c r="A187" s="66">
        <v>825189320736761</v>
      </c>
      <c r="B187" s="26" t="s">
        <v>736</v>
      </c>
      <c r="C187" s="26" t="s">
        <v>737</v>
      </c>
      <c r="D187" s="26">
        <v>68596110</v>
      </c>
      <c r="E187" s="67">
        <v>44729</v>
      </c>
      <c r="F187" s="66">
        <v>7</v>
      </c>
      <c r="G187" s="72">
        <v>5658580867</v>
      </c>
      <c r="H187" s="69">
        <v>51289</v>
      </c>
      <c r="I187" s="26" t="str">
        <f t="shared" si="2"/>
        <v>Russia</v>
      </c>
    </row>
    <row r="188" spans="1:9">
      <c r="A188" s="66">
        <v>937068765703343</v>
      </c>
      <c r="B188" s="26" t="s">
        <v>738</v>
      </c>
      <c r="C188" s="26" t="s">
        <v>739</v>
      </c>
      <c r="D188" s="26">
        <v>75738204</v>
      </c>
      <c r="E188" s="67">
        <v>44485</v>
      </c>
      <c r="F188" s="66">
        <v>7</v>
      </c>
      <c r="G188" s="72">
        <v>9131904558</v>
      </c>
      <c r="H188" s="69">
        <v>36545</v>
      </c>
      <c r="I188" s="26" t="str">
        <f t="shared" si="2"/>
        <v>Russia</v>
      </c>
    </row>
    <row r="189" spans="1:9">
      <c r="A189" s="66">
        <v>919275029834090</v>
      </c>
      <c r="B189" s="26" t="s">
        <v>740</v>
      </c>
      <c r="C189" s="26" t="s">
        <v>741</v>
      </c>
      <c r="D189" s="26">
        <v>87842247</v>
      </c>
      <c r="E189" s="67">
        <v>44204</v>
      </c>
      <c r="F189" s="66">
        <v>7</v>
      </c>
      <c r="G189" s="72">
        <v>6400927390</v>
      </c>
      <c r="H189" s="69">
        <v>59884</v>
      </c>
      <c r="I189" s="26" t="str">
        <f t="shared" si="2"/>
        <v>Russia</v>
      </c>
    </row>
    <row r="190" spans="1:9">
      <c r="A190" s="66">
        <v>943220263099892</v>
      </c>
      <c r="B190" s="26" t="s">
        <v>742</v>
      </c>
      <c r="C190" s="26" t="s">
        <v>743</v>
      </c>
      <c r="D190" s="26">
        <v>63266770</v>
      </c>
      <c r="E190" s="67">
        <v>44512</v>
      </c>
      <c r="F190" s="66">
        <v>7</v>
      </c>
      <c r="G190" s="72">
        <v>9078051305</v>
      </c>
      <c r="H190" s="69">
        <v>96481</v>
      </c>
      <c r="I190" s="26" t="str">
        <f t="shared" si="2"/>
        <v>Russia</v>
      </c>
    </row>
    <row r="191" spans="1:9">
      <c r="A191" s="66">
        <v>918068403608276</v>
      </c>
      <c r="B191" s="26" t="s">
        <v>744</v>
      </c>
      <c r="C191" s="26" t="s">
        <v>745</v>
      </c>
      <c r="D191" s="26">
        <v>63410394</v>
      </c>
      <c r="E191" s="67">
        <v>45413</v>
      </c>
      <c r="F191" s="66">
        <v>7</v>
      </c>
      <c r="G191" s="72">
        <v>7169337835</v>
      </c>
      <c r="H191" s="69">
        <v>32185</v>
      </c>
      <c r="I191" s="26" t="str">
        <f t="shared" si="2"/>
        <v>Russia</v>
      </c>
    </row>
    <row r="192" spans="1:9">
      <c r="A192" s="66">
        <v>979872121033618</v>
      </c>
      <c r="B192" s="26" t="s">
        <v>746</v>
      </c>
      <c r="C192" s="26" t="s">
        <v>747</v>
      </c>
      <c r="D192" s="26">
        <v>84414899</v>
      </c>
      <c r="E192" s="67">
        <v>43479</v>
      </c>
      <c r="F192" s="66">
        <v>45</v>
      </c>
      <c r="G192" s="71">
        <v>9030115450</v>
      </c>
      <c r="H192" s="69">
        <v>42289</v>
      </c>
      <c r="I192" s="26" t="str">
        <f t="shared" si="2"/>
        <v>Denmark</v>
      </c>
    </row>
    <row r="193" spans="1:9">
      <c r="A193" s="66">
        <v>974799483078343</v>
      </c>
      <c r="B193" s="26" t="s">
        <v>748</v>
      </c>
      <c r="C193" s="26" t="s">
        <v>749</v>
      </c>
      <c r="D193" s="26">
        <v>75544081</v>
      </c>
      <c r="E193" s="67">
        <v>43757</v>
      </c>
      <c r="F193" s="66">
        <v>45</v>
      </c>
      <c r="G193" s="71">
        <v>6381565479</v>
      </c>
      <c r="H193" s="69">
        <v>49001</v>
      </c>
      <c r="I193" s="26" t="str">
        <f t="shared" si="2"/>
        <v>Denmark</v>
      </c>
    </row>
    <row r="194" spans="1:9">
      <c r="A194" s="66">
        <v>982246735196845</v>
      </c>
      <c r="B194" s="26" t="s">
        <v>750</v>
      </c>
      <c r="C194" s="26" t="s">
        <v>751</v>
      </c>
      <c r="D194" s="26">
        <v>71792858</v>
      </c>
      <c r="E194" s="67">
        <v>43642</v>
      </c>
      <c r="F194" s="66">
        <v>45</v>
      </c>
      <c r="G194" s="71">
        <v>7661236205</v>
      </c>
      <c r="H194" s="69">
        <v>11816</v>
      </c>
      <c r="I194" s="26" t="str">
        <f t="shared" si="2"/>
        <v>Denmark</v>
      </c>
    </row>
    <row r="195" spans="1:9">
      <c r="A195" s="66">
        <v>909806500472969</v>
      </c>
      <c r="B195" s="26" t="s">
        <v>752</v>
      </c>
      <c r="C195" s="26" t="s">
        <v>753</v>
      </c>
      <c r="D195" s="26">
        <v>86774401</v>
      </c>
      <c r="E195" s="67">
        <v>43965</v>
      </c>
      <c r="F195" s="66">
        <v>45</v>
      </c>
      <c r="G195" s="71">
        <v>8829204924</v>
      </c>
      <c r="H195" s="69">
        <v>64059</v>
      </c>
      <c r="I195" s="26" t="str">
        <f t="shared" ref="I195:I258" si="3">IF(F195=91,"India",IF(F195=1,"United Staes",IF(F195=7,"Russia",IF(F195=34,"Spain",IF(F195=45,"Denmark",IF(F195=33,"France",IF(F195=61,"Australia",IF(F195=49,"German",IF(F195=81,"Japan",IF(F195=55,"Brazil",IF(F195=44,"United Kindom",IF(F195=27,"South Africa",IF(F195=380,"Ukrain",IF(F195=48,"Poland",IF(F195=82,"South Korea",IF(F195=966,"Saudi Arabia",IF(F195=41,"Swizerland",IF(F195=975,"Bhutan",IF(F195=974,"Qatar",IF(F195=977,"Nepal",IF(F195=972,"Isreal",IF(F195=93,"Afghanistan",IF(F195=351,"Portugal",IF(F195=54,"Argentina",IF(F195=374,"Armrnia",IF(F195=64,"New Zealand",IF(F195=62,"Indonesia",IF(F195=39,"Italy",IF(F195=46,"Sweden",IF(F195=58,"Venezuela",IF(F195=57,"Colombia",IF(F195=63,"Philippines",IF(F195=850,"North Korea",IF(F195=976,"Mongolia","Not exist in this Nation"))))))))))))))))))))))))))))))))))</f>
        <v>Denmark</v>
      </c>
    </row>
    <row r="196" spans="1:9">
      <c r="A196" s="66">
        <v>883165854901813</v>
      </c>
      <c r="B196" s="26" t="s">
        <v>754</v>
      </c>
      <c r="C196" s="26" t="s">
        <v>755</v>
      </c>
      <c r="D196" s="26">
        <v>72852620</v>
      </c>
      <c r="E196" s="67">
        <v>45352</v>
      </c>
      <c r="F196" s="66">
        <v>45</v>
      </c>
      <c r="G196" s="71">
        <v>6735292626</v>
      </c>
      <c r="H196" s="69">
        <v>93823</v>
      </c>
      <c r="I196" s="26" t="str">
        <f t="shared" si="3"/>
        <v>Denmark</v>
      </c>
    </row>
    <row r="197" spans="1:9">
      <c r="A197" s="66">
        <v>820979883621599</v>
      </c>
      <c r="B197" s="26" t="s">
        <v>756</v>
      </c>
      <c r="C197" s="26" t="s">
        <v>757</v>
      </c>
      <c r="D197" s="26">
        <v>87845708</v>
      </c>
      <c r="E197" s="67">
        <v>43939</v>
      </c>
      <c r="F197" s="66">
        <v>45</v>
      </c>
      <c r="G197" s="71">
        <v>7174938428</v>
      </c>
      <c r="H197" s="69">
        <v>67008</v>
      </c>
      <c r="I197" s="26" t="str">
        <f t="shared" si="3"/>
        <v>Denmark</v>
      </c>
    </row>
    <row r="198" spans="1:9">
      <c r="A198" s="66">
        <v>967770988496150</v>
      </c>
      <c r="B198" s="26" t="s">
        <v>758</v>
      </c>
      <c r="C198" s="26" t="s">
        <v>759</v>
      </c>
      <c r="D198" s="26">
        <v>71042266</v>
      </c>
      <c r="E198" s="67">
        <v>44151</v>
      </c>
      <c r="F198" s="66">
        <v>45</v>
      </c>
      <c r="G198" s="71">
        <v>6341320312</v>
      </c>
      <c r="H198" s="69">
        <v>38101</v>
      </c>
      <c r="I198" s="26" t="str">
        <f t="shared" si="3"/>
        <v>Denmark</v>
      </c>
    </row>
    <row r="199" spans="1:9">
      <c r="A199" s="66">
        <v>912520375686056</v>
      </c>
      <c r="B199" s="26" t="s">
        <v>760</v>
      </c>
      <c r="C199" s="26" t="s">
        <v>761</v>
      </c>
      <c r="D199" s="26">
        <v>71569610</v>
      </c>
      <c r="E199" s="67">
        <v>43994</v>
      </c>
      <c r="F199" s="66">
        <v>45</v>
      </c>
      <c r="G199" s="71">
        <v>8794131077</v>
      </c>
      <c r="H199" s="69">
        <v>21289</v>
      </c>
      <c r="I199" s="26" t="str">
        <f t="shared" si="3"/>
        <v>Denmark</v>
      </c>
    </row>
    <row r="200" spans="1:9">
      <c r="A200" s="66">
        <v>912553209035394</v>
      </c>
      <c r="B200" s="26" t="s">
        <v>762</v>
      </c>
      <c r="C200" s="26" t="s">
        <v>763</v>
      </c>
      <c r="D200" s="26">
        <v>85053289</v>
      </c>
      <c r="E200" s="67">
        <v>44691</v>
      </c>
      <c r="F200" s="66">
        <v>45</v>
      </c>
      <c r="G200" s="71">
        <v>7913632279</v>
      </c>
      <c r="H200" s="69">
        <v>80360</v>
      </c>
      <c r="I200" s="26" t="str">
        <f t="shared" si="3"/>
        <v>Denmark</v>
      </c>
    </row>
    <row r="201" spans="1:9">
      <c r="A201" s="66">
        <v>923503884304778</v>
      </c>
      <c r="B201" s="26" t="s">
        <v>764</v>
      </c>
      <c r="C201" s="26" t="s">
        <v>765</v>
      </c>
      <c r="D201" s="26">
        <v>84200849</v>
      </c>
      <c r="E201" s="67">
        <v>44684</v>
      </c>
      <c r="F201" s="66">
        <v>45</v>
      </c>
      <c r="G201" s="71">
        <v>7339957891</v>
      </c>
      <c r="H201" s="69">
        <v>20057</v>
      </c>
      <c r="I201" s="26" t="str">
        <f t="shared" si="3"/>
        <v>Denmark</v>
      </c>
    </row>
    <row r="202" spans="1:9">
      <c r="A202" s="66">
        <v>947973955171857</v>
      </c>
      <c r="B202" s="26" t="s">
        <v>766</v>
      </c>
      <c r="C202" s="26" t="s">
        <v>767</v>
      </c>
      <c r="D202" s="26">
        <v>85503807</v>
      </c>
      <c r="E202" s="67">
        <v>44160</v>
      </c>
      <c r="F202" s="66">
        <v>45</v>
      </c>
      <c r="G202" s="71">
        <v>8383986474</v>
      </c>
      <c r="H202" s="69">
        <v>63505</v>
      </c>
      <c r="I202" s="26" t="str">
        <f t="shared" si="3"/>
        <v>Denmark</v>
      </c>
    </row>
    <row r="203" spans="1:9">
      <c r="A203" s="66">
        <v>830329624955983</v>
      </c>
      <c r="B203" s="26" t="s">
        <v>768</v>
      </c>
      <c r="C203" s="26" t="s">
        <v>769</v>
      </c>
      <c r="D203" s="26">
        <v>88130061</v>
      </c>
      <c r="E203" s="67">
        <v>43689</v>
      </c>
      <c r="F203" s="66">
        <v>45</v>
      </c>
      <c r="G203" s="71">
        <v>4765540391</v>
      </c>
      <c r="H203" s="69">
        <v>33209</v>
      </c>
      <c r="I203" s="26" t="str">
        <f t="shared" si="3"/>
        <v>Denmark</v>
      </c>
    </row>
    <row r="204" spans="1:9">
      <c r="A204" s="66">
        <v>963477642354508</v>
      </c>
      <c r="B204" s="26" t="s">
        <v>770</v>
      </c>
      <c r="C204" s="26" t="s">
        <v>771</v>
      </c>
      <c r="D204" s="26">
        <v>82933646</v>
      </c>
      <c r="E204" s="67">
        <v>44092</v>
      </c>
      <c r="F204" s="66">
        <v>45</v>
      </c>
      <c r="G204" s="71">
        <v>4757979837</v>
      </c>
      <c r="H204" s="69">
        <v>50940</v>
      </c>
      <c r="I204" s="26" t="str">
        <f t="shared" si="3"/>
        <v>Denmark</v>
      </c>
    </row>
    <row r="205" spans="1:9">
      <c r="A205" s="66">
        <v>811992366137414</v>
      </c>
      <c r="B205" s="26" t="s">
        <v>772</v>
      </c>
      <c r="C205" s="26" t="s">
        <v>773</v>
      </c>
      <c r="D205" s="26">
        <v>72370580</v>
      </c>
      <c r="E205" s="67">
        <v>43769</v>
      </c>
      <c r="F205" s="66">
        <v>45</v>
      </c>
      <c r="G205" s="71">
        <v>7659176431</v>
      </c>
      <c r="H205" s="69">
        <v>53781</v>
      </c>
      <c r="I205" s="26" t="str">
        <f t="shared" si="3"/>
        <v>Denmark</v>
      </c>
    </row>
    <row r="206" spans="1:9">
      <c r="A206" s="66">
        <v>872101187367456</v>
      </c>
      <c r="B206" s="26" t="s">
        <v>774</v>
      </c>
      <c r="C206" s="26" t="s">
        <v>775</v>
      </c>
      <c r="D206" s="26">
        <v>74842557</v>
      </c>
      <c r="E206" s="67">
        <v>45265</v>
      </c>
      <c r="F206" s="66">
        <v>45</v>
      </c>
      <c r="G206" s="71">
        <v>9029132922</v>
      </c>
      <c r="H206" s="69">
        <v>7518</v>
      </c>
      <c r="I206" s="26" t="str">
        <f t="shared" si="3"/>
        <v>Denmark</v>
      </c>
    </row>
    <row r="207" spans="1:9">
      <c r="A207" s="66">
        <v>854547730098095</v>
      </c>
      <c r="B207" s="26" t="s">
        <v>776</v>
      </c>
      <c r="C207" s="26" t="s">
        <v>777</v>
      </c>
      <c r="D207" s="26">
        <v>77322801</v>
      </c>
      <c r="E207" s="67">
        <v>45265</v>
      </c>
      <c r="F207" s="66">
        <v>45</v>
      </c>
      <c r="G207" s="71">
        <v>5813530918</v>
      </c>
      <c r="H207" s="69">
        <v>6667</v>
      </c>
      <c r="I207" s="26" t="str">
        <f t="shared" si="3"/>
        <v>Denmark</v>
      </c>
    </row>
    <row r="208" spans="1:9">
      <c r="A208" s="66">
        <v>925695571780116</v>
      </c>
      <c r="B208" s="26" t="s">
        <v>778</v>
      </c>
      <c r="C208" s="26" t="s">
        <v>779</v>
      </c>
      <c r="D208" s="26">
        <v>71133028</v>
      </c>
      <c r="E208" s="67">
        <v>43893</v>
      </c>
      <c r="F208" s="66">
        <v>45</v>
      </c>
      <c r="G208" s="71">
        <v>5791446979</v>
      </c>
      <c r="H208" s="69">
        <v>82672</v>
      </c>
      <c r="I208" s="26" t="str">
        <f t="shared" si="3"/>
        <v>Denmark</v>
      </c>
    </row>
    <row r="209" spans="1:9">
      <c r="A209" s="66">
        <v>905070524356060</v>
      </c>
      <c r="B209" s="26" t="s">
        <v>780</v>
      </c>
      <c r="C209" s="26" t="s">
        <v>781</v>
      </c>
      <c r="D209" s="26">
        <v>89984259</v>
      </c>
      <c r="E209" s="67">
        <v>44427</v>
      </c>
      <c r="F209" s="66">
        <v>45</v>
      </c>
      <c r="G209" s="71">
        <v>9680611976</v>
      </c>
      <c r="H209" s="69">
        <v>41751</v>
      </c>
      <c r="I209" s="26" t="str">
        <f t="shared" si="3"/>
        <v>Denmark</v>
      </c>
    </row>
    <row r="210" spans="1:9">
      <c r="A210" s="66">
        <v>919443299059421</v>
      </c>
      <c r="B210" s="26" t="s">
        <v>782</v>
      </c>
      <c r="C210" s="26" t="s">
        <v>783</v>
      </c>
      <c r="D210" s="26">
        <v>78856292</v>
      </c>
      <c r="E210" s="67">
        <v>44505</v>
      </c>
      <c r="F210" s="66">
        <v>45</v>
      </c>
      <c r="G210" s="71">
        <v>6165607594</v>
      </c>
      <c r="H210" s="69">
        <v>41063</v>
      </c>
      <c r="I210" s="26" t="str">
        <f t="shared" si="3"/>
        <v>Denmark</v>
      </c>
    </row>
    <row r="211" spans="1:9">
      <c r="A211" s="66">
        <v>942907663188497</v>
      </c>
      <c r="B211" s="26" t="s">
        <v>784</v>
      </c>
      <c r="C211" s="26" t="s">
        <v>785</v>
      </c>
      <c r="D211" s="26">
        <v>66586738</v>
      </c>
      <c r="E211" s="67">
        <v>45268</v>
      </c>
      <c r="F211" s="66">
        <v>45</v>
      </c>
      <c r="G211" s="71">
        <v>8619997063</v>
      </c>
      <c r="H211" s="69">
        <v>55397</v>
      </c>
      <c r="I211" s="26" t="str">
        <f t="shared" si="3"/>
        <v>Denmark</v>
      </c>
    </row>
    <row r="212" spans="1:9">
      <c r="A212" s="66">
        <v>962436996086607</v>
      </c>
      <c r="B212" s="26" t="s">
        <v>786</v>
      </c>
      <c r="C212" s="26" t="s">
        <v>787</v>
      </c>
      <c r="D212" s="26">
        <v>72883665</v>
      </c>
      <c r="E212" s="67">
        <v>43849</v>
      </c>
      <c r="F212" s="66">
        <v>45</v>
      </c>
      <c r="G212" s="71">
        <v>9723324673</v>
      </c>
      <c r="H212" s="69">
        <v>11987</v>
      </c>
      <c r="I212" s="26" t="str">
        <f t="shared" si="3"/>
        <v>Denmark</v>
      </c>
    </row>
    <row r="213" spans="1:9">
      <c r="A213" s="66">
        <v>996646205120082</v>
      </c>
      <c r="B213" s="26" t="s">
        <v>788</v>
      </c>
      <c r="C213" s="26" t="s">
        <v>789</v>
      </c>
      <c r="D213" s="26">
        <v>72399968</v>
      </c>
      <c r="E213" s="67">
        <v>44168</v>
      </c>
      <c r="F213" s="66">
        <v>45</v>
      </c>
      <c r="G213" s="71">
        <v>5568792630</v>
      </c>
      <c r="H213" s="69">
        <v>97033</v>
      </c>
      <c r="I213" s="26" t="str">
        <f t="shared" si="3"/>
        <v>Denmark</v>
      </c>
    </row>
    <row r="214" spans="1:9">
      <c r="A214" s="66">
        <v>812862316982058</v>
      </c>
      <c r="B214" s="26" t="s">
        <v>790</v>
      </c>
      <c r="C214" s="26" t="s">
        <v>791</v>
      </c>
      <c r="D214" s="26">
        <v>76271657</v>
      </c>
      <c r="E214" s="67">
        <v>44145</v>
      </c>
      <c r="F214" s="66">
        <v>45</v>
      </c>
      <c r="G214" s="71">
        <v>5996761503</v>
      </c>
      <c r="H214" s="69">
        <v>61544</v>
      </c>
      <c r="I214" s="26" t="str">
        <f t="shared" si="3"/>
        <v>Denmark</v>
      </c>
    </row>
    <row r="215" spans="1:9">
      <c r="A215" s="66">
        <v>897477540305616</v>
      </c>
      <c r="B215" s="26" t="s">
        <v>792</v>
      </c>
      <c r="C215" s="26" t="s">
        <v>793</v>
      </c>
      <c r="D215" s="26">
        <v>86792406</v>
      </c>
      <c r="E215" s="67">
        <v>44604</v>
      </c>
      <c r="F215" s="66">
        <v>45</v>
      </c>
      <c r="G215" s="71">
        <v>8767158565</v>
      </c>
      <c r="H215" s="69">
        <v>33805</v>
      </c>
      <c r="I215" s="26" t="str">
        <f t="shared" si="3"/>
        <v>Denmark</v>
      </c>
    </row>
    <row r="216" spans="1:9">
      <c r="A216" s="66">
        <v>888103429187205</v>
      </c>
      <c r="B216" s="26" t="s">
        <v>794</v>
      </c>
      <c r="C216" s="26" t="s">
        <v>795</v>
      </c>
      <c r="D216" s="26">
        <v>77474054</v>
      </c>
      <c r="E216" s="67">
        <v>44179</v>
      </c>
      <c r="F216" s="66">
        <v>45</v>
      </c>
      <c r="G216" s="71">
        <v>6699830016</v>
      </c>
      <c r="H216" s="69">
        <v>74122</v>
      </c>
      <c r="I216" s="26" t="str">
        <f t="shared" si="3"/>
        <v>Denmark</v>
      </c>
    </row>
    <row r="217" spans="1:9">
      <c r="A217" s="66">
        <v>916159154129842</v>
      </c>
      <c r="B217" s="26" t="s">
        <v>796</v>
      </c>
      <c r="C217" s="26" t="s">
        <v>797</v>
      </c>
      <c r="D217" s="26">
        <v>79466886</v>
      </c>
      <c r="E217" s="67">
        <v>44483</v>
      </c>
      <c r="F217" s="66">
        <v>45</v>
      </c>
      <c r="G217" s="71">
        <v>9108697703</v>
      </c>
      <c r="H217" s="69">
        <v>83407</v>
      </c>
      <c r="I217" s="26" t="str">
        <f t="shared" si="3"/>
        <v>Denmark</v>
      </c>
    </row>
    <row r="218" spans="1:9">
      <c r="A218" s="66">
        <v>848279911835994</v>
      </c>
      <c r="B218" s="26" t="s">
        <v>798</v>
      </c>
      <c r="C218" s="26" t="s">
        <v>799</v>
      </c>
      <c r="D218" s="26">
        <v>76527138</v>
      </c>
      <c r="E218" s="67">
        <v>44869</v>
      </c>
      <c r="F218" s="66">
        <v>45</v>
      </c>
      <c r="G218" s="71">
        <v>9128149523</v>
      </c>
      <c r="H218" s="69">
        <v>34803</v>
      </c>
      <c r="I218" s="26" t="str">
        <f t="shared" si="3"/>
        <v>Denmark</v>
      </c>
    </row>
    <row r="219" spans="1:9">
      <c r="A219" s="66">
        <v>826259171976750</v>
      </c>
      <c r="B219" s="26" t="s">
        <v>800</v>
      </c>
      <c r="C219" s="26" t="s">
        <v>801</v>
      </c>
      <c r="D219" s="26">
        <v>78886108</v>
      </c>
      <c r="E219" s="67">
        <v>45311</v>
      </c>
      <c r="F219" s="66">
        <v>45</v>
      </c>
      <c r="G219" s="71">
        <v>7432473196</v>
      </c>
      <c r="H219" s="69">
        <v>33683</v>
      </c>
      <c r="I219" s="26" t="str">
        <f t="shared" si="3"/>
        <v>Denmark</v>
      </c>
    </row>
    <row r="220" spans="1:9">
      <c r="A220" s="66">
        <v>867272885888021</v>
      </c>
      <c r="B220" s="26" t="s">
        <v>802</v>
      </c>
      <c r="C220" s="26" t="s">
        <v>803</v>
      </c>
      <c r="D220" s="26">
        <v>79001320</v>
      </c>
      <c r="E220" s="67">
        <v>44003</v>
      </c>
      <c r="F220" s="66">
        <v>45</v>
      </c>
      <c r="G220" s="71">
        <v>5564002650</v>
      </c>
      <c r="H220" s="69">
        <v>77574</v>
      </c>
      <c r="I220" s="26" t="str">
        <f t="shared" si="3"/>
        <v>Denmark</v>
      </c>
    </row>
    <row r="221" spans="1:9">
      <c r="A221" s="66">
        <v>809753497305629</v>
      </c>
      <c r="B221" s="26" t="s">
        <v>804</v>
      </c>
      <c r="C221" s="26" t="s">
        <v>805</v>
      </c>
      <c r="D221" s="26">
        <v>69174600</v>
      </c>
      <c r="E221" s="67">
        <v>44791</v>
      </c>
      <c r="F221" s="66">
        <v>45</v>
      </c>
      <c r="G221" s="71">
        <v>6190467769</v>
      </c>
      <c r="H221" s="69">
        <v>57089</v>
      </c>
      <c r="I221" s="26" t="str">
        <f t="shared" si="3"/>
        <v>Denmark</v>
      </c>
    </row>
    <row r="222" spans="1:9">
      <c r="A222" s="66">
        <v>960123635252603</v>
      </c>
      <c r="B222" s="26" t="s">
        <v>806</v>
      </c>
      <c r="C222" s="26" t="s">
        <v>807</v>
      </c>
      <c r="D222" s="26">
        <v>82292700</v>
      </c>
      <c r="E222" s="67">
        <v>44190</v>
      </c>
      <c r="F222" s="66">
        <v>82</v>
      </c>
      <c r="G222" s="77">
        <v>8695982557</v>
      </c>
      <c r="H222" s="69">
        <v>28770</v>
      </c>
      <c r="I222" s="26" t="str">
        <f t="shared" si="3"/>
        <v>South Korea</v>
      </c>
    </row>
    <row r="223" spans="1:9">
      <c r="A223" s="66">
        <v>825174609710284</v>
      </c>
      <c r="B223" s="26" t="s">
        <v>808</v>
      </c>
      <c r="C223" s="26" t="s">
        <v>809</v>
      </c>
      <c r="D223" s="26">
        <v>88373130</v>
      </c>
      <c r="E223" s="67">
        <v>43983</v>
      </c>
      <c r="F223" s="66">
        <v>82</v>
      </c>
      <c r="G223" s="77">
        <v>7715600850</v>
      </c>
      <c r="H223" s="69">
        <v>51470</v>
      </c>
      <c r="I223" s="26" t="str">
        <f t="shared" si="3"/>
        <v>South Korea</v>
      </c>
    </row>
    <row r="224" spans="1:9">
      <c r="A224" s="66">
        <v>819995797730152</v>
      </c>
      <c r="B224" s="26" t="s">
        <v>810</v>
      </c>
      <c r="C224" s="26" t="s">
        <v>811</v>
      </c>
      <c r="D224" s="26">
        <v>69790074</v>
      </c>
      <c r="E224" s="67">
        <v>45276</v>
      </c>
      <c r="F224" s="66">
        <v>82</v>
      </c>
      <c r="G224" s="77">
        <v>6676664173</v>
      </c>
      <c r="H224" s="69">
        <v>32630</v>
      </c>
      <c r="I224" s="26" t="str">
        <f t="shared" si="3"/>
        <v>South Korea</v>
      </c>
    </row>
    <row r="225" spans="1:9">
      <c r="A225" s="66">
        <v>935596475823284</v>
      </c>
      <c r="B225" s="26" t="s">
        <v>812</v>
      </c>
      <c r="C225" s="26" t="s">
        <v>813</v>
      </c>
      <c r="D225" s="26">
        <v>75515907</v>
      </c>
      <c r="E225" s="67">
        <v>44059</v>
      </c>
      <c r="F225" s="66">
        <v>82</v>
      </c>
      <c r="G225" s="77">
        <v>6654829386</v>
      </c>
      <c r="H225" s="69">
        <v>88435</v>
      </c>
      <c r="I225" s="26" t="str">
        <f t="shared" si="3"/>
        <v>South Korea</v>
      </c>
    </row>
    <row r="226" spans="1:9">
      <c r="A226" s="66">
        <v>990390643378892</v>
      </c>
      <c r="B226" s="26" t="s">
        <v>814</v>
      </c>
      <c r="C226" s="26" t="s">
        <v>815</v>
      </c>
      <c r="D226" s="26">
        <v>80725426</v>
      </c>
      <c r="E226" s="67">
        <v>44927</v>
      </c>
      <c r="F226" s="66">
        <v>82</v>
      </c>
      <c r="G226" s="77">
        <v>5990459263</v>
      </c>
      <c r="H226" s="69">
        <v>50830</v>
      </c>
      <c r="I226" s="26" t="str">
        <f t="shared" si="3"/>
        <v>South Korea</v>
      </c>
    </row>
    <row r="227" spans="1:9">
      <c r="A227" s="66">
        <v>886223909990787</v>
      </c>
      <c r="B227" s="26" t="s">
        <v>816</v>
      </c>
      <c r="C227" s="26" t="s">
        <v>817</v>
      </c>
      <c r="D227" s="26">
        <v>86027427</v>
      </c>
      <c r="E227" s="67">
        <v>43546</v>
      </c>
      <c r="F227" s="66">
        <v>82</v>
      </c>
      <c r="G227" s="77">
        <v>4691479332</v>
      </c>
      <c r="H227" s="69">
        <v>21113</v>
      </c>
      <c r="I227" s="26" t="str">
        <f t="shared" si="3"/>
        <v>South Korea</v>
      </c>
    </row>
    <row r="228" spans="1:9">
      <c r="A228" s="66">
        <v>927358223804322</v>
      </c>
      <c r="B228" s="26" t="s">
        <v>818</v>
      </c>
      <c r="C228" s="26" t="s">
        <v>819</v>
      </c>
      <c r="D228" s="26">
        <v>74548036</v>
      </c>
      <c r="E228" s="67">
        <v>44722</v>
      </c>
      <c r="F228" s="66">
        <v>82</v>
      </c>
      <c r="G228" s="77">
        <v>9862751052</v>
      </c>
      <c r="H228" s="69">
        <v>15864</v>
      </c>
      <c r="I228" s="26" t="str">
        <f t="shared" si="3"/>
        <v>South Korea</v>
      </c>
    </row>
    <row r="229" spans="1:9">
      <c r="A229" s="66">
        <v>959330554315840</v>
      </c>
      <c r="B229" s="26" t="s">
        <v>820</v>
      </c>
      <c r="C229" s="26" t="s">
        <v>821</v>
      </c>
      <c r="D229" s="26">
        <v>70632819</v>
      </c>
      <c r="E229" s="67">
        <v>44389</v>
      </c>
      <c r="F229" s="66">
        <v>82</v>
      </c>
      <c r="G229" s="77">
        <v>9295697490</v>
      </c>
      <c r="H229" s="69">
        <v>47508</v>
      </c>
      <c r="I229" s="26" t="str">
        <f t="shared" si="3"/>
        <v>South Korea</v>
      </c>
    </row>
    <row r="230" spans="1:9">
      <c r="A230" s="66">
        <v>810394645661441</v>
      </c>
      <c r="B230" s="26" t="s">
        <v>822</v>
      </c>
      <c r="C230" s="26" t="s">
        <v>823</v>
      </c>
      <c r="D230" s="26">
        <v>73833378</v>
      </c>
      <c r="E230" s="67">
        <v>44185</v>
      </c>
      <c r="F230" s="66">
        <v>82</v>
      </c>
      <c r="G230" s="77">
        <v>8960801631</v>
      </c>
      <c r="H230" s="69">
        <v>30180</v>
      </c>
      <c r="I230" s="26" t="str">
        <f t="shared" si="3"/>
        <v>South Korea</v>
      </c>
    </row>
    <row r="231" spans="1:9">
      <c r="A231" s="66">
        <v>822905291759752</v>
      </c>
      <c r="B231" s="26" t="s">
        <v>824</v>
      </c>
      <c r="C231" s="26" t="s">
        <v>825</v>
      </c>
      <c r="D231" s="26">
        <v>70717203</v>
      </c>
      <c r="E231" s="67">
        <v>43773</v>
      </c>
      <c r="F231" s="66">
        <v>82</v>
      </c>
      <c r="G231" s="77">
        <v>9266579567</v>
      </c>
      <c r="H231" s="69">
        <v>67007</v>
      </c>
      <c r="I231" s="26" t="str">
        <f t="shared" si="3"/>
        <v>South Korea</v>
      </c>
    </row>
    <row r="232" spans="1:9">
      <c r="A232" s="66">
        <v>862783800046700</v>
      </c>
      <c r="B232" s="26" t="s">
        <v>826</v>
      </c>
      <c r="C232" s="26" t="s">
        <v>827</v>
      </c>
      <c r="D232" s="26">
        <v>86289918</v>
      </c>
      <c r="E232" s="67">
        <v>45356</v>
      </c>
      <c r="F232" s="66">
        <v>82</v>
      </c>
      <c r="G232" s="77">
        <v>9638765136</v>
      </c>
      <c r="H232" s="69">
        <v>65079</v>
      </c>
      <c r="I232" s="26" t="str">
        <f t="shared" si="3"/>
        <v>South Korea</v>
      </c>
    </row>
    <row r="233" spans="1:9">
      <c r="A233" s="66">
        <v>900191888596512</v>
      </c>
      <c r="B233" s="26" t="s">
        <v>828</v>
      </c>
      <c r="C233" s="26" t="s">
        <v>829</v>
      </c>
      <c r="D233" s="26">
        <v>73586409</v>
      </c>
      <c r="E233" s="67">
        <v>44482</v>
      </c>
      <c r="F233" s="66">
        <v>82</v>
      </c>
      <c r="G233" s="77">
        <v>5273782742</v>
      </c>
      <c r="H233" s="69">
        <v>87593</v>
      </c>
      <c r="I233" s="26" t="str">
        <f t="shared" si="3"/>
        <v>South Korea</v>
      </c>
    </row>
    <row r="234" spans="1:9">
      <c r="A234" s="66">
        <v>846019717512061</v>
      </c>
      <c r="B234" s="26" t="s">
        <v>830</v>
      </c>
      <c r="C234" s="26" t="s">
        <v>831</v>
      </c>
      <c r="D234" s="26">
        <v>81397785</v>
      </c>
      <c r="E234" s="67">
        <v>45191</v>
      </c>
      <c r="F234" s="66">
        <v>82</v>
      </c>
      <c r="G234" s="77">
        <v>7884793032</v>
      </c>
      <c r="H234" s="69">
        <v>30170</v>
      </c>
      <c r="I234" s="26" t="str">
        <f t="shared" si="3"/>
        <v>South Korea</v>
      </c>
    </row>
    <row r="235" spans="1:9">
      <c r="A235" s="66">
        <v>924247708808550</v>
      </c>
      <c r="B235" s="26" t="s">
        <v>832</v>
      </c>
      <c r="C235" s="26" t="s">
        <v>833</v>
      </c>
      <c r="D235" s="26">
        <v>74654914</v>
      </c>
      <c r="E235" s="67">
        <v>45104</v>
      </c>
      <c r="F235" s="66">
        <v>82</v>
      </c>
      <c r="G235" s="77">
        <v>6081841547</v>
      </c>
      <c r="H235" s="69">
        <v>57660</v>
      </c>
      <c r="I235" s="26" t="str">
        <f t="shared" si="3"/>
        <v>South Korea</v>
      </c>
    </row>
    <row r="236" spans="1:9">
      <c r="A236" s="66">
        <v>922880935971757</v>
      </c>
      <c r="B236" s="26" t="s">
        <v>834</v>
      </c>
      <c r="C236" s="26" t="s">
        <v>835</v>
      </c>
      <c r="D236" s="26">
        <v>86665285</v>
      </c>
      <c r="E236" s="67">
        <v>44353</v>
      </c>
      <c r="F236" s="66">
        <v>82</v>
      </c>
      <c r="G236" s="77">
        <v>8741258077</v>
      </c>
      <c r="H236" s="69">
        <v>8305</v>
      </c>
      <c r="I236" s="26" t="str">
        <f t="shared" si="3"/>
        <v>South Korea</v>
      </c>
    </row>
    <row r="237" spans="1:9">
      <c r="A237" s="66">
        <v>978266804349497</v>
      </c>
      <c r="B237" s="26" t="s">
        <v>836</v>
      </c>
      <c r="C237" s="26" t="s">
        <v>837</v>
      </c>
      <c r="D237" s="26">
        <v>84020388</v>
      </c>
      <c r="E237" s="67">
        <v>45095</v>
      </c>
      <c r="F237" s="66">
        <v>82</v>
      </c>
      <c r="G237" s="77">
        <v>8291550604</v>
      </c>
      <c r="H237" s="69">
        <v>33811</v>
      </c>
      <c r="I237" s="26" t="str">
        <f t="shared" si="3"/>
        <v>South Korea</v>
      </c>
    </row>
    <row r="238" spans="1:9">
      <c r="A238" s="66">
        <v>977286361437531</v>
      </c>
      <c r="B238" s="26" t="s">
        <v>838</v>
      </c>
      <c r="C238" s="26" t="s">
        <v>839</v>
      </c>
      <c r="D238" s="26">
        <v>66582551</v>
      </c>
      <c r="E238" s="67">
        <v>43585</v>
      </c>
      <c r="F238" s="66">
        <v>82</v>
      </c>
      <c r="G238" s="77">
        <v>7674528163</v>
      </c>
      <c r="H238" s="69">
        <v>33074</v>
      </c>
      <c r="I238" s="26" t="str">
        <f t="shared" si="3"/>
        <v>South Korea</v>
      </c>
    </row>
    <row r="239" spans="1:9">
      <c r="A239" s="66">
        <v>865370696464447</v>
      </c>
      <c r="B239" s="26" t="s">
        <v>840</v>
      </c>
      <c r="C239" s="26" t="s">
        <v>841</v>
      </c>
      <c r="D239" s="26">
        <v>81819919</v>
      </c>
      <c r="E239" s="67">
        <v>43670</v>
      </c>
      <c r="F239" s="66">
        <v>82</v>
      </c>
      <c r="G239" s="77">
        <v>5964099720</v>
      </c>
      <c r="H239" s="69">
        <v>86514</v>
      </c>
      <c r="I239" s="26" t="str">
        <f t="shared" si="3"/>
        <v>South Korea</v>
      </c>
    </row>
    <row r="240" spans="1:9">
      <c r="A240" s="66">
        <v>952315190803403</v>
      </c>
      <c r="B240" s="26" t="s">
        <v>842</v>
      </c>
      <c r="C240" s="26" t="s">
        <v>843</v>
      </c>
      <c r="D240" s="26">
        <v>82472874</v>
      </c>
      <c r="E240" s="67">
        <v>45090</v>
      </c>
      <c r="F240" s="66">
        <v>82</v>
      </c>
      <c r="G240" s="77">
        <v>9177288648</v>
      </c>
      <c r="H240" s="69">
        <v>8612</v>
      </c>
      <c r="I240" s="26" t="str">
        <f t="shared" si="3"/>
        <v>South Korea</v>
      </c>
    </row>
    <row r="241" spans="1:9">
      <c r="A241" s="66">
        <v>926814174686966</v>
      </c>
      <c r="B241" s="26" t="s">
        <v>844</v>
      </c>
      <c r="C241" s="26" t="s">
        <v>845</v>
      </c>
      <c r="D241" s="26">
        <v>64652810</v>
      </c>
      <c r="E241" s="67">
        <v>43797</v>
      </c>
      <c r="F241" s="66">
        <v>82</v>
      </c>
      <c r="G241" s="77">
        <v>4922236871</v>
      </c>
      <c r="H241" s="69">
        <v>80854</v>
      </c>
      <c r="I241" s="26" t="str">
        <f t="shared" si="3"/>
        <v>South Korea</v>
      </c>
    </row>
    <row r="242" spans="1:9">
      <c r="A242" s="66">
        <v>888694948144054</v>
      </c>
      <c r="B242" s="26" t="s">
        <v>846</v>
      </c>
      <c r="C242" s="26" t="s">
        <v>847</v>
      </c>
      <c r="D242" s="26">
        <v>75971723</v>
      </c>
      <c r="E242" s="67">
        <v>45523</v>
      </c>
      <c r="F242" s="66">
        <v>82</v>
      </c>
      <c r="G242" s="77">
        <v>5618434948</v>
      </c>
      <c r="H242" s="69">
        <v>63032</v>
      </c>
      <c r="I242" s="26" t="str">
        <f t="shared" si="3"/>
        <v>South Korea</v>
      </c>
    </row>
    <row r="243" spans="1:9">
      <c r="A243" s="66">
        <v>996317275637703</v>
      </c>
      <c r="B243" s="26" t="s">
        <v>848</v>
      </c>
      <c r="C243" s="26" t="s">
        <v>849</v>
      </c>
      <c r="D243" s="26">
        <v>85176319</v>
      </c>
      <c r="E243" s="67">
        <v>44475</v>
      </c>
      <c r="F243" s="66">
        <v>82</v>
      </c>
      <c r="G243" s="77">
        <v>8444046976</v>
      </c>
      <c r="H243" s="69">
        <v>39068</v>
      </c>
      <c r="I243" s="26" t="str">
        <f t="shared" si="3"/>
        <v>South Korea</v>
      </c>
    </row>
    <row r="244" spans="1:9">
      <c r="A244" s="66">
        <v>902018696332146</v>
      </c>
      <c r="B244" s="26" t="s">
        <v>850</v>
      </c>
      <c r="C244" s="26" t="s">
        <v>851</v>
      </c>
      <c r="D244" s="26">
        <v>76907359</v>
      </c>
      <c r="E244" s="67">
        <v>43720</v>
      </c>
      <c r="F244" s="66">
        <v>82</v>
      </c>
      <c r="G244" s="77">
        <v>8911357035</v>
      </c>
      <c r="H244" s="69">
        <v>85137</v>
      </c>
      <c r="I244" s="26" t="str">
        <f t="shared" si="3"/>
        <v>South Korea</v>
      </c>
    </row>
    <row r="245" spans="1:9">
      <c r="A245" s="66">
        <v>943104820844890</v>
      </c>
      <c r="B245" s="26" t="s">
        <v>852</v>
      </c>
      <c r="C245" s="26" t="s">
        <v>853</v>
      </c>
      <c r="D245" s="26">
        <v>69435733</v>
      </c>
      <c r="E245" s="67">
        <v>43755</v>
      </c>
      <c r="F245" s="66">
        <v>82</v>
      </c>
      <c r="G245" s="77">
        <v>9558386837</v>
      </c>
      <c r="H245" s="69">
        <v>53584</v>
      </c>
      <c r="I245" s="26" t="str">
        <f t="shared" si="3"/>
        <v>South Korea</v>
      </c>
    </row>
    <row r="246" spans="1:9">
      <c r="A246" s="66">
        <v>967956485638081</v>
      </c>
      <c r="B246" s="26" t="s">
        <v>854</v>
      </c>
      <c r="C246" s="26" t="s">
        <v>855</v>
      </c>
      <c r="D246" s="26">
        <v>67959831</v>
      </c>
      <c r="E246" s="67">
        <v>43840</v>
      </c>
      <c r="F246" s="66">
        <v>82</v>
      </c>
      <c r="G246" s="77">
        <v>4914975186</v>
      </c>
      <c r="H246" s="69">
        <v>20465</v>
      </c>
      <c r="I246" s="26" t="str">
        <f t="shared" si="3"/>
        <v>South Korea</v>
      </c>
    </row>
    <row r="247" spans="1:9">
      <c r="A247" s="66">
        <v>804830715500793</v>
      </c>
      <c r="B247" s="26" t="s">
        <v>856</v>
      </c>
      <c r="C247" s="26" t="s">
        <v>857</v>
      </c>
      <c r="D247" s="26">
        <v>69834078</v>
      </c>
      <c r="E247" s="67">
        <v>44300</v>
      </c>
      <c r="F247" s="66">
        <v>82</v>
      </c>
      <c r="G247" s="77">
        <v>5950141630</v>
      </c>
      <c r="H247" s="69">
        <v>65712</v>
      </c>
      <c r="I247" s="26" t="str">
        <f t="shared" si="3"/>
        <v>South Korea</v>
      </c>
    </row>
    <row r="248" spans="1:9">
      <c r="A248" s="66">
        <v>980034763571166</v>
      </c>
      <c r="B248" s="26" t="s">
        <v>858</v>
      </c>
      <c r="C248" s="26" t="s">
        <v>859</v>
      </c>
      <c r="D248" s="26">
        <v>74004572</v>
      </c>
      <c r="E248" s="67">
        <v>45091</v>
      </c>
      <c r="F248" s="66">
        <v>82</v>
      </c>
      <c r="G248" s="77">
        <v>6788888948</v>
      </c>
      <c r="H248" s="69">
        <v>70868</v>
      </c>
      <c r="I248" s="26" t="str">
        <f t="shared" si="3"/>
        <v>South Korea</v>
      </c>
    </row>
    <row r="249" spans="1:9">
      <c r="A249" s="66">
        <v>804071127481316</v>
      </c>
      <c r="B249" s="26" t="s">
        <v>860</v>
      </c>
      <c r="C249" s="26" t="s">
        <v>861</v>
      </c>
      <c r="D249" s="26">
        <v>66181233</v>
      </c>
      <c r="E249" s="67">
        <v>44122</v>
      </c>
      <c r="F249" s="66">
        <v>82</v>
      </c>
      <c r="G249" s="77">
        <v>8139096520</v>
      </c>
      <c r="H249" s="69">
        <v>32464</v>
      </c>
      <c r="I249" s="26" t="str">
        <f t="shared" si="3"/>
        <v>South Korea</v>
      </c>
    </row>
    <row r="250" spans="1:9">
      <c r="A250" s="66">
        <v>870170181605223</v>
      </c>
      <c r="B250" s="26" t="s">
        <v>862</v>
      </c>
      <c r="C250" s="26" t="s">
        <v>863</v>
      </c>
      <c r="D250" s="26">
        <v>79340316</v>
      </c>
      <c r="E250" s="67">
        <v>43831</v>
      </c>
      <c r="F250" s="66">
        <v>82</v>
      </c>
      <c r="G250" s="77">
        <v>8067486841</v>
      </c>
      <c r="H250" s="69">
        <v>64139</v>
      </c>
      <c r="I250" s="26" t="str">
        <f t="shared" si="3"/>
        <v>South Korea</v>
      </c>
    </row>
    <row r="251" spans="1:9">
      <c r="A251" s="66">
        <v>916441129851542</v>
      </c>
      <c r="B251" s="26" t="s">
        <v>864</v>
      </c>
      <c r="C251" s="26" t="s">
        <v>865</v>
      </c>
      <c r="D251" s="26">
        <v>87570833</v>
      </c>
      <c r="E251" s="67">
        <v>45187</v>
      </c>
      <c r="F251" s="66">
        <v>82</v>
      </c>
      <c r="G251" s="77">
        <v>5333342330</v>
      </c>
      <c r="H251" s="69">
        <v>82677</v>
      </c>
      <c r="I251" s="26" t="str">
        <f t="shared" si="3"/>
        <v>South Korea</v>
      </c>
    </row>
    <row r="252" spans="1:9">
      <c r="A252" s="66">
        <v>849900011250469</v>
      </c>
      <c r="B252" s="26" t="s">
        <v>866</v>
      </c>
      <c r="C252" s="26" t="s">
        <v>867</v>
      </c>
      <c r="D252" s="26">
        <v>80369230</v>
      </c>
      <c r="E252" s="67">
        <v>43963</v>
      </c>
      <c r="F252" s="66">
        <v>81</v>
      </c>
      <c r="G252" s="78">
        <v>8631671661</v>
      </c>
      <c r="H252" s="69">
        <v>35004</v>
      </c>
      <c r="I252" s="26" t="str">
        <f t="shared" si="3"/>
        <v>Japan</v>
      </c>
    </row>
    <row r="253" spans="1:9">
      <c r="A253" s="66">
        <v>951249300663650</v>
      </c>
      <c r="B253" s="26" t="s">
        <v>868</v>
      </c>
      <c r="C253" s="26" t="s">
        <v>869</v>
      </c>
      <c r="D253" s="26">
        <v>83362552</v>
      </c>
      <c r="E253" s="67">
        <v>45532</v>
      </c>
      <c r="F253" s="66">
        <v>81</v>
      </c>
      <c r="G253" s="78">
        <v>7828099666</v>
      </c>
      <c r="H253" s="69">
        <v>36875</v>
      </c>
      <c r="I253" s="26" t="str">
        <f t="shared" si="3"/>
        <v>Japan</v>
      </c>
    </row>
    <row r="254" spans="1:9">
      <c r="A254" s="66">
        <v>960116864046966</v>
      </c>
      <c r="B254" s="26" t="s">
        <v>870</v>
      </c>
      <c r="C254" s="26" t="s">
        <v>871</v>
      </c>
      <c r="D254" s="26">
        <v>87132234</v>
      </c>
      <c r="E254" s="67">
        <v>45490</v>
      </c>
      <c r="F254" s="66">
        <v>81</v>
      </c>
      <c r="G254" s="78">
        <v>4933931693</v>
      </c>
      <c r="H254" s="69">
        <v>82715</v>
      </c>
      <c r="I254" s="26" t="str">
        <f t="shared" si="3"/>
        <v>Japan</v>
      </c>
    </row>
    <row r="255" spans="1:9">
      <c r="A255" s="66">
        <v>849926496056073</v>
      </c>
      <c r="B255" s="26" t="s">
        <v>872</v>
      </c>
      <c r="C255" s="26" t="s">
        <v>873</v>
      </c>
      <c r="D255" s="26">
        <v>61729953</v>
      </c>
      <c r="E255" s="67">
        <v>45348</v>
      </c>
      <c r="F255" s="66">
        <v>81</v>
      </c>
      <c r="G255" s="78">
        <v>9068146344</v>
      </c>
      <c r="H255" s="69">
        <v>92983</v>
      </c>
      <c r="I255" s="26" t="str">
        <f t="shared" si="3"/>
        <v>Japan</v>
      </c>
    </row>
    <row r="256" spans="1:9">
      <c r="A256" s="66">
        <v>863657575470210</v>
      </c>
      <c r="B256" s="26" t="s">
        <v>874</v>
      </c>
      <c r="C256" s="26" t="s">
        <v>875</v>
      </c>
      <c r="D256" s="26">
        <v>75008758</v>
      </c>
      <c r="E256" s="67">
        <v>45423</v>
      </c>
      <c r="F256" s="66">
        <v>81</v>
      </c>
      <c r="G256" s="78">
        <v>9790165375</v>
      </c>
      <c r="H256" s="69">
        <v>58371</v>
      </c>
      <c r="I256" s="26" t="str">
        <f t="shared" si="3"/>
        <v>Japan</v>
      </c>
    </row>
    <row r="257" spans="1:9">
      <c r="A257" s="66">
        <v>916536466522621</v>
      </c>
      <c r="B257" s="26" t="s">
        <v>876</v>
      </c>
      <c r="C257" s="26" t="s">
        <v>877</v>
      </c>
      <c r="D257" s="26">
        <v>88674324</v>
      </c>
      <c r="E257" s="67">
        <v>45095</v>
      </c>
      <c r="F257" s="66">
        <v>81</v>
      </c>
      <c r="G257" s="78">
        <v>9514797249</v>
      </c>
      <c r="H257" s="69">
        <v>94172</v>
      </c>
      <c r="I257" s="26" t="str">
        <f t="shared" si="3"/>
        <v>Japan</v>
      </c>
    </row>
    <row r="258" spans="1:9">
      <c r="A258" s="66">
        <v>985984070815105</v>
      </c>
      <c r="B258" s="26" t="s">
        <v>878</v>
      </c>
      <c r="C258" s="26" t="s">
        <v>879</v>
      </c>
      <c r="D258" s="26">
        <v>78919426</v>
      </c>
      <c r="E258" s="67">
        <v>43826</v>
      </c>
      <c r="F258" s="66">
        <v>81</v>
      </c>
      <c r="G258" s="78">
        <v>8402895087</v>
      </c>
      <c r="H258" s="69">
        <v>74769</v>
      </c>
      <c r="I258" s="26" t="str">
        <f t="shared" si="3"/>
        <v>Japan</v>
      </c>
    </row>
    <row r="259" spans="1:9">
      <c r="A259" s="66">
        <v>886426544498419</v>
      </c>
      <c r="B259" s="26" t="s">
        <v>880</v>
      </c>
      <c r="C259" s="26" t="s">
        <v>881</v>
      </c>
      <c r="D259" s="26">
        <v>64391345</v>
      </c>
      <c r="E259" s="67">
        <v>45344</v>
      </c>
      <c r="F259" s="66">
        <v>81</v>
      </c>
      <c r="G259" s="78">
        <v>6352498843</v>
      </c>
      <c r="H259" s="69">
        <v>83851</v>
      </c>
      <c r="I259" s="26" t="str">
        <f t="shared" ref="I259:I322" si="4">IF(F259=91,"India",IF(F259=1,"United Staes",IF(F259=7,"Russia",IF(F259=34,"Spain",IF(F259=45,"Denmark",IF(F259=33,"France",IF(F259=61,"Australia",IF(F259=49,"German",IF(F259=81,"Japan",IF(F259=55,"Brazil",IF(F259=44,"United Kindom",IF(F259=27,"South Africa",IF(F259=380,"Ukrain",IF(F259=48,"Poland",IF(F259=82,"South Korea",IF(F259=966,"Saudi Arabia",IF(F259=41,"Swizerland",IF(F259=975,"Bhutan",IF(F259=974,"Qatar",IF(F259=977,"Nepal",IF(F259=972,"Isreal",IF(F259=93,"Afghanistan",IF(F259=351,"Portugal",IF(F259=54,"Argentina",IF(F259=374,"Armrnia",IF(F259=64,"New Zealand",IF(F259=62,"Indonesia",IF(F259=39,"Italy",IF(F259=46,"Sweden",IF(F259=58,"Venezuela",IF(F259=57,"Colombia",IF(F259=63,"Philippines",IF(F259=850,"North Korea",IF(F259=976,"Mongolia","Not exist in this Nation"))))))))))))))))))))))))))))))))))</f>
        <v>Japan</v>
      </c>
    </row>
    <row r="260" spans="1:9">
      <c r="A260" s="66">
        <v>899842109201540</v>
      </c>
      <c r="B260" s="26" t="s">
        <v>882</v>
      </c>
      <c r="C260" s="26" t="s">
        <v>883</v>
      </c>
      <c r="D260" s="26">
        <v>76460988</v>
      </c>
      <c r="E260" s="67">
        <v>45366</v>
      </c>
      <c r="F260" s="66">
        <v>81</v>
      </c>
      <c r="G260" s="78">
        <v>4902237970</v>
      </c>
      <c r="H260" s="69">
        <v>76486</v>
      </c>
      <c r="I260" s="26" t="str">
        <f t="shared" si="4"/>
        <v>Japan</v>
      </c>
    </row>
    <row r="261" spans="1:9">
      <c r="A261" s="66">
        <v>891341336308637</v>
      </c>
      <c r="B261" s="26" t="s">
        <v>884</v>
      </c>
      <c r="C261" s="26" t="s">
        <v>885</v>
      </c>
      <c r="D261" s="26">
        <v>83522622</v>
      </c>
      <c r="E261" s="67">
        <v>44311</v>
      </c>
      <c r="F261" s="66">
        <v>81</v>
      </c>
      <c r="G261" s="78">
        <v>8762014129</v>
      </c>
      <c r="H261" s="69">
        <v>55226</v>
      </c>
      <c r="I261" s="26" t="str">
        <f t="shared" si="4"/>
        <v>Japan</v>
      </c>
    </row>
    <row r="262" spans="1:9">
      <c r="A262" s="66">
        <v>871299873555927</v>
      </c>
      <c r="B262" s="26" t="s">
        <v>886</v>
      </c>
      <c r="C262" s="26" t="s">
        <v>887</v>
      </c>
      <c r="D262" s="26">
        <v>87041847</v>
      </c>
      <c r="E262" s="67">
        <v>44793</v>
      </c>
      <c r="F262" s="66">
        <v>81</v>
      </c>
      <c r="G262" s="78">
        <v>5886413499</v>
      </c>
      <c r="H262" s="69">
        <v>70356</v>
      </c>
      <c r="I262" s="26" t="str">
        <f t="shared" si="4"/>
        <v>Japan</v>
      </c>
    </row>
    <row r="263" spans="1:9">
      <c r="A263" s="66">
        <v>882760438267666</v>
      </c>
      <c r="B263" s="26" t="s">
        <v>888</v>
      </c>
      <c r="C263" s="26" t="s">
        <v>889</v>
      </c>
      <c r="D263" s="26">
        <v>64617977</v>
      </c>
      <c r="E263" s="67">
        <v>43535</v>
      </c>
      <c r="F263" s="66">
        <v>81</v>
      </c>
      <c r="G263" s="78">
        <v>5868765801</v>
      </c>
      <c r="H263" s="69">
        <v>34698</v>
      </c>
      <c r="I263" s="26" t="str">
        <f t="shared" si="4"/>
        <v>Japan</v>
      </c>
    </row>
    <row r="264" spans="1:9">
      <c r="A264" s="66">
        <v>820082774022205</v>
      </c>
      <c r="B264" s="26" t="s">
        <v>890</v>
      </c>
      <c r="C264" s="26" t="s">
        <v>891</v>
      </c>
      <c r="D264" s="26">
        <v>78097463</v>
      </c>
      <c r="E264" s="67">
        <v>43549</v>
      </c>
      <c r="F264" s="66">
        <v>81</v>
      </c>
      <c r="G264" s="78">
        <v>7808539632</v>
      </c>
      <c r="H264" s="69">
        <v>26703</v>
      </c>
      <c r="I264" s="26" t="str">
        <f t="shared" si="4"/>
        <v>Japan</v>
      </c>
    </row>
    <row r="265" spans="1:9">
      <c r="A265" s="66">
        <v>913437346484653</v>
      </c>
      <c r="B265" s="26" t="s">
        <v>892</v>
      </c>
      <c r="C265" s="26" t="s">
        <v>893</v>
      </c>
      <c r="D265" s="26">
        <v>79891070</v>
      </c>
      <c r="E265" s="67">
        <v>44788</v>
      </c>
      <c r="F265" s="66">
        <v>81</v>
      </c>
      <c r="G265" s="78">
        <v>4835456308</v>
      </c>
      <c r="H265" s="69">
        <v>29383</v>
      </c>
      <c r="I265" s="26" t="str">
        <f t="shared" si="4"/>
        <v>Japan</v>
      </c>
    </row>
    <row r="266" spans="1:9">
      <c r="A266" s="66">
        <v>904699287870191</v>
      </c>
      <c r="B266" s="26" t="s">
        <v>894</v>
      </c>
      <c r="C266" s="26" t="s">
        <v>895</v>
      </c>
      <c r="D266" s="26">
        <v>66692175</v>
      </c>
      <c r="E266" s="67">
        <v>45132</v>
      </c>
      <c r="F266" s="66">
        <v>81</v>
      </c>
      <c r="G266" s="78">
        <v>6982611264</v>
      </c>
      <c r="H266" s="69">
        <v>66209</v>
      </c>
      <c r="I266" s="26" t="str">
        <f t="shared" si="4"/>
        <v>Japan</v>
      </c>
    </row>
    <row r="267" spans="1:9">
      <c r="A267" s="66">
        <v>885737511116158</v>
      </c>
      <c r="B267" s="26" t="s">
        <v>896</v>
      </c>
      <c r="C267" s="26" t="s">
        <v>897</v>
      </c>
      <c r="D267" s="26">
        <v>64275180</v>
      </c>
      <c r="E267" s="67">
        <v>45556</v>
      </c>
      <c r="F267" s="66">
        <v>81</v>
      </c>
      <c r="G267" s="78">
        <v>9960741961</v>
      </c>
      <c r="H267" s="69">
        <v>96433</v>
      </c>
      <c r="I267" s="26" t="str">
        <f t="shared" si="4"/>
        <v>Japan</v>
      </c>
    </row>
    <row r="268" spans="1:9">
      <c r="A268" s="66">
        <v>918365979267984</v>
      </c>
      <c r="B268" s="26" t="s">
        <v>898</v>
      </c>
      <c r="C268" s="26" t="s">
        <v>899</v>
      </c>
      <c r="D268" s="26">
        <v>88015979</v>
      </c>
      <c r="E268" s="67">
        <v>44282</v>
      </c>
      <c r="F268" s="66">
        <v>81</v>
      </c>
      <c r="G268" s="78">
        <v>6144611205</v>
      </c>
      <c r="H268" s="69">
        <v>63986</v>
      </c>
      <c r="I268" s="26" t="str">
        <f t="shared" si="4"/>
        <v>Japan</v>
      </c>
    </row>
    <row r="269" spans="1:9">
      <c r="A269" s="66">
        <v>993672290399905</v>
      </c>
      <c r="B269" s="26" t="s">
        <v>900</v>
      </c>
      <c r="C269" s="26" t="s">
        <v>901</v>
      </c>
      <c r="D269" s="26">
        <v>78393185</v>
      </c>
      <c r="E269" s="67">
        <v>43661</v>
      </c>
      <c r="F269" s="66">
        <v>81</v>
      </c>
      <c r="G269" s="78">
        <v>9454891137</v>
      </c>
      <c r="H269" s="69">
        <v>28184</v>
      </c>
      <c r="I269" s="26" t="str">
        <f t="shared" si="4"/>
        <v>Japan</v>
      </c>
    </row>
    <row r="270" spans="1:9">
      <c r="A270" s="66">
        <v>921471375685232</v>
      </c>
      <c r="B270" s="26" t="s">
        <v>902</v>
      </c>
      <c r="C270" s="26" t="s">
        <v>903</v>
      </c>
      <c r="D270" s="26">
        <v>69059946</v>
      </c>
      <c r="E270" s="67">
        <v>44430</v>
      </c>
      <c r="F270" s="66">
        <v>81</v>
      </c>
      <c r="G270" s="78">
        <v>8201088504</v>
      </c>
      <c r="H270" s="69">
        <v>58201</v>
      </c>
      <c r="I270" s="26" t="str">
        <f t="shared" si="4"/>
        <v>Japan</v>
      </c>
    </row>
    <row r="271" spans="1:9">
      <c r="A271" s="66">
        <v>991312594938694</v>
      </c>
      <c r="B271" s="26" t="s">
        <v>904</v>
      </c>
      <c r="C271" s="26" t="s">
        <v>905</v>
      </c>
      <c r="D271" s="26">
        <v>88319479</v>
      </c>
      <c r="E271" s="67">
        <v>43683</v>
      </c>
      <c r="F271" s="66">
        <v>81</v>
      </c>
      <c r="G271" s="78">
        <v>8270278296</v>
      </c>
      <c r="H271" s="69">
        <v>48583</v>
      </c>
      <c r="I271" s="26" t="str">
        <f t="shared" si="4"/>
        <v>Japan</v>
      </c>
    </row>
    <row r="272" spans="1:9">
      <c r="A272" s="66">
        <v>871285915038671</v>
      </c>
      <c r="B272" s="26" t="s">
        <v>906</v>
      </c>
      <c r="C272" s="26" t="s">
        <v>907</v>
      </c>
      <c r="D272" s="26">
        <v>82988419</v>
      </c>
      <c r="E272" s="67">
        <v>44820</v>
      </c>
      <c r="F272" s="66">
        <v>81</v>
      </c>
      <c r="G272" s="78">
        <v>8243392808</v>
      </c>
      <c r="H272" s="69">
        <v>94380</v>
      </c>
      <c r="I272" s="26" t="str">
        <f t="shared" si="4"/>
        <v>Japan</v>
      </c>
    </row>
    <row r="273" spans="1:9">
      <c r="A273" s="66">
        <v>918887724925362</v>
      </c>
      <c r="B273" s="26" t="s">
        <v>908</v>
      </c>
      <c r="C273" s="26" t="s">
        <v>909</v>
      </c>
      <c r="D273" s="26">
        <v>64478533</v>
      </c>
      <c r="E273" s="67">
        <v>43695</v>
      </c>
      <c r="F273" s="66">
        <v>81</v>
      </c>
      <c r="G273" s="78">
        <v>4877865434</v>
      </c>
      <c r="H273" s="69">
        <v>95924</v>
      </c>
      <c r="I273" s="26" t="str">
        <f t="shared" si="4"/>
        <v>Japan</v>
      </c>
    </row>
    <row r="274" spans="1:9">
      <c r="A274" s="66">
        <v>869736589695120</v>
      </c>
      <c r="B274" s="26" t="s">
        <v>910</v>
      </c>
      <c r="C274" s="26" t="s">
        <v>911</v>
      </c>
      <c r="D274" s="26">
        <v>70690728</v>
      </c>
      <c r="E274" s="67">
        <v>44981</v>
      </c>
      <c r="F274" s="66">
        <v>81</v>
      </c>
      <c r="G274" s="78">
        <v>8941806568</v>
      </c>
      <c r="H274" s="69">
        <v>71702</v>
      </c>
      <c r="I274" s="26" t="str">
        <f t="shared" si="4"/>
        <v>Japan</v>
      </c>
    </row>
    <row r="275" spans="1:9">
      <c r="A275" s="66">
        <v>960504069154426</v>
      </c>
      <c r="B275" s="26" t="s">
        <v>912</v>
      </c>
      <c r="C275" s="26" t="s">
        <v>913</v>
      </c>
      <c r="D275" s="26">
        <v>71315060</v>
      </c>
      <c r="E275" s="67">
        <v>44677</v>
      </c>
      <c r="F275" s="66">
        <v>81</v>
      </c>
      <c r="G275" s="78">
        <v>8047085695</v>
      </c>
      <c r="H275" s="69">
        <v>70953</v>
      </c>
      <c r="I275" s="26" t="str">
        <f t="shared" si="4"/>
        <v>Japan</v>
      </c>
    </row>
    <row r="276" spans="1:9">
      <c r="A276" s="66">
        <v>891053136895515</v>
      </c>
      <c r="B276" s="26" t="s">
        <v>914</v>
      </c>
      <c r="C276" s="26" t="s">
        <v>915</v>
      </c>
      <c r="D276" s="26">
        <v>80786045</v>
      </c>
      <c r="E276" s="67">
        <v>43469</v>
      </c>
      <c r="F276" s="66">
        <v>81</v>
      </c>
      <c r="G276" s="78">
        <v>5568327330</v>
      </c>
      <c r="H276" s="69">
        <v>79999</v>
      </c>
      <c r="I276" s="26" t="str">
        <f t="shared" si="4"/>
        <v>Japan</v>
      </c>
    </row>
    <row r="277" spans="1:9">
      <c r="A277" s="66">
        <v>999838664512409</v>
      </c>
      <c r="B277" s="26" t="s">
        <v>916</v>
      </c>
      <c r="C277" s="26" t="s">
        <v>917</v>
      </c>
      <c r="D277" s="26">
        <v>80491687</v>
      </c>
      <c r="E277" s="67">
        <v>45341</v>
      </c>
      <c r="F277" s="66">
        <v>81</v>
      </c>
      <c r="G277" s="78">
        <v>5582196560</v>
      </c>
      <c r="H277" s="69">
        <v>14541</v>
      </c>
      <c r="I277" s="26" t="str">
        <f t="shared" si="4"/>
        <v>Japan</v>
      </c>
    </row>
    <row r="278" spans="1:9">
      <c r="A278" s="66">
        <v>949338923088642</v>
      </c>
      <c r="B278" s="26" t="s">
        <v>918</v>
      </c>
      <c r="C278" s="26" t="s">
        <v>919</v>
      </c>
      <c r="D278" s="26">
        <v>89928831</v>
      </c>
      <c r="E278" s="67">
        <v>44233</v>
      </c>
      <c r="F278" s="66">
        <v>81</v>
      </c>
      <c r="G278" s="78">
        <v>7126597538</v>
      </c>
      <c r="H278" s="69">
        <v>63743</v>
      </c>
      <c r="I278" s="26" t="str">
        <f t="shared" si="4"/>
        <v>Japan</v>
      </c>
    </row>
    <row r="279" spans="1:9">
      <c r="A279" s="66">
        <v>904158434338043</v>
      </c>
      <c r="B279" s="26" t="s">
        <v>920</v>
      </c>
      <c r="C279" s="26" t="s">
        <v>921</v>
      </c>
      <c r="D279" s="26">
        <v>84867631</v>
      </c>
      <c r="E279" s="67">
        <v>44554</v>
      </c>
      <c r="F279" s="66">
        <v>81</v>
      </c>
      <c r="G279" s="78">
        <v>7303342161</v>
      </c>
      <c r="H279" s="69">
        <v>26179</v>
      </c>
      <c r="I279" s="26" t="str">
        <f t="shared" si="4"/>
        <v>Japan</v>
      </c>
    </row>
    <row r="280" spans="1:9">
      <c r="A280" s="66">
        <v>806773504725053</v>
      </c>
      <c r="B280" s="26" t="s">
        <v>922</v>
      </c>
      <c r="C280" s="26" t="s">
        <v>923</v>
      </c>
      <c r="D280" s="26">
        <v>75443878</v>
      </c>
      <c r="E280" s="67">
        <v>43651</v>
      </c>
      <c r="F280" s="66">
        <v>81</v>
      </c>
      <c r="G280" s="78">
        <v>4558786289</v>
      </c>
      <c r="H280" s="69">
        <v>86195</v>
      </c>
      <c r="I280" s="26" t="str">
        <f t="shared" si="4"/>
        <v>Japan</v>
      </c>
    </row>
    <row r="281" spans="1:9">
      <c r="A281" s="66">
        <v>998772034485407</v>
      </c>
      <c r="B281" s="26" t="s">
        <v>924</v>
      </c>
      <c r="C281" s="26" t="s">
        <v>925</v>
      </c>
      <c r="D281" s="26">
        <v>65968722</v>
      </c>
      <c r="E281" s="67">
        <v>45144</v>
      </c>
      <c r="F281" s="66">
        <v>81</v>
      </c>
      <c r="G281" s="78">
        <v>6990380469</v>
      </c>
      <c r="H281" s="69">
        <v>56423</v>
      </c>
      <c r="I281" s="26" t="str">
        <f t="shared" si="4"/>
        <v>Japan</v>
      </c>
    </row>
    <row r="282" spans="1:9">
      <c r="A282" s="66">
        <v>966248099694758</v>
      </c>
      <c r="B282" s="26" t="s">
        <v>926</v>
      </c>
      <c r="C282" s="26" t="s">
        <v>927</v>
      </c>
      <c r="D282" s="26">
        <v>61704964</v>
      </c>
      <c r="E282" s="67">
        <v>45280</v>
      </c>
      <c r="F282" s="66">
        <v>55</v>
      </c>
      <c r="G282" s="79">
        <v>9776253630</v>
      </c>
      <c r="H282" s="69">
        <v>35521</v>
      </c>
      <c r="I282" s="26" t="str">
        <f t="shared" si="4"/>
        <v>Brazil</v>
      </c>
    </row>
    <row r="283" spans="1:9">
      <c r="A283" s="66">
        <v>917646000712516</v>
      </c>
      <c r="B283" s="26" t="s">
        <v>928</v>
      </c>
      <c r="C283" s="26" t="s">
        <v>929</v>
      </c>
      <c r="D283" s="26">
        <v>89316151</v>
      </c>
      <c r="E283" s="67">
        <v>43907</v>
      </c>
      <c r="F283" s="66">
        <v>55</v>
      </c>
      <c r="G283" s="79">
        <v>8306493045</v>
      </c>
      <c r="H283" s="69">
        <v>17553</v>
      </c>
      <c r="I283" s="26" t="str">
        <f t="shared" si="4"/>
        <v>Brazil</v>
      </c>
    </row>
    <row r="284" spans="1:9">
      <c r="A284" s="66">
        <v>830184207047097</v>
      </c>
      <c r="B284" s="26" t="s">
        <v>930</v>
      </c>
      <c r="C284" s="26" t="s">
        <v>931</v>
      </c>
      <c r="D284" s="26">
        <v>89854154</v>
      </c>
      <c r="E284" s="67">
        <v>45231</v>
      </c>
      <c r="F284" s="66">
        <v>55</v>
      </c>
      <c r="G284" s="79">
        <v>8758429842</v>
      </c>
      <c r="H284" s="69">
        <v>99834</v>
      </c>
      <c r="I284" s="26" t="str">
        <f t="shared" si="4"/>
        <v>Brazil</v>
      </c>
    </row>
    <row r="285" spans="1:9">
      <c r="A285" s="66">
        <v>953580065962388</v>
      </c>
      <c r="B285" s="26" t="s">
        <v>932</v>
      </c>
      <c r="C285" s="26" t="s">
        <v>933</v>
      </c>
      <c r="D285" s="26">
        <v>71012612</v>
      </c>
      <c r="E285" s="67">
        <v>43812</v>
      </c>
      <c r="F285" s="66">
        <v>55</v>
      </c>
      <c r="G285" s="79">
        <v>7603654102</v>
      </c>
      <c r="H285" s="69">
        <v>96251</v>
      </c>
      <c r="I285" s="26" t="str">
        <f t="shared" si="4"/>
        <v>Brazil</v>
      </c>
    </row>
    <row r="286" spans="1:9">
      <c r="A286" s="66">
        <v>917264261713578</v>
      </c>
      <c r="B286" s="26" t="s">
        <v>934</v>
      </c>
      <c r="C286" s="26" t="s">
        <v>935</v>
      </c>
      <c r="D286" s="26">
        <v>68241195</v>
      </c>
      <c r="E286" s="67">
        <v>45205</v>
      </c>
      <c r="F286" s="66">
        <v>55</v>
      </c>
      <c r="G286" s="79">
        <v>6540778078</v>
      </c>
      <c r="H286" s="69">
        <v>88250</v>
      </c>
      <c r="I286" s="26" t="str">
        <f t="shared" si="4"/>
        <v>Brazil</v>
      </c>
    </row>
    <row r="287" spans="1:9">
      <c r="A287" s="66">
        <v>963095415959860</v>
      </c>
      <c r="B287" s="26" t="s">
        <v>936</v>
      </c>
      <c r="C287" s="26" t="s">
        <v>937</v>
      </c>
      <c r="D287" s="26">
        <v>69007085</v>
      </c>
      <c r="E287" s="67">
        <v>45584</v>
      </c>
      <c r="F287" s="66">
        <v>55</v>
      </c>
      <c r="G287" s="79">
        <v>8930502900</v>
      </c>
      <c r="H287" s="69">
        <v>51585</v>
      </c>
      <c r="I287" s="26" t="str">
        <f t="shared" si="4"/>
        <v>Brazil</v>
      </c>
    </row>
    <row r="288" spans="1:9">
      <c r="A288" s="66">
        <v>807684410289336</v>
      </c>
      <c r="B288" s="26" t="s">
        <v>938</v>
      </c>
      <c r="C288" s="26" t="s">
        <v>939</v>
      </c>
      <c r="D288" s="26">
        <v>81252871</v>
      </c>
      <c r="E288" s="67">
        <v>43829</v>
      </c>
      <c r="F288" s="66">
        <v>55</v>
      </c>
      <c r="G288" s="79">
        <v>4744042050</v>
      </c>
      <c r="H288" s="69">
        <v>66545</v>
      </c>
      <c r="I288" s="26" t="str">
        <f t="shared" si="4"/>
        <v>Brazil</v>
      </c>
    </row>
    <row r="289" spans="1:9">
      <c r="A289" s="66">
        <v>847218744804056</v>
      </c>
      <c r="B289" s="26" t="s">
        <v>940</v>
      </c>
      <c r="C289" s="26" t="s">
        <v>941</v>
      </c>
      <c r="D289" s="26">
        <v>69600514</v>
      </c>
      <c r="E289" s="67">
        <v>44589</v>
      </c>
      <c r="F289" s="66">
        <v>55</v>
      </c>
      <c r="G289" s="79">
        <v>5080993458</v>
      </c>
      <c r="H289" s="69">
        <v>92652</v>
      </c>
      <c r="I289" s="26" t="str">
        <f t="shared" si="4"/>
        <v>Brazil</v>
      </c>
    </row>
    <row r="290" spans="1:9">
      <c r="A290" s="66">
        <v>923741995096134</v>
      </c>
      <c r="B290" s="26" t="s">
        <v>942</v>
      </c>
      <c r="C290" s="26" t="s">
        <v>943</v>
      </c>
      <c r="D290" s="26">
        <v>75548817</v>
      </c>
      <c r="E290" s="67">
        <v>44524</v>
      </c>
      <c r="F290" s="66">
        <v>55</v>
      </c>
      <c r="G290" s="79">
        <v>6571811577</v>
      </c>
      <c r="H290" s="69">
        <v>7534</v>
      </c>
      <c r="I290" s="26" t="str">
        <f t="shared" si="4"/>
        <v>Brazil</v>
      </c>
    </row>
    <row r="291" spans="1:9">
      <c r="A291" s="66">
        <v>928264563218757</v>
      </c>
      <c r="B291" s="26" t="s">
        <v>944</v>
      </c>
      <c r="C291" s="26" t="s">
        <v>945</v>
      </c>
      <c r="D291" s="26">
        <v>70385618</v>
      </c>
      <c r="E291" s="67">
        <v>45155</v>
      </c>
      <c r="F291" s="66">
        <v>55</v>
      </c>
      <c r="G291" s="79">
        <v>5547864191</v>
      </c>
      <c r="H291" s="69">
        <v>29104</v>
      </c>
      <c r="I291" s="26" t="str">
        <f t="shared" si="4"/>
        <v>Brazil</v>
      </c>
    </row>
    <row r="292" spans="1:9">
      <c r="A292" s="66">
        <v>903445523365091</v>
      </c>
      <c r="B292" s="26" t="s">
        <v>946</v>
      </c>
      <c r="C292" s="26" t="s">
        <v>947</v>
      </c>
      <c r="D292" s="26">
        <v>85604731</v>
      </c>
      <c r="E292" s="67">
        <v>43585</v>
      </c>
      <c r="F292" s="66">
        <v>55</v>
      </c>
      <c r="G292" s="79">
        <v>5648545748</v>
      </c>
      <c r="H292" s="69">
        <v>30402</v>
      </c>
      <c r="I292" s="26" t="str">
        <f t="shared" si="4"/>
        <v>Brazil</v>
      </c>
    </row>
    <row r="293" spans="1:9">
      <c r="A293" s="66">
        <v>850355963725570</v>
      </c>
      <c r="B293" s="26" t="s">
        <v>948</v>
      </c>
      <c r="C293" s="26" t="s">
        <v>949</v>
      </c>
      <c r="D293" s="26">
        <v>68952911</v>
      </c>
      <c r="E293" s="67">
        <v>45557</v>
      </c>
      <c r="F293" s="66">
        <v>55</v>
      </c>
      <c r="G293" s="79">
        <v>8000216449</v>
      </c>
      <c r="H293" s="69">
        <v>98252</v>
      </c>
      <c r="I293" s="26" t="str">
        <f t="shared" si="4"/>
        <v>Brazil</v>
      </c>
    </row>
    <row r="294" spans="1:9">
      <c r="A294" s="66">
        <v>826437261522456</v>
      </c>
      <c r="B294" s="26" t="s">
        <v>950</v>
      </c>
      <c r="C294" s="26" t="s">
        <v>951</v>
      </c>
      <c r="D294" s="26">
        <v>74050956</v>
      </c>
      <c r="E294" s="67">
        <v>45104</v>
      </c>
      <c r="F294" s="66">
        <v>55</v>
      </c>
      <c r="G294" s="79">
        <v>9676694192</v>
      </c>
      <c r="H294" s="69">
        <v>63800</v>
      </c>
      <c r="I294" s="26" t="str">
        <f t="shared" si="4"/>
        <v>Brazil</v>
      </c>
    </row>
    <row r="295" spans="1:9">
      <c r="A295" s="66">
        <v>838742263585958</v>
      </c>
      <c r="B295" s="26" t="s">
        <v>952</v>
      </c>
      <c r="C295" s="26" t="s">
        <v>953</v>
      </c>
      <c r="D295" s="26">
        <v>84312222</v>
      </c>
      <c r="E295" s="67">
        <v>44864</v>
      </c>
      <c r="F295" s="66">
        <v>55</v>
      </c>
      <c r="G295" s="79">
        <v>8867855953</v>
      </c>
      <c r="H295" s="69">
        <v>59632</v>
      </c>
      <c r="I295" s="26" t="str">
        <f t="shared" si="4"/>
        <v>Brazil</v>
      </c>
    </row>
    <row r="296" spans="1:9">
      <c r="A296" s="66">
        <v>914672694044334</v>
      </c>
      <c r="B296" s="26" t="s">
        <v>954</v>
      </c>
      <c r="C296" s="26" t="s">
        <v>955</v>
      </c>
      <c r="D296" s="26">
        <v>66740635</v>
      </c>
      <c r="E296" s="67">
        <v>45517</v>
      </c>
      <c r="F296" s="66">
        <v>55</v>
      </c>
      <c r="G296" s="79">
        <v>5786765121</v>
      </c>
      <c r="H296" s="69">
        <v>56570</v>
      </c>
      <c r="I296" s="26" t="str">
        <f t="shared" si="4"/>
        <v>Brazil</v>
      </c>
    </row>
    <row r="297" spans="1:9">
      <c r="A297" s="66">
        <v>865711235123099</v>
      </c>
      <c r="B297" s="26" t="s">
        <v>956</v>
      </c>
      <c r="C297" s="26" t="s">
        <v>957</v>
      </c>
      <c r="D297" s="26">
        <v>82805790</v>
      </c>
      <c r="E297" s="67">
        <v>43876</v>
      </c>
      <c r="F297" s="66">
        <v>55</v>
      </c>
      <c r="G297" s="79">
        <v>9364951616</v>
      </c>
      <c r="H297" s="69">
        <v>76207</v>
      </c>
      <c r="I297" s="26" t="str">
        <f t="shared" si="4"/>
        <v>Brazil</v>
      </c>
    </row>
    <row r="298" spans="1:9">
      <c r="A298" s="66">
        <v>973147252771947</v>
      </c>
      <c r="B298" s="26" t="s">
        <v>958</v>
      </c>
      <c r="C298" s="26" t="s">
        <v>959</v>
      </c>
      <c r="D298" s="26">
        <v>72546200</v>
      </c>
      <c r="E298" s="67">
        <v>44448</v>
      </c>
      <c r="F298" s="66">
        <v>55</v>
      </c>
      <c r="G298" s="79">
        <v>9306937204</v>
      </c>
      <c r="H298" s="69">
        <v>82769</v>
      </c>
      <c r="I298" s="26" t="str">
        <f t="shared" si="4"/>
        <v>Brazil</v>
      </c>
    </row>
    <row r="299" spans="1:9">
      <c r="A299" s="66">
        <v>825827455895814</v>
      </c>
      <c r="B299" s="26" t="s">
        <v>960</v>
      </c>
      <c r="C299" s="26" t="s">
        <v>961</v>
      </c>
      <c r="D299" s="26">
        <v>80519154</v>
      </c>
      <c r="E299" s="67">
        <v>43683</v>
      </c>
      <c r="F299" s="66">
        <v>55</v>
      </c>
      <c r="G299" s="79">
        <v>4974706761</v>
      </c>
      <c r="H299" s="69">
        <v>53150</v>
      </c>
      <c r="I299" s="26" t="str">
        <f t="shared" si="4"/>
        <v>Brazil</v>
      </c>
    </row>
    <row r="300" spans="1:9">
      <c r="A300" s="66">
        <v>888203433226514</v>
      </c>
      <c r="B300" s="26" t="s">
        <v>962</v>
      </c>
      <c r="C300" s="26" t="s">
        <v>963</v>
      </c>
      <c r="D300" s="26">
        <v>79221142</v>
      </c>
      <c r="E300" s="67">
        <v>44062</v>
      </c>
      <c r="F300" s="66">
        <v>55</v>
      </c>
      <c r="G300" s="79">
        <v>9663848263</v>
      </c>
      <c r="H300" s="69">
        <v>34522</v>
      </c>
      <c r="I300" s="26" t="str">
        <f t="shared" si="4"/>
        <v>Brazil</v>
      </c>
    </row>
    <row r="301" spans="1:9">
      <c r="A301" s="66">
        <v>899224310699528</v>
      </c>
      <c r="B301" s="26" t="s">
        <v>964</v>
      </c>
      <c r="C301" s="26" t="s">
        <v>965</v>
      </c>
      <c r="D301" s="26">
        <v>75532189</v>
      </c>
      <c r="E301" s="67">
        <v>44889</v>
      </c>
      <c r="F301" s="66">
        <v>55</v>
      </c>
      <c r="G301" s="79">
        <v>6981914627</v>
      </c>
      <c r="H301" s="69">
        <v>22531</v>
      </c>
      <c r="I301" s="26" t="str">
        <f t="shared" si="4"/>
        <v>Brazil</v>
      </c>
    </row>
    <row r="302" spans="1:9">
      <c r="A302" s="66">
        <v>998468142834477</v>
      </c>
      <c r="B302" s="26" t="s">
        <v>966</v>
      </c>
      <c r="C302" s="26" t="s">
        <v>967</v>
      </c>
      <c r="D302" s="26">
        <v>69408088</v>
      </c>
      <c r="E302" s="67">
        <v>43663</v>
      </c>
      <c r="F302" s="66">
        <v>55</v>
      </c>
      <c r="G302" s="79">
        <v>7126299779</v>
      </c>
      <c r="H302" s="69">
        <v>19721</v>
      </c>
      <c r="I302" s="26" t="str">
        <f t="shared" si="4"/>
        <v>Brazil</v>
      </c>
    </row>
    <row r="303" spans="1:9">
      <c r="A303" s="66">
        <v>925864204631573</v>
      </c>
      <c r="B303" s="26" t="s">
        <v>968</v>
      </c>
      <c r="C303" s="26" t="s">
        <v>969</v>
      </c>
      <c r="D303" s="26">
        <v>84838421</v>
      </c>
      <c r="E303" s="67">
        <v>44721</v>
      </c>
      <c r="F303" s="66">
        <v>55</v>
      </c>
      <c r="G303" s="79">
        <v>9822250364</v>
      </c>
      <c r="H303" s="69">
        <v>54888</v>
      </c>
      <c r="I303" s="26" t="str">
        <f t="shared" si="4"/>
        <v>Brazil</v>
      </c>
    </row>
    <row r="304" spans="1:9">
      <c r="A304" s="66">
        <v>889096969406760</v>
      </c>
      <c r="B304" s="26" t="s">
        <v>970</v>
      </c>
      <c r="C304" s="26" t="s">
        <v>971</v>
      </c>
      <c r="D304" s="26">
        <v>70756345</v>
      </c>
      <c r="E304" s="67">
        <v>45417</v>
      </c>
      <c r="F304" s="66">
        <v>55</v>
      </c>
      <c r="G304" s="79">
        <v>4474015865</v>
      </c>
      <c r="H304" s="69">
        <v>87849</v>
      </c>
      <c r="I304" s="26" t="str">
        <f t="shared" si="4"/>
        <v>Brazil</v>
      </c>
    </row>
    <row r="305" spans="1:9">
      <c r="A305" s="66">
        <v>937925804384872</v>
      </c>
      <c r="B305" s="26" t="s">
        <v>972</v>
      </c>
      <c r="C305" s="26" t="s">
        <v>973</v>
      </c>
      <c r="D305" s="26">
        <v>61987787</v>
      </c>
      <c r="E305" s="67">
        <v>45433</v>
      </c>
      <c r="F305" s="66">
        <v>55</v>
      </c>
      <c r="G305" s="79">
        <v>7022161831</v>
      </c>
      <c r="H305" s="69">
        <v>30265</v>
      </c>
      <c r="I305" s="26" t="str">
        <f t="shared" si="4"/>
        <v>Brazil</v>
      </c>
    </row>
    <row r="306" spans="1:9">
      <c r="A306" s="66">
        <v>986697763054086</v>
      </c>
      <c r="B306" s="26" t="s">
        <v>974</v>
      </c>
      <c r="C306" s="26" t="s">
        <v>975</v>
      </c>
      <c r="D306" s="26">
        <v>87791185</v>
      </c>
      <c r="E306" s="67">
        <v>44047</v>
      </c>
      <c r="F306" s="66">
        <v>55</v>
      </c>
      <c r="G306" s="79">
        <v>9958289401</v>
      </c>
      <c r="H306" s="69">
        <v>19982</v>
      </c>
      <c r="I306" s="26" t="str">
        <f t="shared" si="4"/>
        <v>Brazil</v>
      </c>
    </row>
    <row r="307" spans="1:9">
      <c r="A307" s="66">
        <v>982724971473933</v>
      </c>
      <c r="B307" s="26" t="s">
        <v>976</v>
      </c>
      <c r="C307" s="26" t="s">
        <v>977</v>
      </c>
      <c r="D307" s="26">
        <v>62691549</v>
      </c>
      <c r="E307" s="67">
        <v>45154</v>
      </c>
      <c r="F307" s="66">
        <v>55</v>
      </c>
      <c r="G307" s="79">
        <v>7902933555</v>
      </c>
      <c r="H307" s="69">
        <v>54580</v>
      </c>
      <c r="I307" s="26" t="str">
        <f t="shared" si="4"/>
        <v>Brazil</v>
      </c>
    </row>
    <row r="308" spans="1:9">
      <c r="A308" s="66">
        <v>861116839460478</v>
      </c>
      <c r="B308" s="26" t="s">
        <v>978</v>
      </c>
      <c r="C308" s="26" t="s">
        <v>979</v>
      </c>
      <c r="D308" s="26">
        <v>79374318</v>
      </c>
      <c r="E308" s="67">
        <v>43924</v>
      </c>
      <c r="F308" s="66">
        <v>55</v>
      </c>
      <c r="G308" s="79">
        <v>6022140222</v>
      </c>
      <c r="H308" s="69">
        <v>47128</v>
      </c>
      <c r="I308" s="26" t="str">
        <f t="shared" si="4"/>
        <v>Brazil</v>
      </c>
    </row>
    <row r="309" spans="1:9">
      <c r="A309" s="66">
        <v>989143295271623</v>
      </c>
      <c r="B309" s="26" t="s">
        <v>980</v>
      </c>
      <c r="C309" s="26" t="s">
        <v>981</v>
      </c>
      <c r="D309" s="26">
        <v>62383844</v>
      </c>
      <c r="E309" s="67">
        <v>45361</v>
      </c>
      <c r="F309" s="66">
        <v>55</v>
      </c>
      <c r="G309" s="79">
        <v>9019531362</v>
      </c>
      <c r="H309" s="69">
        <v>31557</v>
      </c>
      <c r="I309" s="26" t="str">
        <f t="shared" si="4"/>
        <v>Brazil</v>
      </c>
    </row>
    <row r="310" spans="1:9">
      <c r="A310" s="66">
        <v>977494704468322</v>
      </c>
      <c r="B310" s="26" t="s">
        <v>982</v>
      </c>
      <c r="C310" s="26" t="s">
        <v>983</v>
      </c>
      <c r="D310" s="26">
        <v>87415970</v>
      </c>
      <c r="E310" s="67">
        <v>45415</v>
      </c>
      <c r="F310" s="66">
        <v>55</v>
      </c>
      <c r="G310" s="79">
        <v>9229151690</v>
      </c>
      <c r="H310" s="69">
        <v>76877</v>
      </c>
      <c r="I310" s="26" t="str">
        <f t="shared" si="4"/>
        <v>Brazil</v>
      </c>
    </row>
    <row r="311" spans="1:9">
      <c r="A311" s="66">
        <v>982467633636198</v>
      </c>
      <c r="B311" s="26" t="s">
        <v>984</v>
      </c>
      <c r="C311" s="26" t="s">
        <v>985</v>
      </c>
      <c r="D311" s="26">
        <v>72755938</v>
      </c>
      <c r="E311" s="67">
        <v>45514</v>
      </c>
      <c r="F311" s="66">
        <v>55</v>
      </c>
      <c r="G311" s="79">
        <v>5022196241</v>
      </c>
      <c r="H311" s="69">
        <v>29487</v>
      </c>
      <c r="I311" s="26" t="str">
        <f t="shared" si="4"/>
        <v>Brazil</v>
      </c>
    </row>
    <row r="312" spans="1:9">
      <c r="A312" s="66">
        <v>833290084261944</v>
      </c>
      <c r="B312" s="26" t="s">
        <v>986</v>
      </c>
      <c r="C312" s="26" t="s">
        <v>987</v>
      </c>
      <c r="D312" s="26">
        <v>79921564</v>
      </c>
      <c r="E312" s="67">
        <v>44170</v>
      </c>
      <c r="F312" s="66">
        <v>44</v>
      </c>
      <c r="G312" s="80">
        <v>4656434520</v>
      </c>
      <c r="H312" s="69">
        <v>7752</v>
      </c>
      <c r="I312" s="26" t="str">
        <f t="shared" si="4"/>
        <v>United Kindom</v>
      </c>
    </row>
    <row r="313" spans="1:9">
      <c r="A313" s="66">
        <v>936566931250520</v>
      </c>
      <c r="B313" s="26" t="s">
        <v>988</v>
      </c>
      <c r="C313" s="26" t="s">
        <v>989</v>
      </c>
      <c r="D313" s="26">
        <v>85943727</v>
      </c>
      <c r="E313" s="67">
        <v>45578</v>
      </c>
      <c r="F313" s="66">
        <v>44</v>
      </c>
      <c r="G313" s="80">
        <v>6587020076</v>
      </c>
      <c r="H313" s="69">
        <v>95828</v>
      </c>
      <c r="I313" s="26" t="str">
        <f t="shared" si="4"/>
        <v>United Kindom</v>
      </c>
    </row>
    <row r="314" spans="1:9">
      <c r="A314" s="66">
        <v>907714342801118</v>
      </c>
      <c r="B314" s="26" t="s">
        <v>990</v>
      </c>
      <c r="C314" s="26" t="s">
        <v>991</v>
      </c>
      <c r="D314" s="26">
        <v>87855314</v>
      </c>
      <c r="E314" s="67">
        <v>44184</v>
      </c>
      <c r="F314" s="66">
        <v>44</v>
      </c>
      <c r="G314" s="80">
        <v>6435509801</v>
      </c>
      <c r="H314" s="69">
        <v>37815</v>
      </c>
      <c r="I314" s="26" t="str">
        <f t="shared" si="4"/>
        <v>United Kindom</v>
      </c>
    </row>
    <row r="315" spans="1:9">
      <c r="A315" s="66">
        <v>858947282243129</v>
      </c>
      <c r="B315" s="26" t="s">
        <v>992</v>
      </c>
      <c r="C315" s="26" t="s">
        <v>993</v>
      </c>
      <c r="D315" s="26">
        <v>70392714</v>
      </c>
      <c r="E315" s="67">
        <v>44970</v>
      </c>
      <c r="F315" s="66">
        <v>44</v>
      </c>
      <c r="G315" s="80">
        <v>9508497332</v>
      </c>
      <c r="H315" s="69">
        <v>77071</v>
      </c>
      <c r="I315" s="26" t="str">
        <f t="shared" si="4"/>
        <v>United Kindom</v>
      </c>
    </row>
    <row r="316" spans="1:9">
      <c r="A316" s="66">
        <v>838225741676047</v>
      </c>
      <c r="B316" s="26" t="s">
        <v>994</v>
      </c>
      <c r="C316" s="26" t="s">
        <v>995</v>
      </c>
      <c r="D316" s="26">
        <v>76961498</v>
      </c>
      <c r="E316" s="67">
        <v>43742</v>
      </c>
      <c r="F316" s="66">
        <v>44</v>
      </c>
      <c r="G316" s="80">
        <v>6197505359</v>
      </c>
      <c r="H316" s="69">
        <v>6270</v>
      </c>
      <c r="I316" s="26" t="str">
        <f t="shared" si="4"/>
        <v>United Kindom</v>
      </c>
    </row>
    <row r="317" spans="1:9">
      <c r="A317" s="66">
        <v>920983774277968</v>
      </c>
      <c r="B317" s="26" t="s">
        <v>996</v>
      </c>
      <c r="C317" s="26" t="s">
        <v>997</v>
      </c>
      <c r="D317" s="26">
        <v>63193320</v>
      </c>
      <c r="E317" s="67">
        <v>45101</v>
      </c>
      <c r="F317" s="66">
        <v>44</v>
      </c>
      <c r="G317" s="80">
        <v>6755697922</v>
      </c>
      <c r="H317" s="69">
        <v>51044</v>
      </c>
      <c r="I317" s="26" t="str">
        <f t="shared" si="4"/>
        <v>United Kindom</v>
      </c>
    </row>
    <row r="318" spans="1:9">
      <c r="A318" s="66">
        <v>910431643908930</v>
      </c>
      <c r="B318" s="26" t="s">
        <v>998</v>
      </c>
      <c r="C318" s="26" t="s">
        <v>999</v>
      </c>
      <c r="D318" s="26">
        <v>64678913</v>
      </c>
      <c r="E318" s="67">
        <v>45583</v>
      </c>
      <c r="F318" s="66">
        <v>44</v>
      </c>
      <c r="G318" s="80">
        <v>7610593622</v>
      </c>
      <c r="H318" s="69">
        <v>40035</v>
      </c>
      <c r="I318" s="26" t="str">
        <f t="shared" si="4"/>
        <v>United Kindom</v>
      </c>
    </row>
    <row r="319" spans="1:9">
      <c r="A319" s="66">
        <v>852094965225415</v>
      </c>
      <c r="B319" s="26" t="s">
        <v>1000</v>
      </c>
      <c r="C319" s="26" t="s">
        <v>1001</v>
      </c>
      <c r="D319" s="26">
        <v>64849601</v>
      </c>
      <c r="E319" s="67">
        <v>44358</v>
      </c>
      <c r="F319" s="66">
        <v>44</v>
      </c>
      <c r="G319" s="80">
        <v>6993183564</v>
      </c>
      <c r="H319" s="69">
        <v>63955</v>
      </c>
      <c r="I319" s="26" t="str">
        <f t="shared" si="4"/>
        <v>United Kindom</v>
      </c>
    </row>
    <row r="320" spans="1:9">
      <c r="A320" s="66">
        <v>818440045128328</v>
      </c>
      <c r="B320" s="26" t="s">
        <v>1002</v>
      </c>
      <c r="C320" s="26" t="s">
        <v>1003</v>
      </c>
      <c r="D320" s="26">
        <v>89983613</v>
      </c>
      <c r="E320" s="67">
        <v>45127</v>
      </c>
      <c r="F320" s="66">
        <v>44</v>
      </c>
      <c r="G320" s="80">
        <v>7856981013</v>
      </c>
      <c r="H320" s="69">
        <v>95753</v>
      </c>
      <c r="I320" s="26" t="str">
        <f t="shared" si="4"/>
        <v>United Kindom</v>
      </c>
    </row>
    <row r="321" spans="1:9">
      <c r="A321" s="66">
        <v>846924887874743</v>
      </c>
      <c r="B321" s="26" t="s">
        <v>1004</v>
      </c>
      <c r="C321" s="26" t="s">
        <v>1005</v>
      </c>
      <c r="D321" s="26">
        <v>80410644</v>
      </c>
      <c r="E321" s="67">
        <v>44190</v>
      </c>
      <c r="F321" s="66">
        <v>44</v>
      </c>
      <c r="G321" s="80">
        <v>8192647478</v>
      </c>
      <c r="H321" s="69">
        <v>99337</v>
      </c>
      <c r="I321" s="26" t="str">
        <f t="shared" si="4"/>
        <v>United Kindom</v>
      </c>
    </row>
    <row r="322" spans="1:9">
      <c r="A322" s="66">
        <v>973292518690227</v>
      </c>
      <c r="B322" s="26" t="s">
        <v>1006</v>
      </c>
      <c r="C322" s="26" t="s">
        <v>1007</v>
      </c>
      <c r="D322" s="26">
        <v>74935069</v>
      </c>
      <c r="E322" s="67">
        <v>44283</v>
      </c>
      <c r="F322" s="66">
        <v>44</v>
      </c>
      <c r="G322" s="80">
        <v>8960175256</v>
      </c>
      <c r="H322" s="69">
        <v>46888</v>
      </c>
      <c r="I322" s="26" t="str">
        <f t="shared" si="4"/>
        <v>United Kindom</v>
      </c>
    </row>
    <row r="323" spans="1:9">
      <c r="A323" s="66">
        <v>961575499438898</v>
      </c>
      <c r="B323" s="26" t="s">
        <v>1008</v>
      </c>
      <c r="C323" s="26" t="s">
        <v>1009</v>
      </c>
      <c r="D323" s="26">
        <v>67886738</v>
      </c>
      <c r="E323" s="67">
        <v>43784</v>
      </c>
      <c r="F323" s="66">
        <v>44</v>
      </c>
      <c r="G323" s="80">
        <v>6922115264</v>
      </c>
      <c r="H323" s="69">
        <v>51323</v>
      </c>
      <c r="I323" s="26" t="str">
        <f t="shared" ref="I323:I386" si="5">IF(F323=91,"India",IF(F323=1,"United Staes",IF(F323=7,"Russia",IF(F323=34,"Spain",IF(F323=45,"Denmark",IF(F323=33,"France",IF(F323=61,"Australia",IF(F323=49,"German",IF(F323=81,"Japan",IF(F323=55,"Brazil",IF(F323=44,"United Kindom",IF(F323=27,"South Africa",IF(F323=380,"Ukrain",IF(F323=48,"Poland",IF(F323=82,"South Korea",IF(F323=966,"Saudi Arabia",IF(F323=41,"Swizerland",IF(F323=975,"Bhutan",IF(F323=974,"Qatar",IF(F323=977,"Nepal",IF(F323=972,"Isreal",IF(F323=93,"Afghanistan",IF(F323=351,"Portugal",IF(F323=54,"Argentina",IF(F323=374,"Armrnia",IF(F323=64,"New Zealand",IF(F323=62,"Indonesia",IF(F323=39,"Italy",IF(F323=46,"Sweden",IF(F323=58,"Venezuela",IF(F323=57,"Colombia",IF(F323=63,"Philippines",IF(F323=850,"North Korea",IF(F323=976,"Mongolia","Not exist in this Nation"))))))))))))))))))))))))))))))))))</f>
        <v>United Kindom</v>
      </c>
    </row>
    <row r="324" spans="1:9">
      <c r="A324" s="66">
        <v>971888449133502</v>
      </c>
      <c r="B324" s="26" t="s">
        <v>1010</v>
      </c>
      <c r="C324" s="26" t="s">
        <v>1011</v>
      </c>
      <c r="D324" s="26">
        <v>79496748</v>
      </c>
      <c r="E324" s="67">
        <v>44417</v>
      </c>
      <c r="F324" s="66">
        <v>44</v>
      </c>
      <c r="G324" s="80">
        <v>6875367383</v>
      </c>
      <c r="H324" s="69">
        <v>27029</v>
      </c>
      <c r="I324" s="26" t="str">
        <f t="shared" si="5"/>
        <v>United Kindom</v>
      </c>
    </row>
    <row r="325" spans="1:9">
      <c r="A325" s="66">
        <v>955906461729093</v>
      </c>
      <c r="B325" s="26" t="s">
        <v>1012</v>
      </c>
      <c r="C325" s="26" t="s">
        <v>1013</v>
      </c>
      <c r="D325" s="26">
        <v>85860623</v>
      </c>
      <c r="E325" s="67">
        <v>44989</v>
      </c>
      <c r="F325" s="66">
        <v>44</v>
      </c>
      <c r="G325" s="80">
        <v>7937102649</v>
      </c>
      <c r="H325" s="69">
        <v>97854</v>
      </c>
      <c r="I325" s="26" t="str">
        <f t="shared" si="5"/>
        <v>United Kindom</v>
      </c>
    </row>
    <row r="326" spans="1:9">
      <c r="A326" s="66">
        <v>904102296035847</v>
      </c>
      <c r="B326" s="26" t="s">
        <v>1014</v>
      </c>
      <c r="C326" s="26" t="s">
        <v>1015</v>
      </c>
      <c r="D326" s="26">
        <v>75811677</v>
      </c>
      <c r="E326" s="67">
        <v>45414</v>
      </c>
      <c r="F326" s="66">
        <v>44</v>
      </c>
      <c r="G326" s="80">
        <v>7762200136</v>
      </c>
      <c r="H326" s="69">
        <v>44653</v>
      </c>
      <c r="I326" s="26" t="str">
        <f t="shared" si="5"/>
        <v>United Kindom</v>
      </c>
    </row>
    <row r="327" spans="1:9">
      <c r="A327" s="66">
        <v>861645952920345</v>
      </c>
      <c r="B327" s="26" t="s">
        <v>1016</v>
      </c>
      <c r="C327" s="26" t="s">
        <v>1017</v>
      </c>
      <c r="D327" s="26">
        <v>67818784</v>
      </c>
      <c r="E327" s="67">
        <v>45032</v>
      </c>
      <c r="F327" s="66">
        <v>44</v>
      </c>
      <c r="G327" s="80">
        <v>4539391586</v>
      </c>
      <c r="H327" s="69">
        <v>37887</v>
      </c>
      <c r="I327" s="26" t="str">
        <f t="shared" si="5"/>
        <v>United Kindom</v>
      </c>
    </row>
    <row r="328" spans="1:9">
      <c r="A328" s="66">
        <v>910704554013329</v>
      </c>
      <c r="B328" s="26" t="s">
        <v>1018</v>
      </c>
      <c r="C328" s="26" t="s">
        <v>1019</v>
      </c>
      <c r="D328" s="26">
        <v>81104406</v>
      </c>
      <c r="E328" s="67">
        <v>44526</v>
      </c>
      <c r="F328" s="66">
        <v>44</v>
      </c>
      <c r="G328" s="80">
        <v>9399373615</v>
      </c>
      <c r="H328" s="69">
        <v>83668</v>
      </c>
      <c r="I328" s="26" t="str">
        <f t="shared" si="5"/>
        <v>United Kindom</v>
      </c>
    </row>
    <row r="329" spans="1:9">
      <c r="A329" s="66">
        <v>809792074474272</v>
      </c>
      <c r="B329" s="26" t="s">
        <v>1020</v>
      </c>
      <c r="C329" s="26" t="s">
        <v>1021</v>
      </c>
      <c r="D329" s="26">
        <v>78873599</v>
      </c>
      <c r="E329" s="67">
        <v>45540</v>
      </c>
      <c r="F329" s="66">
        <v>44</v>
      </c>
      <c r="G329" s="80">
        <v>9681559467</v>
      </c>
      <c r="H329" s="69">
        <v>19985</v>
      </c>
      <c r="I329" s="26" t="str">
        <f t="shared" si="5"/>
        <v>United Kindom</v>
      </c>
    </row>
    <row r="330" spans="1:9">
      <c r="A330" s="66">
        <v>918039428020248</v>
      </c>
      <c r="B330" s="26" t="s">
        <v>1022</v>
      </c>
      <c r="C330" s="26" t="s">
        <v>1023</v>
      </c>
      <c r="D330" s="26">
        <v>87473001</v>
      </c>
      <c r="E330" s="67">
        <v>43801</v>
      </c>
      <c r="F330" s="66">
        <v>44</v>
      </c>
      <c r="G330" s="80">
        <v>5684989486</v>
      </c>
      <c r="H330" s="69">
        <v>38234</v>
      </c>
      <c r="I330" s="26" t="str">
        <f t="shared" si="5"/>
        <v>United Kindom</v>
      </c>
    </row>
    <row r="331" spans="1:9">
      <c r="A331" s="66">
        <v>970004369992879</v>
      </c>
      <c r="B331" s="26" t="s">
        <v>1024</v>
      </c>
      <c r="C331" s="26" t="s">
        <v>1025</v>
      </c>
      <c r="D331" s="26">
        <v>62740301</v>
      </c>
      <c r="E331" s="67">
        <v>44452</v>
      </c>
      <c r="F331" s="66">
        <v>44</v>
      </c>
      <c r="G331" s="80">
        <v>9920841270</v>
      </c>
      <c r="H331" s="69">
        <v>40105</v>
      </c>
      <c r="I331" s="26" t="str">
        <f t="shared" si="5"/>
        <v>United Kindom</v>
      </c>
    </row>
    <row r="332" spans="1:9">
      <c r="A332" s="66">
        <v>845398536287207</v>
      </c>
      <c r="B332" s="26" t="s">
        <v>1026</v>
      </c>
      <c r="C332" s="26" t="s">
        <v>1027</v>
      </c>
      <c r="D332" s="26">
        <v>74675732</v>
      </c>
      <c r="E332" s="67">
        <v>44922</v>
      </c>
      <c r="F332" s="66">
        <v>33</v>
      </c>
      <c r="G332" s="81">
        <v>6376817012</v>
      </c>
      <c r="H332" s="69">
        <v>47802</v>
      </c>
      <c r="I332" s="26" t="str">
        <f t="shared" si="5"/>
        <v>France</v>
      </c>
    </row>
    <row r="333" spans="1:9">
      <c r="A333" s="66">
        <v>832943009477641</v>
      </c>
      <c r="B333" s="26" t="s">
        <v>1028</v>
      </c>
      <c r="C333" s="26" t="s">
        <v>1029</v>
      </c>
      <c r="D333" s="26">
        <v>81639939</v>
      </c>
      <c r="E333" s="67">
        <v>44762</v>
      </c>
      <c r="F333" s="66">
        <v>33</v>
      </c>
      <c r="G333" s="81">
        <v>6125106298</v>
      </c>
      <c r="H333" s="69">
        <v>72661</v>
      </c>
      <c r="I333" s="26" t="str">
        <f t="shared" si="5"/>
        <v>France</v>
      </c>
    </row>
    <row r="334" spans="1:9">
      <c r="A334" s="66">
        <v>981251927971341</v>
      </c>
      <c r="B334" s="26" t="s">
        <v>1030</v>
      </c>
      <c r="C334" s="26" t="s">
        <v>1031</v>
      </c>
      <c r="D334" s="26">
        <v>63766527</v>
      </c>
      <c r="E334" s="67">
        <v>43557</v>
      </c>
      <c r="F334" s="66">
        <v>33</v>
      </c>
      <c r="G334" s="81">
        <v>6774643715</v>
      </c>
      <c r="H334" s="69">
        <v>70440</v>
      </c>
      <c r="I334" s="26" t="str">
        <f t="shared" si="5"/>
        <v>France</v>
      </c>
    </row>
    <row r="335" spans="1:9">
      <c r="A335" s="66">
        <v>973104680097799</v>
      </c>
      <c r="B335" s="26" t="s">
        <v>1032</v>
      </c>
      <c r="C335" s="26" t="s">
        <v>1033</v>
      </c>
      <c r="D335" s="26">
        <v>80381223</v>
      </c>
      <c r="E335" s="67">
        <v>44791</v>
      </c>
      <c r="F335" s="66">
        <v>33</v>
      </c>
      <c r="G335" s="81">
        <v>5540131891</v>
      </c>
      <c r="H335" s="69">
        <v>7334</v>
      </c>
      <c r="I335" s="26" t="str">
        <f t="shared" si="5"/>
        <v>France</v>
      </c>
    </row>
    <row r="336" spans="1:9">
      <c r="A336" s="66">
        <v>952690898379878</v>
      </c>
      <c r="B336" s="26" t="s">
        <v>1034</v>
      </c>
      <c r="C336" s="26" t="s">
        <v>1035</v>
      </c>
      <c r="D336" s="26">
        <v>64658076</v>
      </c>
      <c r="E336" s="67">
        <v>43501</v>
      </c>
      <c r="F336" s="66">
        <v>33</v>
      </c>
      <c r="G336" s="81">
        <v>7527306876</v>
      </c>
      <c r="H336" s="69">
        <v>96741</v>
      </c>
      <c r="I336" s="26" t="str">
        <f t="shared" si="5"/>
        <v>France</v>
      </c>
    </row>
    <row r="337" spans="1:9">
      <c r="A337" s="66">
        <v>935426970847807</v>
      </c>
      <c r="B337" s="26" t="s">
        <v>1036</v>
      </c>
      <c r="C337" s="26" t="s">
        <v>1037</v>
      </c>
      <c r="D337" s="26">
        <v>70089348</v>
      </c>
      <c r="E337" s="67">
        <v>44836</v>
      </c>
      <c r="F337" s="66">
        <v>33</v>
      </c>
      <c r="G337" s="81">
        <v>4944513322</v>
      </c>
      <c r="H337" s="69">
        <v>23295</v>
      </c>
      <c r="I337" s="26" t="str">
        <f t="shared" si="5"/>
        <v>France</v>
      </c>
    </row>
    <row r="338" spans="1:9">
      <c r="A338" s="66">
        <v>919310752666763</v>
      </c>
      <c r="B338" s="26" t="s">
        <v>1038</v>
      </c>
      <c r="C338" s="26" t="s">
        <v>1039</v>
      </c>
      <c r="D338" s="26">
        <v>65804511</v>
      </c>
      <c r="E338" s="67">
        <v>43743</v>
      </c>
      <c r="F338" s="66">
        <v>33</v>
      </c>
      <c r="G338" s="81">
        <v>6406161653</v>
      </c>
      <c r="H338" s="69">
        <v>19394</v>
      </c>
      <c r="I338" s="26" t="str">
        <f t="shared" si="5"/>
        <v>France</v>
      </c>
    </row>
    <row r="339" spans="1:9">
      <c r="A339" s="66">
        <v>833770924602138</v>
      </c>
      <c r="B339" s="26" t="s">
        <v>1040</v>
      </c>
      <c r="C339" s="26" t="s">
        <v>1041</v>
      </c>
      <c r="D339" s="26">
        <v>70678244</v>
      </c>
      <c r="E339" s="67">
        <v>45124</v>
      </c>
      <c r="F339" s="66">
        <v>33</v>
      </c>
      <c r="G339" s="81">
        <v>5527050153</v>
      </c>
      <c r="H339" s="69">
        <v>79525</v>
      </c>
      <c r="I339" s="26" t="str">
        <f t="shared" si="5"/>
        <v>France</v>
      </c>
    </row>
    <row r="340" spans="1:9">
      <c r="A340" s="66">
        <v>845150067946908</v>
      </c>
      <c r="B340" s="26" t="s">
        <v>1042</v>
      </c>
      <c r="C340" s="26" t="s">
        <v>1043</v>
      </c>
      <c r="D340" s="26">
        <v>76644339</v>
      </c>
      <c r="E340" s="67">
        <v>44011</v>
      </c>
      <c r="F340" s="66">
        <v>33</v>
      </c>
      <c r="G340" s="81">
        <v>9776931751</v>
      </c>
      <c r="H340" s="69">
        <v>99123</v>
      </c>
      <c r="I340" s="26" t="str">
        <f t="shared" si="5"/>
        <v>France</v>
      </c>
    </row>
    <row r="341" spans="1:9">
      <c r="A341" s="66">
        <v>979439070935087</v>
      </c>
      <c r="B341" s="26" t="s">
        <v>1044</v>
      </c>
      <c r="C341" s="26" t="s">
        <v>1045</v>
      </c>
      <c r="D341" s="26">
        <v>87816510</v>
      </c>
      <c r="E341" s="67">
        <v>44373</v>
      </c>
      <c r="F341" s="66">
        <v>33</v>
      </c>
      <c r="G341" s="81">
        <v>6019683459</v>
      </c>
      <c r="H341" s="69">
        <v>69817</v>
      </c>
      <c r="I341" s="26" t="str">
        <f t="shared" si="5"/>
        <v>France</v>
      </c>
    </row>
    <row r="342" spans="1:9">
      <c r="A342" s="66">
        <v>867992027048531</v>
      </c>
      <c r="B342" s="26" t="s">
        <v>1046</v>
      </c>
      <c r="C342" s="26" t="s">
        <v>1047</v>
      </c>
      <c r="D342" s="26">
        <v>79766978</v>
      </c>
      <c r="E342" s="67">
        <v>45011</v>
      </c>
      <c r="F342" s="66">
        <v>33</v>
      </c>
      <c r="G342" s="81">
        <v>5814318422</v>
      </c>
      <c r="H342" s="69">
        <v>59362</v>
      </c>
      <c r="I342" s="26" t="str">
        <f t="shared" si="5"/>
        <v>France</v>
      </c>
    </row>
    <row r="343" spans="1:9">
      <c r="A343" s="66">
        <v>820347021617645</v>
      </c>
      <c r="B343" s="26" t="s">
        <v>1048</v>
      </c>
      <c r="C343" s="26" t="s">
        <v>1049</v>
      </c>
      <c r="D343" s="26">
        <v>80909355</v>
      </c>
      <c r="E343" s="67">
        <v>45039</v>
      </c>
      <c r="F343" s="66">
        <v>33</v>
      </c>
      <c r="G343" s="81">
        <v>9048758613</v>
      </c>
      <c r="H343" s="69">
        <v>32343</v>
      </c>
      <c r="I343" s="26" t="str">
        <f t="shared" si="5"/>
        <v>France</v>
      </c>
    </row>
    <row r="344" spans="1:9">
      <c r="A344" s="66">
        <v>837048998052921</v>
      </c>
      <c r="B344" s="26" t="s">
        <v>1050</v>
      </c>
      <c r="C344" s="26" t="s">
        <v>1051</v>
      </c>
      <c r="D344" s="26">
        <v>89408002</v>
      </c>
      <c r="E344" s="67">
        <v>45131</v>
      </c>
      <c r="F344" s="66">
        <v>33</v>
      </c>
      <c r="G344" s="81">
        <v>7703221227</v>
      </c>
      <c r="H344" s="69">
        <v>68376</v>
      </c>
      <c r="I344" s="26" t="str">
        <f t="shared" si="5"/>
        <v>France</v>
      </c>
    </row>
    <row r="345" spans="1:9">
      <c r="A345" s="66">
        <v>909528020420839</v>
      </c>
      <c r="B345" s="26" t="s">
        <v>1052</v>
      </c>
      <c r="C345" s="26" t="s">
        <v>1053</v>
      </c>
      <c r="D345" s="26">
        <v>72158707</v>
      </c>
      <c r="E345" s="67">
        <v>43915</v>
      </c>
      <c r="F345" s="66">
        <v>33</v>
      </c>
      <c r="G345" s="81">
        <v>7839248773</v>
      </c>
      <c r="H345" s="69">
        <v>80373</v>
      </c>
      <c r="I345" s="26" t="str">
        <f t="shared" si="5"/>
        <v>France</v>
      </c>
    </row>
    <row r="346" spans="1:9">
      <c r="A346" s="66">
        <v>994247785473451</v>
      </c>
      <c r="B346" s="26" t="s">
        <v>1054</v>
      </c>
      <c r="C346" s="26" t="s">
        <v>1055</v>
      </c>
      <c r="D346" s="26">
        <v>70269480</v>
      </c>
      <c r="E346" s="67">
        <v>45297</v>
      </c>
      <c r="F346" s="66">
        <v>33</v>
      </c>
      <c r="G346" s="81">
        <v>9042414867</v>
      </c>
      <c r="H346" s="69">
        <v>93963</v>
      </c>
      <c r="I346" s="26" t="str">
        <f t="shared" si="5"/>
        <v>France</v>
      </c>
    </row>
    <row r="347" spans="1:9">
      <c r="A347" s="66">
        <v>852439819843115</v>
      </c>
      <c r="B347" s="26" t="s">
        <v>1056</v>
      </c>
      <c r="C347" s="26" t="s">
        <v>1057</v>
      </c>
      <c r="D347" s="26">
        <v>66166887</v>
      </c>
      <c r="E347" s="67">
        <v>45147</v>
      </c>
      <c r="F347" s="66">
        <v>33</v>
      </c>
      <c r="G347" s="81">
        <v>6874053209</v>
      </c>
      <c r="H347" s="69">
        <v>35463</v>
      </c>
      <c r="I347" s="26" t="str">
        <f t="shared" si="5"/>
        <v>France</v>
      </c>
    </row>
    <row r="348" spans="1:9">
      <c r="A348" s="66">
        <v>990748616336072</v>
      </c>
      <c r="B348" s="26" t="s">
        <v>1058</v>
      </c>
      <c r="C348" s="26" t="s">
        <v>1059</v>
      </c>
      <c r="D348" s="26">
        <v>69143954</v>
      </c>
      <c r="E348" s="67">
        <v>43989</v>
      </c>
      <c r="F348" s="66">
        <v>33</v>
      </c>
      <c r="G348" s="81">
        <v>5418514118</v>
      </c>
      <c r="H348" s="69">
        <v>91636</v>
      </c>
      <c r="I348" s="26" t="str">
        <f t="shared" si="5"/>
        <v>France</v>
      </c>
    </row>
    <row r="349" spans="1:9">
      <c r="A349" s="66">
        <v>991186668474716</v>
      </c>
      <c r="B349" s="26" t="s">
        <v>1060</v>
      </c>
      <c r="C349" s="26" t="s">
        <v>1061</v>
      </c>
      <c r="D349" s="26">
        <v>69268200</v>
      </c>
      <c r="E349" s="67">
        <v>45086</v>
      </c>
      <c r="F349" s="66">
        <v>33</v>
      </c>
      <c r="G349" s="81">
        <v>9542034774</v>
      </c>
      <c r="H349" s="69">
        <v>55012</v>
      </c>
      <c r="I349" s="26" t="str">
        <f t="shared" si="5"/>
        <v>France</v>
      </c>
    </row>
    <row r="350" spans="1:9">
      <c r="A350" s="66">
        <v>807786156924461</v>
      </c>
      <c r="B350" s="26" t="s">
        <v>1062</v>
      </c>
      <c r="C350" s="26" t="s">
        <v>1063</v>
      </c>
      <c r="D350" s="26">
        <v>87548291</v>
      </c>
      <c r="E350" s="67">
        <v>43978</v>
      </c>
      <c r="F350" s="66">
        <v>33</v>
      </c>
      <c r="G350" s="81">
        <v>8511183803</v>
      </c>
      <c r="H350" s="69">
        <v>11474</v>
      </c>
      <c r="I350" s="26" t="str">
        <f t="shared" si="5"/>
        <v>France</v>
      </c>
    </row>
    <row r="351" spans="1:9">
      <c r="A351" s="66">
        <v>807210576729183</v>
      </c>
      <c r="B351" s="26" t="s">
        <v>1064</v>
      </c>
      <c r="C351" s="26" t="s">
        <v>1065</v>
      </c>
      <c r="D351" s="26">
        <v>77260367</v>
      </c>
      <c r="E351" s="67">
        <v>43524</v>
      </c>
      <c r="F351" s="66">
        <v>33</v>
      </c>
      <c r="G351" s="81">
        <v>6618461298</v>
      </c>
      <c r="H351" s="69">
        <v>30263</v>
      </c>
      <c r="I351" s="26" t="str">
        <f t="shared" si="5"/>
        <v>France</v>
      </c>
    </row>
    <row r="352" spans="1:9">
      <c r="A352" s="66">
        <v>998103685333965</v>
      </c>
      <c r="B352" s="26" t="s">
        <v>1066</v>
      </c>
      <c r="C352" s="26" t="s">
        <v>1067</v>
      </c>
      <c r="D352" s="26">
        <v>81994456</v>
      </c>
      <c r="E352" s="67">
        <v>44167</v>
      </c>
      <c r="F352" s="66">
        <v>34</v>
      </c>
      <c r="G352" s="73">
        <v>5157944085</v>
      </c>
      <c r="H352" s="69">
        <v>84346</v>
      </c>
      <c r="I352" s="26" t="str">
        <f t="shared" si="5"/>
        <v>Spain</v>
      </c>
    </row>
    <row r="353" spans="1:9">
      <c r="A353" s="66">
        <v>854176088483458</v>
      </c>
      <c r="B353" s="26" t="s">
        <v>1068</v>
      </c>
      <c r="C353" s="26" t="s">
        <v>1069</v>
      </c>
      <c r="D353" s="26">
        <v>72697129</v>
      </c>
      <c r="E353" s="67">
        <v>43810</v>
      </c>
      <c r="F353" s="66">
        <v>34</v>
      </c>
      <c r="G353" s="73">
        <v>5686114460</v>
      </c>
      <c r="H353" s="69">
        <v>95300</v>
      </c>
      <c r="I353" s="26" t="str">
        <f t="shared" si="5"/>
        <v>Spain</v>
      </c>
    </row>
    <row r="354" spans="1:9">
      <c r="A354" s="66">
        <v>941428444682343</v>
      </c>
      <c r="B354" s="26" t="s">
        <v>1070</v>
      </c>
      <c r="C354" s="26" t="s">
        <v>1071</v>
      </c>
      <c r="D354" s="26">
        <v>81139752</v>
      </c>
      <c r="E354" s="67">
        <v>44794</v>
      </c>
      <c r="F354" s="66">
        <v>34</v>
      </c>
      <c r="G354" s="73">
        <v>6701419416</v>
      </c>
      <c r="H354" s="69">
        <v>95749</v>
      </c>
      <c r="I354" s="26" t="str">
        <f t="shared" si="5"/>
        <v>Spain</v>
      </c>
    </row>
    <row r="355" spans="1:9">
      <c r="A355" s="66">
        <v>848855957113504</v>
      </c>
      <c r="B355" s="26" t="s">
        <v>1072</v>
      </c>
      <c r="C355" s="26" t="s">
        <v>1073</v>
      </c>
      <c r="D355" s="26">
        <v>75669519</v>
      </c>
      <c r="E355" s="67">
        <v>45101</v>
      </c>
      <c r="F355" s="66">
        <v>34</v>
      </c>
      <c r="G355" s="73">
        <v>7010484662</v>
      </c>
      <c r="H355" s="69">
        <v>71548</v>
      </c>
      <c r="I355" s="26" t="str">
        <f t="shared" si="5"/>
        <v>Spain</v>
      </c>
    </row>
    <row r="356" spans="1:9">
      <c r="A356" s="66">
        <v>941756293612790</v>
      </c>
      <c r="B356" s="26" t="s">
        <v>1074</v>
      </c>
      <c r="C356" s="26" t="s">
        <v>1075</v>
      </c>
      <c r="D356" s="26">
        <v>84011179</v>
      </c>
      <c r="E356" s="67">
        <v>43699</v>
      </c>
      <c r="F356" s="66">
        <v>34</v>
      </c>
      <c r="G356" s="73">
        <v>4762426685</v>
      </c>
      <c r="H356" s="69">
        <v>66949</v>
      </c>
      <c r="I356" s="26" t="str">
        <f t="shared" si="5"/>
        <v>Spain</v>
      </c>
    </row>
    <row r="357" spans="1:9">
      <c r="A357" s="66">
        <v>937627638045562</v>
      </c>
      <c r="B357" s="26" t="s">
        <v>1076</v>
      </c>
      <c r="C357" s="26" t="s">
        <v>1077</v>
      </c>
      <c r="D357" s="26">
        <v>87554634</v>
      </c>
      <c r="E357" s="67">
        <v>43960</v>
      </c>
      <c r="F357" s="66">
        <v>34</v>
      </c>
      <c r="G357" s="73">
        <v>7095061350</v>
      </c>
      <c r="H357" s="69">
        <v>9388</v>
      </c>
      <c r="I357" s="26" t="str">
        <f t="shared" si="5"/>
        <v>Spain</v>
      </c>
    </row>
    <row r="358" spans="1:9">
      <c r="A358" s="66">
        <v>979796970483674</v>
      </c>
      <c r="B358" s="26" t="s">
        <v>1078</v>
      </c>
      <c r="C358" s="26" t="s">
        <v>1079</v>
      </c>
      <c r="D358" s="26">
        <v>75294572</v>
      </c>
      <c r="E358" s="67">
        <v>45295</v>
      </c>
      <c r="F358" s="66">
        <v>34</v>
      </c>
      <c r="G358" s="73">
        <v>6725487659</v>
      </c>
      <c r="H358" s="69">
        <v>43638</v>
      </c>
      <c r="I358" s="26" t="str">
        <f t="shared" si="5"/>
        <v>Spain</v>
      </c>
    </row>
    <row r="359" spans="1:9">
      <c r="A359" s="66">
        <v>856202924510824</v>
      </c>
      <c r="B359" s="26" t="s">
        <v>1080</v>
      </c>
      <c r="C359" s="26" t="s">
        <v>1081</v>
      </c>
      <c r="D359" s="26">
        <v>81690226</v>
      </c>
      <c r="E359" s="67">
        <v>44575</v>
      </c>
      <c r="F359" s="66">
        <v>34</v>
      </c>
      <c r="G359" s="73">
        <v>6317977099</v>
      </c>
      <c r="H359" s="69">
        <v>50077</v>
      </c>
      <c r="I359" s="26" t="str">
        <f t="shared" si="5"/>
        <v>Spain</v>
      </c>
    </row>
    <row r="360" spans="1:9">
      <c r="A360" s="66">
        <v>826229402687999</v>
      </c>
      <c r="B360" s="26" t="s">
        <v>1082</v>
      </c>
      <c r="C360" s="26" t="s">
        <v>1083</v>
      </c>
      <c r="D360" s="26">
        <v>66384132</v>
      </c>
      <c r="E360" s="67">
        <v>43937</v>
      </c>
      <c r="F360" s="66">
        <v>34</v>
      </c>
      <c r="G360" s="73">
        <v>8184880959</v>
      </c>
      <c r="H360" s="69">
        <v>80311</v>
      </c>
      <c r="I360" s="26" t="str">
        <f t="shared" si="5"/>
        <v>Spain</v>
      </c>
    </row>
    <row r="361" spans="1:9">
      <c r="A361" s="66">
        <v>843357833474002</v>
      </c>
      <c r="B361" s="26" t="s">
        <v>1084</v>
      </c>
      <c r="C361" s="26" t="s">
        <v>1085</v>
      </c>
      <c r="D361" s="26">
        <v>81441109</v>
      </c>
      <c r="E361" s="67">
        <v>43592</v>
      </c>
      <c r="F361" s="66">
        <v>34</v>
      </c>
      <c r="G361" s="73">
        <v>6769165225</v>
      </c>
      <c r="H361" s="69">
        <v>77174</v>
      </c>
      <c r="I361" s="26" t="str">
        <f t="shared" si="5"/>
        <v>Spain</v>
      </c>
    </row>
    <row r="362" spans="1:9">
      <c r="A362" s="66">
        <v>812098609934323</v>
      </c>
      <c r="B362" s="26" t="s">
        <v>1086</v>
      </c>
      <c r="C362" s="26" t="s">
        <v>1087</v>
      </c>
      <c r="D362" s="26">
        <v>72134961</v>
      </c>
      <c r="E362" s="67">
        <v>44288</v>
      </c>
      <c r="F362" s="66">
        <v>34</v>
      </c>
      <c r="G362" s="73">
        <v>4774340227</v>
      </c>
      <c r="H362" s="69">
        <v>99559</v>
      </c>
      <c r="I362" s="26" t="str">
        <f t="shared" si="5"/>
        <v>Spain</v>
      </c>
    </row>
    <row r="363" spans="1:9">
      <c r="A363" s="66">
        <v>853725504383636</v>
      </c>
      <c r="B363" s="26" t="s">
        <v>1088</v>
      </c>
      <c r="C363" s="26" t="s">
        <v>1089</v>
      </c>
      <c r="D363" s="26">
        <v>66098569</v>
      </c>
      <c r="E363" s="67">
        <v>44450</v>
      </c>
      <c r="F363" s="66">
        <v>34</v>
      </c>
      <c r="G363" s="73">
        <v>4656651324</v>
      </c>
      <c r="H363" s="69">
        <v>9925</v>
      </c>
      <c r="I363" s="26" t="str">
        <f t="shared" si="5"/>
        <v>Spain</v>
      </c>
    </row>
    <row r="364" spans="1:9">
      <c r="A364" s="66">
        <v>951367859305971</v>
      </c>
      <c r="B364" s="26" t="s">
        <v>1090</v>
      </c>
      <c r="C364" s="26" t="s">
        <v>1091</v>
      </c>
      <c r="D364" s="26">
        <v>84480110</v>
      </c>
      <c r="E364" s="67">
        <v>43745</v>
      </c>
      <c r="F364" s="66">
        <v>34</v>
      </c>
      <c r="G364" s="73">
        <v>8031822936</v>
      </c>
      <c r="H364" s="69">
        <v>16121</v>
      </c>
      <c r="I364" s="26" t="str">
        <f t="shared" si="5"/>
        <v>Spain</v>
      </c>
    </row>
    <row r="365" spans="1:9">
      <c r="A365" s="66">
        <v>920060932884014</v>
      </c>
      <c r="B365" s="26" t="s">
        <v>1092</v>
      </c>
      <c r="C365" s="26" t="s">
        <v>1093</v>
      </c>
      <c r="D365" s="26">
        <v>75873673</v>
      </c>
      <c r="E365" s="67">
        <v>43507</v>
      </c>
      <c r="F365" s="66">
        <v>34</v>
      </c>
      <c r="G365" s="73">
        <v>9446953335</v>
      </c>
      <c r="H365" s="69">
        <v>15938</v>
      </c>
      <c r="I365" s="26" t="str">
        <f t="shared" si="5"/>
        <v>Spain</v>
      </c>
    </row>
    <row r="366" spans="1:9">
      <c r="A366" s="66">
        <v>839590436649720</v>
      </c>
      <c r="B366" s="26" t="s">
        <v>1094</v>
      </c>
      <c r="C366" s="26" t="s">
        <v>1095</v>
      </c>
      <c r="D366" s="26">
        <v>66007603</v>
      </c>
      <c r="E366" s="67">
        <v>45247</v>
      </c>
      <c r="F366" s="66">
        <v>34</v>
      </c>
      <c r="G366" s="73">
        <v>6839229013</v>
      </c>
      <c r="H366" s="69">
        <v>64522</v>
      </c>
      <c r="I366" s="26" t="str">
        <f t="shared" si="5"/>
        <v>Spain</v>
      </c>
    </row>
    <row r="367" spans="1:9">
      <c r="A367" s="66">
        <v>914804729272551</v>
      </c>
      <c r="B367" s="26" t="s">
        <v>1096</v>
      </c>
      <c r="C367" s="26" t="s">
        <v>1097</v>
      </c>
      <c r="D367" s="26">
        <v>71946904</v>
      </c>
      <c r="E367" s="67">
        <v>44265</v>
      </c>
      <c r="F367" s="66">
        <v>34</v>
      </c>
      <c r="G367" s="73">
        <v>6804823627</v>
      </c>
      <c r="H367" s="69">
        <v>85839</v>
      </c>
      <c r="I367" s="26" t="str">
        <f t="shared" si="5"/>
        <v>Spain</v>
      </c>
    </row>
    <row r="368" spans="1:9">
      <c r="A368" s="66">
        <v>925584771977040</v>
      </c>
      <c r="B368" s="26" t="s">
        <v>1098</v>
      </c>
      <c r="C368" s="26" t="s">
        <v>1099</v>
      </c>
      <c r="D368" s="26">
        <v>68617169</v>
      </c>
      <c r="E368" s="67">
        <v>43928</v>
      </c>
      <c r="F368" s="66">
        <v>34</v>
      </c>
      <c r="G368" s="73">
        <v>5068627080</v>
      </c>
      <c r="H368" s="69">
        <v>78984</v>
      </c>
      <c r="I368" s="26" t="str">
        <f t="shared" si="5"/>
        <v>Spain</v>
      </c>
    </row>
    <row r="369" spans="1:9">
      <c r="A369" s="66">
        <v>956974946168838</v>
      </c>
      <c r="B369" s="26" t="s">
        <v>1100</v>
      </c>
      <c r="C369" s="26" t="s">
        <v>1101</v>
      </c>
      <c r="D369" s="26">
        <v>81546598</v>
      </c>
      <c r="E369" s="67">
        <v>45310</v>
      </c>
      <c r="F369" s="66">
        <v>34</v>
      </c>
      <c r="G369" s="73">
        <v>8224726009</v>
      </c>
      <c r="H369" s="69">
        <v>87057</v>
      </c>
      <c r="I369" s="26" t="str">
        <f t="shared" si="5"/>
        <v>Spain</v>
      </c>
    </row>
    <row r="370" spans="1:9">
      <c r="A370" s="66">
        <v>996802075700478</v>
      </c>
      <c r="B370" s="26" t="s">
        <v>1102</v>
      </c>
      <c r="C370" s="26" t="s">
        <v>1103</v>
      </c>
      <c r="D370" s="26">
        <v>62658722</v>
      </c>
      <c r="E370" s="67">
        <v>43536</v>
      </c>
      <c r="F370" s="66">
        <v>34</v>
      </c>
      <c r="G370" s="73">
        <v>7594054009</v>
      </c>
      <c r="H370" s="69">
        <v>99135</v>
      </c>
      <c r="I370" s="26" t="str">
        <f t="shared" si="5"/>
        <v>Spain</v>
      </c>
    </row>
    <row r="371" spans="1:9">
      <c r="A371" s="66">
        <v>947983468572009</v>
      </c>
      <c r="B371" s="26" t="s">
        <v>1104</v>
      </c>
      <c r="C371" s="26" t="s">
        <v>1105</v>
      </c>
      <c r="D371" s="26">
        <v>77649576</v>
      </c>
      <c r="E371" s="67">
        <v>44258</v>
      </c>
      <c r="F371" s="66">
        <v>34</v>
      </c>
      <c r="G371" s="73">
        <v>5095623767</v>
      </c>
      <c r="H371" s="69">
        <v>25605</v>
      </c>
      <c r="I371" s="26" t="str">
        <f t="shared" si="5"/>
        <v>Spain</v>
      </c>
    </row>
    <row r="372" spans="1:9">
      <c r="A372" s="66">
        <v>804510411557287</v>
      </c>
      <c r="B372" s="26" t="s">
        <v>1106</v>
      </c>
      <c r="C372" s="26" t="s">
        <v>1107</v>
      </c>
      <c r="D372" s="26">
        <v>86236690</v>
      </c>
      <c r="E372" s="67">
        <v>44434</v>
      </c>
      <c r="F372" s="66">
        <v>61</v>
      </c>
      <c r="G372" s="82">
        <v>5915709363</v>
      </c>
      <c r="H372" s="69">
        <v>97531</v>
      </c>
      <c r="I372" s="26" t="str">
        <f t="shared" si="5"/>
        <v>Australia</v>
      </c>
    </row>
    <row r="373" spans="1:9">
      <c r="A373" s="66">
        <v>989667150968957</v>
      </c>
      <c r="B373" s="26" t="s">
        <v>1108</v>
      </c>
      <c r="C373" s="26" t="s">
        <v>1109</v>
      </c>
      <c r="D373" s="26">
        <v>88892263</v>
      </c>
      <c r="E373" s="67">
        <v>45490</v>
      </c>
      <c r="F373" s="66">
        <v>61</v>
      </c>
      <c r="G373" s="82">
        <v>8204268019</v>
      </c>
      <c r="H373" s="69">
        <v>28631</v>
      </c>
      <c r="I373" s="26" t="str">
        <f t="shared" si="5"/>
        <v>Australia</v>
      </c>
    </row>
    <row r="374" spans="1:9">
      <c r="A374" s="66">
        <v>822162968382253</v>
      </c>
      <c r="B374" s="26" t="s">
        <v>1110</v>
      </c>
      <c r="C374" s="26" t="s">
        <v>1111</v>
      </c>
      <c r="D374" s="26">
        <v>65909121</v>
      </c>
      <c r="E374" s="67">
        <v>44783</v>
      </c>
      <c r="F374" s="66">
        <v>61</v>
      </c>
      <c r="G374" s="82">
        <v>4988709756</v>
      </c>
      <c r="H374" s="69">
        <v>65117</v>
      </c>
      <c r="I374" s="26" t="str">
        <f t="shared" si="5"/>
        <v>Australia</v>
      </c>
    </row>
    <row r="375" spans="1:9">
      <c r="A375" s="66">
        <v>941039620593199</v>
      </c>
      <c r="B375" s="26" t="s">
        <v>1112</v>
      </c>
      <c r="C375" s="26" t="s">
        <v>1113</v>
      </c>
      <c r="D375" s="26">
        <v>61740344</v>
      </c>
      <c r="E375" s="67">
        <v>44833</v>
      </c>
      <c r="F375" s="66">
        <v>61</v>
      </c>
      <c r="G375" s="82">
        <v>6130315859</v>
      </c>
      <c r="H375" s="69">
        <v>28526</v>
      </c>
      <c r="I375" s="26" t="str">
        <f t="shared" si="5"/>
        <v>Australia</v>
      </c>
    </row>
    <row r="376" spans="1:9">
      <c r="A376" s="66">
        <v>937757001521243</v>
      </c>
      <c r="B376" s="26" t="s">
        <v>1114</v>
      </c>
      <c r="C376" s="26" t="s">
        <v>1115</v>
      </c>
      <c r="D376" s="26">
        <v>70391065</v>
      </c>
      <c r="E376" s="67">
        <v>44171</v>
      </c>
      <c r="F376" s="66">
        <v>61</v>
      </c>
      <c r="G376" s="82">
        <v>5458075289</v>
      </c>
      <c r="H376" s="69">
        <v>64710</v>
      </c>
      <c r="I376" s="26" t="str">
        <f t="shared" si="5"/>
        <v>Australia</v>
      </c>
    </row>
    <row r="377" spans="1:9">
      <c r="A377" s="66">
        <v>804288699124426</v>
      </c>
      <c r="B377" s="26" t="s">
        <v>1116</v>
      </c>
      <c r="C377" s="26" t="s">
        <v>1117</v>
      </c>
      <c r="D377" s="26">
        <v>79478292</v>
      </c>
      <c r="E377" s="67">
        <v>44229</v>
      </c>
      <c r="F377" s="66">
        <v>61</v>
      </c>
      <c r="G377" s="82">
        <v>6144935453</v>
      </c>
      <c r="H377" s="69">
        <v>96983</v>
      </c>
      <c r="I377" s="26" t="str">
        <f t="shared" si="5"/>
        <v>Australia</v>
      </c>
    </row>
    <row r="378" spans="1:9">
      <c r="A378" s="66">
        <v>882298996006316</v>
      </c>
      <c r="B378" s="26" t="s">
        <v>1118</v>
      </c>
      <c r="C378" s="26" t="s">
        <v>1119</v>
      </c>
      <c r="D378" s="26">
        <v>65565062</v>
      </c>
      <c r="E378" s="67">
        <v>43917</v>
      </c>
      <c r="F378" s="66">
        <v>61</v>
      </c>
      <c r="G378" s="82">
        <v>8230781275</v>
      </c>
      <c r="H378" s="69">
        <v>47401</v>
      </c>
      <c r="I378" s="26" t="str">
        <f t="shared" si="5"/>
        <v>Australia</v>
      </c>
    </row>
    <row r="379" spans="1:9">
      <c r="A379" s="66">
        <v>928284441683971</v>
      </c>
      <c r="B379" s="26" t="s">
        <v>1120</v>
      </c>
      <c r="C379" s="26" t="s">
        <v>1121</v>
      </c>
      <c r="D379" s="26">
        <v>82001552</v>
      </c>
      <c r="E379" s="67">
        <v>43710</v>
      </c>
      <c r="F379" s="66">
        <v>61</v>
      </c>
      <c r="G379" s="82">
        <v>9013545901</v>
      </c>
      <c r="H379" s="69">
        <v>51072</v>
      </c>
      <c r="I379" s="26" t="str">
        <f t="shared" si="5"/>
        <v>Australia</v>
      </c>
    </row>
    <row r="380" spans="1:9">
      <c r="A380" s="66">
        <v>816727407740446</v>
      </c>
      <c r="B380" s="26" t="s">
        <v>1122</v>
      </c>
      <c r="C380" s="26" t="s">
        <v>1123</v>
      </c>
      <c r="D380" s="26">
        <v>81005386</v>
      </c>
      <c r="E380" s="67">
        <v>45251</v>
      </c>
      <c r="F380" s="66">
        <v>61</v>
      </c>
      <c r="G380" s="82">
        <v>4710638020</v>
      </c>
      <c r="H380" s="69">
        <v>12981</v>
      </c>
      <c r="I380" s="26" t="str">
        <f t="shared" si="5"/>
        <v>Australia</v>
      </c>
    </row>
    <row r="381" spans="1:9">
      <c r="A381" s="66">
        <v>908107766234574</v>
      </c>
      <c r="B381" s="26" t="s">
        <v>1124</v>
      </c>
      <c r="C381" s="26" t="s">
        <v>1125</v>
      </c>
      <c r="D381" s="26">
        <v>73291369</v>
      </c>
      <c r="E381" s="67">
        <v>43553</v>
      </c>
      <c r="F381" s="66">
        <v>61</v>
      </c>
      <c r="G381" s="82">
        <v>4753754729</v>
      </c>
      <c r="H381" s="69">
        <v>64070</v>
      </c>
      <c r="I381" s="26" t="str">
        <f t="shared" si="5"/>
        <v>Australia</v>
      </c>
    </row>
    <row r="382" spans="1:9">
      <c r="A382" s="66">
        <v>961335350946909</v>
      </c>
      <c r="B382" s="26" t="s">
        <v>1126</v>
      </c>
      <c r="C382" s="26" t="s">
        <v>1127</v>
      </c>
      <c r="D382" s="26">
        <v>86283870</v>
      </c>
      <c r="E382" s="67">
        <v>43517</v>
      </c>
      <c r="F382" s="66">
        <v>61</v>
      </c>
      <c r="G382" s="82">
        <v>6749268184</v>
      </c>
      <c r="H382" s="69">
        <v>11241</v>
      </c>
      <c r="I382" s="26" t="str">
        <f t="shared" si="5"/>
        <v>Australia</v>
      </c>
    </row>
    <row r="383" spans="1:9">
      <c r="A383" s="66">
        <v>945478927530954</v>
      </c>
      <c r="B383" s="26" t="s">
        <v>1128</v>
      </c>
      <c r="C383" s="26" t="s">
        <v>1129</v>
      </c>
      <c r="D383" s="26">
        <v>67237286</v>
      </c>
      <c r="E383" s="67">
        <v>44030</v>
      </c>
      <c r="F383" s="66">
        <v>61</v>
      </c>
      <c r="G383" s="82">
        <v>7784968665</v>
      </c>
      <c r="H383" s="69">
        <v>42437</v>
      </c>
      <c r="I383" s="26" t="str">
        <f t="shared" si="5"/>
        <v>Australia</v>
      </c>
    </row>
    <row r="384" spans="1:9">
      <c r="A384" s="66">
        <v>871148345445443</v>
      </c>
      <c r="B384" s="26" t="s">
        <v>1130</v>
      </c>
      <c r="C384" s="26" t="s">
        <v>1131</v>
      </c>
      <c r="D384" s="26">
        <v>70585275</v>
      </c>
      <c r="E384" s="67">
        <v>43771</v>
      </c>
      <c r="F384" s="66">
        <v>61</v>
      </c>
      <c r="G384" s="82">
        <v>5453412192</v>
      </c>
      <c r="H384" s="69">
        <v>46398</v>
      </c>
      <c r="I384" s="26" t="str">
        <f t="shared" si="5"/>
        <v>Australia</v>
      </c>
    </row>
    <row r="385" spans="1:9">
      <c r="A385" s="66">
        <v>815783336769427</v>
      </c>
      <c r="B385" s="26" t="s">
        <v>1020</v>
      </c>
      <c r="C385" s="26" t="s">
        <v>1132</v>
      </c>
      <c r="D385" s="26">
        <v>82774278</v>
      </c>
      <c r="E385" s="67">
        <v>43691</v>
      </c>
      <c r="F385" s="66">
        <v>61</v>
      </c>
      <c r="G385" s="82">
        <v>5140556165</v>
      </c>
      <c r="H385" s="69">
        <v>95311</v>
      </c>
      <c r="I385" s="26" t="str">
        <f t="shared" si="5"/>
        <v>Australia</v>
      </c>
    </row>
    <row r="386" spans="1:9">
      <c r="A386" s="66">
        <v>946911706324974</v>
      </c>
      <c r="B386" s="26" t="s">
        <v>1133</v>
      </c>
      <c r="C386" s="26" t="s">
        <v>1134</v>
      </c>
      <c r="D386" s="26">
        <v>82024356</v>
      </c>
      <c r="E386" s="67">
        <v>45452</v>
      </c>
      <c r="F386" s="66">
        <v>61</v>
      </c>
      <c r="G386" s="82">
        <v>6281890484</v>
      </c>
      <c r="H386" s="69">
        <v>62458</v>
      </c>
      <c r="I386" s="26" t="str">
        <f t="shared" si="5"/>
        <v>Australia</v>
      </c>
    </row>
    <row r="387" spans="1:9">
      <c r="A387" s="66">
        <v>904431400737454</v>
      </c>
      <c r="B387" s="26" t="s">
        <v>1135</v>
      </c>
      <c r="C387" s="26" t="s">
        <v>1136</v>
      </c>
      <c r="D387" s="26">
        <v>89517256</v>
      </c>
      <c r="E387" s="67">
        <v>43834</v>
      </c>
      <c r="F387" s="66">
        <v>61</v>
      </c>
      <c r="G387" s="82">
        <v>9107869974</v>
      </c>
      <c r="H387" s="69">
        <v>57573</v>
      </c>
      <c r="I387" s="26" t="str">
        <f t="shared" ref="I387:I450" si="6">IF(F387=91,"India",IF(F387=1,"United Staes",IF(F387=7,"Russia",IF(F387=34,"Spain",IF(F387=45,"Denmark",IF(F387=33,"France",IF(F387=61,"Australia",IF(F387=49,"German",IF(F387=81,"Japan",IF(F387=55,"Brazil",IF(F387=44,"United Kindom",IF(F387=27,"South Africa",IF(F387=380,"Ukrain",IF(F387=48,"Poland",IF(F387=82,"South Korea",IF(F387=966,"Saudi Arabia",IF(F387=41,"Swizerland",IF(F387=975,"Bhutan",IF(F387=974,"Qatar",IF(F387=977,"Nepal",IF(F387=972,"Isreal",IF(F387=93,"Afghanistan",IF(F387=351,"Portugal",IF(F387=54,"Argentina",IF(F387=374,"Armrnia",IF(F387=64,"New Zealand",IF(F387=62,"Indonesia",IF(F387=39,"Italy",IF(F387=46,"Sweden",IF(F387=58,"Venezuela",IF(F387=57,"Colombia",IF(F387=63,"Philippines",IF(F387=850,"North Korea",IF(F387=976,"Mongolia","Not exist in this Nation"))))))))))))))))))))))))))))))))))</f>
        <v>Australia</v>
      </c>
    </row>
    <row r="388" spans="1:9">
      <c r="A388" s="66">
        <v>889276426458843</v>
      </c>
      <c r="B388" s="26" t="s">
        <v>1137</v>
      </c>
      <c r="C388" s="26" t="s">
        <v>1138</v>
      </c>
      <c r="D388" s="26">
        <v>73233240</v>
      </c>
      <c r="E388" s="67">
        <v>44333</v>
      </c>
      <c r="F388" s="66">
        <v>61</v>
      </c>
      <c r="G388" s="82">
        <v>5283125023</v>
      </c>
      <c r="H388" s="69">
        <v>26919</v>
      </c>
      <c r="I388" s="26" t="str">
        <f t="shared" si="6"/>
        <v>Australia</v>
      </c>
    </row>
    <row r="389" spans="1:9">
      <c r="A389" s="66">
        <v>826138518068052</v>
      </c>
      <c r="B389" s="26" t="s">
        <v>1139</v>
      </c>
      <c r="C389" s="26" t="s">
        <v>1140</v>
      </c>
      <c r="D389" s="26">
        <v>83755983</v>
      </c>
      <c r="E389" s="67">
        <v>45271</v>
      </c>
      <c r="F389" s="66">
        <v>61</v>
      </c>
      <c r="G389" s="82">
        <v>5400242754</v>
      </c>
      <c r="H389" s="69">
        <v>57107</v>
      </c>
      <c r="I389" s="26" t="str">
        <f t="shared" si="6"/>
        <v>Australia</v>
      </c>
    </row>
    <row r="390" spans="1:9">
      <c r="A390" s="66">
        <v>855599487660961</v>
      </c>
      <c r="B390" s="26" t="s">
        <v>1141</v>
      </c>
      <c r="C390" s="26" t="s">
        <v>1142</v>
      </c>
      <c r="D390" s="26">
        <v>81258780</v>
      </c>
      <c r="E390" s="67">
        <v>44103</v>
      </c>
      <c r="F390" s="66">
        <v>61</v>
      </c>
      <c r="G390" s="82">
        <v>5986294635</v>
      </c>
      <c r="H390" s="69">
        <v>55480</v>
      </c>
      <c r="I390" s="26" t="str">
        <f t="shared" si="6"/>
        <v>Australia</v>
      </c>
    </row>
    <row r="391" spans="1:9">
      <c r="A391" s="66">
        <v>878784486746037</v>
      </c>
      <c r="B391" s="26" t="s">
        <v>1143</v>
      </c>
      <c r="C391" s="26" t="s">
        <v>1144</v>
      </c>
      <c r="D391" s="26">
        <v>86671303</v>
      </c>
      <c r="E391" s="67">
        <v>44998</v>
      </c>
      <c r="F391" s="66">
        <v>61</v>
      </c>
      <c r="G391" s="82">
        <v>6940263790</v>
      </c>
      <c r="H391" s="69">
        <v>33060</v>
      </c>
      <c r="I391" s="26" t="str">
        <f t="shared" si="6"/>
        <v>Australia</v>
      </c>
    </row>
    <row r="392" spans="1:9">
      <c r="A392" s="66">
        <v>880819492528282</v>
      </c>
      <c r="B392" s="26" t="s">
        <v>1145</v>
      </c>
      <c r="C392" s="26" t="s">
        <v>1146</v>
      </c>
      <c r="D392" s="26">
        <v>82641129</v>
      </c>
      <c r="E392" s="67">
        <v>44021</v>
      </c>
      <c r="F392" s="66">
        <v>380</v>
      </c>
      <c r="G392" s="83">
        <v>9384516465</v>
      </c>
      <c r="H392" s="69">
        <v>39472</v>
      </c>
      <c r="I392" s="26" t="str">
        <f t="shared" si="6"/>
        <v>Ukrain</v>
      </c>
    </row>
    <row r="393" spans="1:9">
      <c r="A393" s="66">
        <v>877599651212942</v>
      </c>
      <c r="B393" s="26" t="s">
        <v>1147</v>
      </c>
      <c r="C393" s="26" t="s">
        <v>1148</v>
      </c>
      <c r="D393" s="26">
        <v>78012161</v>
      </c>
      <c r="E393" s="67">
        <v>44194</v>
      </c>
      <c r="F393" s="66">
        <v>380</v>
      </c>
      <c r="G393" s="83">
        <v>4632038723</v>
      </c>
      <c r="H393" s="69">
        <v>50533</v>
      </c>
      <c r="I393" s="26" t="str">
        <f t="shared" si="6"/>
        <v>Ukrain</v>
      </c>
    </row>
    <row r="394" spans="1:9">
      <c r="A394" s="66">
        <v>949307076215698</v>
      </c>
      <c r="B394" s="26" t="s">
        <v>1149</v>
      </c>
      <c r="C394" s="26" t="s">
        <v>1150</v>
      </c>
      <c r="D394" s="26">
        <v>64114511</v>
      </c>
      <c r="E394" s="67">
        <v>44773</v>
      </c>
      <c r="F394" s="66">
        <v>380</v>
      </c>
      <c r="G394" s="83">
        <v>6466582145</v>
      </c>
      <c r="H394" s="69">
        <v>38109</v>
      </c>
      <c r="I394" s="26" t="str">
        <f t="shared" si="6"/>
        <v>Ukrain</v>
      </c>
    </row>
    <row r="395" spans="1:9">
      <c r="A395" s="66">
        <v>902791242847566</v>
      </c>
      <c r="B395" s="26" t="s">
        <v>1151</v>
      </c>
      <c r="C395" s="26" t="s">
        <v>1152</v>
      </c>
      <c r="D395" s="26">
        <v>69737707</v>
      </c>
      <c r="E395" s="67">
        <v>44898</v>
      </c>
      <c r="F395" s="66">
        <v>380</v>
      </c>
      <c r="G395" s="83">
        <v>7044948298</v>
      </c>
      <c r="H395" s="69">
        <v>19223</v>
      </c>
      <c r="I395" s="26" t="str">
        <f t="shared" si="6"/>
        <v>Ukrain</v>
      </c>
    </row>
    <row r="396" spans="1:9">
      <c r="A396" s="66">
        <v>860310598974090</v>
      </c>
      <c r="B396" s="26" t="s">
        <v>1153</v>
      </c>
      <c r="C396" s="26" t="s">
        <v>1154</v>
      </c>
      <c r="D396" s="26">
        <v>83077151</v>
      </c>
      <c r="E396" s="67">
        <v>44576</v>
      </c>
      <c r="F396" s="66">
        <v>380</v>
      </c>
      <c r="G396" s="83">
        <v>7838457487</v>
      </c>
      <c r="H396" s="69">
        <v>50411</v>
      </c>
      <c r="I396" s="26" t="str">
        <f t="shared" si="6"/>
        <v>Ukrain</v>
      </c>
    </row>
    <row r="397" spans="1:9">
      <c r="A397" s="66">
        <v>815833533136705</v>
      </c>
      <c r="B397" s="26" t="s">
        <v>1155</v>
      </c>
      <c r="C397" s="26" t="s">
        <v>1156</v>
      </c>
      <c r="D397" s="26">
        <v>62720560</v>
      </c>
      <c r="E397" s="67">
        <v>43805</v>
      </c>
      <c r="F397" s="66">
        <v>380</v>
      </c>
      <c r="G397" s="83">
        <v>7679799393</v>
      </c>
      <c r="H397" s="69">
        <v>86416</v>
      </c>
      <c r="I397" s="26" t="str">
        <f t="shared" si="6"/>
        <v>Ukrain</v>
      </c>
    </row>
    <row r="398" spans="1:9">
      <c r="A398" s="66">
        <v>961240726591571</v>
      </c>
      <c r="B398" s="26" t="s">
        <v>1157</v>
      </c>
      <c r="C398" s="26" t="s">
        <v>1158</v>
      </c>
      <c r="D398" s="26">
        <v>65063603</v>
      </c>
      <c r="E398" s="67">
        <v>45464</v>
      </c>
      <c r="F398" s="66">
        <v>380</v>
      </c>
      <c r="G398" s="83">
        <v>9975332373</v>
      </c>
      <c r="H398" s="69">
        <v>83528</v>
      </c>
      <c r="I398" s="26" t="str">
        <f t="shared" si="6"/>
        <v>Ukrain</v>
      </c>
    </row>
    <row r="399" spans="1:9">
      <c r="A399" s="66">
        <v>883347378993238</v>
      </c>
      <c r="B399" s="26" t="s">
        <v>1159</v>
      </c>
      <c r="C399" s="26" t="s">
        <v>1160</v>
      </c>
      <c r="D399" s="26">
        <v>76749476</v>
      </c>
      <c r="E399" s="67">
        <v>43541</v>
      </c>
      <c r="F399" s="66">
        <v>380</v>
      </c>
      <c r="G399" s="83">
        <v>9801488390</v>
      </c>
      <c r="H399" s="69">
        <v>83693</v>
      </c>
      <c r="I399" s="26" t="str">
        <f t="shared" si="6"/>
        <v>Ukrain</v>
      </c>
    </row>
    <row r="400" spans="1:9">
      <c r="A400" s="66">
        <v>820384572182896</v>
      </c>
      <c r="B400" s="26" t="s">
        <v>1161</v>
      </c>
      <c r="C400" s="26" t="s">
        <v>1162</v>
      </c>
      <c r="D400" s="26">
        <v>68461374</v>
      </c>
      <c r="E400" s="67">
        <v>45202</v>
      </c>
      <c r="F400" s="66">
        <v>380</v>
      </c>
      <c r="G400" s="83">
        <v>9077649858</v>
      </c>
      <c r="H400" s="69">
        <v>90479</v>
      </c>
      <c r="I400" s="26" t="str">
        <f t="shared" si="6"/>
        <v>Ukrain</v>
      </c>
    </row>
    <row r="401" spans="1:9">
      <c r="A401" s="66">
        <v>882621917398451</v>
      </c>
      <c r="B401" s="26" t="s">
        <v>1163</v>
      </c>
      <c r="C401" s="26" t="s">
        <v>1164</v>
      </c>
      <c r="D401" s="26">
        <v>66530912</v>
      </c>
      <c r="E401" s="67">
        <v>45093</v>
      </c>
      <c r="F401" s="66">
        <v>380</v>
      </c>
      <c r="G401" s="83">
        <v>8829181495</v>
      </c>
      <c r="H401" s="69">
        <v>65069</v>
      </c>
      <c r="I401" s="26" t="str">
        <f t="shared" si="6"/>
        <v>Ukrain</v>
      </c>
    </row>
    <row r="402" spans="1:9">
      <c r="A402" s="66">
        <v>927755230585031</v>
      </c>
      <c r="B402" s="26" t="s">
        <v>1165</v>
      </c>
      <c r="C402" s="26" t="s">
        <v>1166</v>
      </c>
      <c r="D402" s="26">
        <v>88421542</v>
      </c>
      <c r="E402" s="67">
        <v>44192</v>
      </c>
      <c r="F402" s="66">
        <v>380</v>
      </c>
      <c r="G402" s="83">
        <v>9070380971</v>
      </c>
      <c r="H402" s="69">
        <v>29950</v>
      </c>
      <c r="I402" s="26" t="str">
        <f t="shared" si="6"/>
        <v>Ukrain</v>
      </c>
    </row>
    <row r="403" spans="1:9">
      <c r="A403" s="66">
        <v>807832005861621</v>
      </c>
      <c r="B403" s="26" t="s">
        <v>1167</v>
      </c>
      <c r="C403" s="26" t="s">
        <v>1168</v>
      </c>
      <c r="D403" s="26">
        <v>71495832</v>
      </c>
      <c r="E403" s="67">
        <v>44239</v>
      </c>
      <c r="F403" s="66">
        <v>380</v>
      </c>
      <c r="G403" s="83">
        <v>7687690895</v>
      </c>
      <c r="H403" s="69">
        <v>23786</v>
      </c>
      <c r="I403" s="26" t="str">
        <f t="shared" si="6"/>
        <v>Ukrain</v>
      </c>
    </row>
    <row r="404" spans="1:9">
      <c r="A404" s="66">
        <v>971277285032115</v>
      </c>
      <c r="B404" s="26" t="s">
        <v>1169</v>
      </c>
      <c r="C404" s="26" t="s">
        <v>1170</v>
      </c>
      <c r="D404" s="26">
        <v>87030511</v>
      </c>
      <c r="E404" s="67">
        <v>44280</v>
      </c>
      <c r="F404" s="66">
        <v>380</v>
      </c>
      <c r="G404" s="83">
        <v>4804101209</v>
      </c>
      <c r="H404" s="69">
        <v>28166</v>
      </c>
      <c r="I404" s="26" t="str">
        <f t="shared" si="6"/>
        <v>Ukrain</v>
      </c>
    </row>
    <row r="405" spans="1:9">
      <c r="A405" s="66">
        <v>808088497956041</v>
      </c>
      <c r="B405" s="26" t="s">
        <v>1171</v>
      </c>
      <c r="C405" s="26" t="s">
        <v>1172</v>
      </c>
      <c r="D405" s="26">
        <v>68963215</v>
      </c>
      <c r="E405" s="67">
        <v>45204</v>
      </c>
      <c r="F405" s="66">
        <v>380</v>
      </c>
      <c r="G405" s="83">
        <v>8896343645</v>
      </c>
      <c r="H405" s="69">
        <v>35765</v>
      </c>
      <c r="I405" s="26" t="str">
        <f t="shared" si="6"/>
        <v>Ukrain</v>
      </c>
    </row>
    <row r="406" spans="1:9">
      <c r="A406" s="66">
        <v>960069658868933</v>
      </c>
      <c r="B406" s="26" t="s">
        <v>1173</v>
      </c>
      <c r="C406" s="26" t="s">
        <v>1174</v>
      </c>
      <c r="D406" s="26">
        <v>67708334</v>
      </c>
      <c r="E406" s="67">
        <v>45493</v>
      </c>
      <c r="F406" s="66">
        <v>380</v>
      </c>
      <c r="G406" s="83">
        <v>5304145575</v>
      </c>
      <c r="H406" s="69">
        <v>52485</v>
      </c>
      <c r="I406" s="26" t="str">
        <f t="shared" si="6"/>
        <v>Ukrain</v>
      </c>
    </row>
    <row r="407" spans="1:9">
      <c r="A407" s="66">
        <v>901898524117725</v>
      </c>
      <c r="B407" s="26" t="s">
        <v>1175</v>
      </c>
      <c r="C407" s="26" t="s">
        <v>1176</v>
      </c>
      <c r="D407" s="26">
        <v>71178341</v>
      </c>
      <c r="E407" s="67">
        <v>43536</v>
      </c>
      <c r="F407" s="66">
        <v>48</v>
      </c>
      <c r="G407" s="84">
        <v>8297941847</v>
      </c>
      <c r="H407" s="69">
        <v>53091</v>
      </c>
      <c r="I407" s="26" t="str">
        <f t="shared" si="6"/>
        <v>Poland</v>
      </c>
    </row>
    <row r="408" spans="1:9">
      <c r="A408" s="66">
        <v>976272751045963</v>
      </c>
      <c r="B408" s="26" t="s">
        <v>1177</v>
      </c>
      <c r="C408" s="26" t="s">
        <v>1178</v>
      </c>
      <c r="D408" s="26">
        <v>86932088</v>
      </c>
      <c r="E408" s="67">
        <v>44497</v>
      </c>
      <c r="F408" s="66">
        <v>48</v>
      </c>
      <c r="G408" s="84">
        <v>9131431645</v>
      </c>
      <c r="H408" s="69">
        <v>17008</v>
      </c>
      <c r="I408" s="26" t="str">
        <f t="shared" si="6"/>
        <v>Poland</v>
      </c>
    </row>
    <row r="409" spans="1:9">
      <c r="A409" s="66">
        <v>936163605253575</v>
      </c>
      <c r="B409" s="26" t="s">
        <v>1179</v>
      </c>
      <c r="C409" s="26" t="s">
        <v>1180</v>
      </c>
      <c r="D409" s="26">
        <v>84323181</v>
      </c>
      <c r="E409" s="67">
        <v>43938</v>
      </c>
      <c r="F409" s="66">
        <v>48</v>
      </c>
      <c r="G409" s="84">
        <v>8579865090</v>
      </c>
      <c r="H409" s="69">
        <v>47935</v>
      </c>
      <c r="I409" s="26" t="str">
        <f t="shared" si="6"/>
        <v>Poland</v>
      </c>
    </row>
    <row r="410" spans="1:9">
      <c r="A410" s="66">
        <v>893209551062789</v>
      </c>
      <c r="B410" s="26" t="s">
        <v>1181</v>
      </c>
      <c r="C410" s="26" t="s">
        <v>1182</v>
      </c>
      <c r="D410" s="26">
        <v>69808048</v>
      </c>
      <c r="E410" s="67">
        <v>45241</v>
      </c>
      <c r="F410" s="66">
        <v>48</v>
      </c>
      <c r="G410" s="84">
        <v>7238913385</v>
      </c>
      <c r="H410" s="69">
        <v>31996</v>
      </c>
      <c r="I410" s="26" t="str">
        <f t="shared" si="6"/>
        <v>Poland</v>
      </c>
    </row>
    <row r="411" spans="1:9">
      <c r="A411" s="66">
        <v>813554470991820</v>
      </c>
      <c r="B411" s="26" t="s">
        <v>1183</v>
      </c>
      <c r="C411" s="26" t="s">
        <v>1184</v>
      </c>
      <c r="D411" s="26">
        <v>86465720</v>
      </c>
      <c r="E411" s="67">
        <v>43527</v>
      </c>
      <c r="F411" s="66">
        <v>48</v>
      </c>
      <c r="G411" s="84">
        <v>4633050361</v>
      </c>
      <c r="H411" s="69">
        <v>28052</v>
      </c>
      <c r="I411" s="26" t="str">
        <f t="shared" si="6"/>
        <v>Poland</v>
      </c>
    </row>
    <row r="412" spans="1:9">
      <c r="A412" s="66">
        <v>872080519741898</v>
      </c>
      <c r="B412" s="26" t="s">
        <v>1185</v>
      </c>
      <c r="C412" s="26" t="s">
        <v>1186</v>
      </c>
      <c r="D412" s="26">
        <v>83483614</v>
      </c>
      <c r="E412" s="67">
        <v>44324</v>
      </c>
      <c r="F412" s="66">
        <v>48</v>
      </c>
      <c r="G412" s="84">
        <v>6586177408</v>
      </c>
      <c r="H412" s="69">
        <v>71177</v>
      </c>
      <c r="I412" s="26" t="str">
        <f t="shared" si="6"/>
        <v>Poland</v>
      </c>
    </row>
    <row r="413" spans="1:9">
      <c r="A413" s="66">
        <v>850393403133987</v>
      </c>
      <c r="B413" s="26" t="s">
        <v>1187</v>
      </c>
      <c r="C413" s="26" t="s">
        <v>1188</v>
      </c>
      <c r="D413" s="26">
        <v>66352578</v>
      </c>
      <c r="E413" s="67">
        <v>44045</v>
      </c>
      <c r="F413" s="66">
        <v>48</v>
      </c>
      <c r="G413" s="84">
        <v>9399462106</v>
      </c>
      <c r="H413" s="69">
        <v>63818</v>
      </c>
      <c r="I413" s="26" t="str">
        <f t="shared" si="6"/>
        <v>Poland</v>
      </c>
    </row>
    <row r="414" spans="1:9">
      <c r="A414" s="66">
        <v>948778416515013</v>
      </c>
      <c r="B414" s="26" t="s">
        <v>1189</v>
      </c>
      <c r="C414" s="26" t="s">
        <v>1190</v>
      </c>
      <c r="D414" s="26">
        <v>77764647</v>
      </c>
      <c r="E414" s="67">
        <v>45335</v>
      </c>
      <c r="F414" s="66">
        <v>48</v>
      </c>
      <c r="G414" s="84">
        <v>5418998873</v>
      </c>
      <c r="H414" s="69">
        <v>81130</v>
      </c>
      <c r="I414" s="26" t="str">
        <f t="shared" si="6"/>
        <v>Poland</v>
      </c>
    </row>
    <row r="415" spans="1:9">
      <c r="A415" s="66">
        <v>976830979671996</v>
      </c>
      <c r="B415" s="26" t="s">
        <v>1191</v>
      </c>
      <c r="C415" s="26" t="s">
        <v>1192</v>
      </c>
      <c r="D415" s="26">
        <v>81175636</v>
      </c>
      <c r="E415" s="67">
        <v>43913</v>
      </c>
      <c r="F415" s="66">
        <v>48</v>
      </c>
      <c r="G415" s="84">
        <v>6306721999</v>
      </c>
      <c r="H415" s="69">
        <v>95317</v>
      </c>
      <c r="I415" s="26" t="str">
        <f t="shared" si="6"/>
        <v>Poland</v>
      </c>
    </row>
    <row r="416" spans="1:9">
      <c r="A416" s="66">
        <v>845813356071287</v>
      </c>
      <c r="B416" s="26" t="s">
        <v>1193</v>
      </c>
      <c r="C416" s="26" t="s">
        <v>1194</v>
      </c>
      <c r="D416" s="26">
        <v>75412054</v>
      </c>
      <c r="E416" s="67">
        <v>44022</v>
      </c>
      <c r="F416" s="66">
        <v>48</v>
      </c>
      <c r="G416" s="84">
        <v>8966654430</v>
      </c>
      <c r="H416" s="69">
        <v>14516</v>
      </c>
      <c r="I416" s="26" t="str">
        <f t="shared" si="6"/>
        <v>Poland</v>
      </c>
    </row>
    <row r="417" spans="1:9">
      <c r="A417" s="66">
        <v>975706284159517</v>
      </c>
      <c r="B417" s="26" t="s">
        <v>1195</v>
      </c>
      <c r="C417" s="26" t="s">
        <v>1196</v>
      </c>
      <c r="D417" s="26">
        <v>88798541</v>
      </c>
      <c r="E417" s="67">
        <v>44771</v>
      </c>
      <c r="F417" s="66">
        <v>48</v>
      </c>
      <c r="G417" s="84">
        <v>7975013871</v>
      </c>
      <c r="H417" s="69">
        <v>29481</v>
      </c>
      <c r="I417" s="26" t="str">
        <f t="shared" si="6"/>
        <v>Poland</v>
      </c>
    </row>
    <row r="418" spans="1:9">
      <c r="A418" s="66">
        <v>980385774106909</v>
      </c>
      <c r="B418" s="26" t="s">
        <v>1197</v>
      </c>
      <c r="C418" s="26" t="s">
        <v>1198</v>
      </c>
      <c r="D418" s="26">
        <v>83200590</v>
      </c>
      <c r="E418" s="67">
        <v>43984</v>
      </c>
      <c r="F418" s="66">
        <v>48</v>
      </c>
      <c r="G418" s="84">
        <v>9888894143</v>
      </c>
      <c r="H418" s="69">
        <v>12763</v>
      </c>
      <c r="I418" s="26" t="str">
        <f t="shared" si="6"/>
        <v>Poland</v>
      </c>
    </row>
    <row r="419" spans="1:9">
      <c r="A419" s="66">
        <v>848298150581523</v>
      </c>
      <c r="B419" s="26" t="s">
        <v>1199</v>
      </c>
      <c r="C419" s="26" t="s">
        <v>1200</v>
      </c>
      <c r="D419" s="26">
        <v>87120981</v>
      </c>
      <c r="E419" s="67">
        <v>45267</v>
      </c>
      <c r="F419" s="66">
        <v>48</v>
      </c>
      <c r="G419" s="84">
        <v>4517117227</v>
      </c>
      <c r="H419" s="69">
        <v>87990</v>
      </c>
      <c r="I419" s="26" t="str">
        <f t="shared" si="6"/>
        <v>Poland</v>
      </c>
    </row>
    <row r="420" spans="1:9">
      <c r="A420" s="66">
        <v>833520335875677</v>
      </c>
      <c r="B420" s="26" t="s">
        <v>1201</v>
      </c>
      <c r="C420" s="26" t="s">
        <v>1202</v>
      </c>
      <c r="D420" s="26">
        <v>74074190</v>
      </c>
      <c r="E420" s="67">
        <v>43950</v>
      </c>
      <c r="F420" s="66">
        <v>48</v>
      </c>
      <c r="G420" s="84">
        <v>5678195238</v>
      </c>
      <c r="H420" s="69">
        <v>77993</v>
      </c>
      <c r="I420" s="26" t="str">
        <f t="shared" si="6"/>
        <v>Poland</v>
      </c>
    </row>
    <row r="421" spans="1:9">
      <c r="A421" s="66">
        <v>814664648412313</v>
      </c>
      <c r="B421" s="26" t="s">
        <v>1203</v>
      </c>
      <c r="C421" s="26" t="s">
        <v>1204</v>
      </c>
      <c r="D421" s="26">
        <v>79707544</v>
      </c>
      <c r="E421" s="67">
        <v>44584</v>
      </c>
      <c r="F421" s="66">
        <v>48</v>
      </c>
      <c r="G421" s="84">
        <v>5429396978</v>
      </c>
      <c r="H421" s="69">
        <v>91444</v>
      </c>
      <c r="I421" s="26" t="str">
        <f t="shared" si="6"/>
        <v>Poland</v>
      </c>
    </row>
    <row r="422" spans="1:9">
      <c r="A422" s="66">
        <v>819767607338585</v>
      </c>
      <c r="B422" s="26" t="s">
        <v>1205</v>
      </c>
      <c r="C422" s="26" t="s">
        <v>1206</v>
      </c>
      <c r="D422" s="26">
        <v>88720683</v>
      </c>
      <c r="E422" s="67">
        <v>44867</v>
      </c>
      <c r="F422" s="66">
        <v>966</v>
      </c>
      <c r="G422" s="85">
        <v>9781857722</v>
      </c>
      <c r="H422" s="69">
        <v>77008</v>
      </c>
      <c r="I422" s="26" t="str">
        <f t="shared" si="6"/>
        <v>Saudi Arabia</v>
      </c>
    </row>
    <row r="423" spans="1:9">
      <c r="A423" s="66">
        <v>903212271625022</v>
      </c>
      <c r="B423" s="26" t="s">
        <v>1207</v>
      </c>
      <c r="C423" s="26" t="s">
        <v>1208</v>
      </c>
      <c r="D423" s="26">
        <v>70650197</v>
      </c>
      <c r="E423" s="67">
        <v>45220</v>
      </c>
      <c r="F423" s="66">
        <v>966</v>
      </c>
      <c r="G423" s="85">
        <v>6124970859</v>
      </c>
      <c r="H423" s="69">
        <v>50585</v>
      </c>
      <c r="I423" s="26" t="str">
        <f t="shared" si="6"/>
        <v>Saudi Arabia</v>
      </c>
    </row>
    <row r="424" spans="1:9">
      <c r="A424" s="66">
        <v>958329751352629</v>
      </c>
      <c r="B424" s="26" t="s">
        <v>1209</v>
      </c>
      <c r="C424" s="26" t="s">
        <v>1210</v>
      </c>
      <c r="D424" s="26">
        <v>74059277</v>
      </c>
      <c r="E424" s="67">
        <v>44198</v>
      </c>
      <c r="F424" s="66">
        <v>966</v>
      </c>
      <c r="G424" s="85">
        <v>8799218957</v>
      </c>
      <c r="H424" s="69">
        <v>53232</v>
      </c>
      <c r="I424" s="26" t="str">
        <f t="shared" si="6"/>
        <v>Saudi Arabia</v>
      </c>
    </row>
    <row r="425" spans="1:9">
      <c r="A425" s="66">
        <v>930888510265738</v>
      </c>
      <c r="B425" s="26" t="s">
        <v>1211</v>
      </c>
      <c r="C425" s="26" t="s">
        <v>1212</v>
      </c>
      <c r="D425" s="26">
        <v>75287241</v>
      </c>
      <c r="E425" s="67">
        <v>44779</v>
      </c>
      <c r="F425" s="66">
        <v>966</v>
      </c>
      <c r="G425" s="85">
        <v>7861956566</v>
      </c>
      <c r="H425" s="69">
        <v>99425</v>
      </c>
      <c r="I425" s="26" t="str">
        <f t="shared" si="6"/>
        <v>Saudi Arabia</v>
      </c>
    </row>
    <row r="426" spans="1:9">
      <c r="A426" s="66">
        <v>939976800816013</v>
      </c>
      <c r="B426" s="26" t="s">
        <v>1213</v>
      </c>
      <c r="C426" s="26" t="s">
        <v>1214</v>
      </c>
      <c r="D426" s="26">
        <v>83611128</v>
      </c>
      <c r="E426" s="67">
        <v>45304</v>
      </c>
      <c r="F426" s="66">
        <v>966</v>
      </c>
      <c r="G426" s="85">
        <v>7065013260</v>
      </c>
      <c r="H426" s="69">
        <v>39250</v>
      </c>
      <c r="I426" s="26" t="str">
        <f t="shared" si="6"/>
        <v>Saudi Arabia</v>
      </c>
    </row>
    <row r="427" spans="1:9">
      <c r="A427" s="66">
        <v>843385323070469</v>
      </c>
      <c r="B427" s="26" t="s">
        <v>1215</v>
      </c>
      <c r="C427" s="26" t="s">
        <v>1216</v>
      </c>
      <c r="D427" s="26">
        <v>78713528</v>
      </c>
      <c r="E427" s="67">
        <v>45522</v>
      </c>
      <c r="F427" s="66">
        <v>966</v>
      </c>
      <c r="G427" s="85">
        <v>6067351395</v>
      </c>
      <c r="H427" s="69">
        <v>15036</v>
      </c>
      <c r="I427" s="26" t="str">
        <f t="shared" si="6"/>
        <v>Saudi Arabia</v>
      </c>
    </row>
    <row r="428" spans="1:9">
      <c r="A428" s="66">
        <v>812575665028702</v>
      </c>
      <c r="B428" s="26" t="s">
        <v>1217</v>
      </c>
      <c r="C428" s="26" t="s">
        <v>1218</v>
      </c>
      <c r="D428" s="26">
        <v>83949312</v>
      </c>
      <c r="E428" s="67">
        <v>43706</v>
      </c>
      <c r="F428" s="66">
        <v>966</v>
      </c>
      <c r="G428" s="85">
        <v>4957310778</v>
      </c>
      <c r="H428" s="69">
        <v>41556</v>
      </c>
      <c r="I428" s="26" t="str">
        <f t="shared" si="6"/>
        <v>Saudi Arabia</v>
      </c>
    </row>
    <row r="429" spans="1:9">
      <c r="A429" s="66">
        <v>988298509849339</v>
      </c>
      <c r="B429" s="26" t="s">
        <v>1219</v>
      </c>
      <c r="C429" s="26" t="s">
        <v>1220</v>
      </c>
      <c r="D429" s="26">
        <v>63625739</v>
      </c>
      <c r="E429" s="67">
        <v>44021</v>
      </c>
      <c r="F429" s="66">
        <v>966</v>
      </c>
      <c r="G429" s="85">
        <v>4679614117</v>
      </c>
      <c r="H429" s="69">
        <v>29124</v>
      </c>
      <c r="I429" s="26" t="str">
        <f t="shared" si="6"/>
        <v>Saudi Arabia</v>
      </c>
    </row>
    <row r="430" spans="1:9">
      <c r="A430" s="66">
        <v>914527868784114</v>
      </c>
      <c r="B430" s="26" t="s">
        <v>1221</v>
      </c>
      <c r="C430" s="26" t="s">
        <v>1222</v>
      </c>
      <c r="D430" s="26">
        <v>68869082</v>
      </c>
      <c r="E430" s="67">
        <v>44347</v>
      </c>
      <c r="F430" s="66">
        <v>966</v>
      </c>
      <c r="G430" s="85">
        <v>5684082398</v>
      </c>
      <c r="H430" s="69">
        <v>74494</v>
      </c>
      <c r="I430" s="26" t="str">
        <f t="shared" si="6"/>
        <v>Saudi Arabia</v>
      </c>
    </row>
    <row r="431" spans="1:9">
      <c r="A431" s="66">
        <v>922527461317691</v>
      </c>
      <c r="B431" s="26" t="s">
        <v>1223</v>
      </c>
      <c r="C431" s="26" t="s">
        <v>1224</v>
      </c>
      <c r="D431" s="26">
        <v>86591982</v>
      </c>
      <c r="E431" s="67">
        <v>44504</v>
      </c>
      <c r="F431" s="66">
        <v>966</v>
      </c>
      <c r="G431" s="85">
        <v>4671546498</v>
      </c>
      <c r="H431" s="69">
        <v>85666</v>
      </c>
      <c r="I431" s="26" t="str">
        <f t="shared" si="6"/>
        <v>Saudi Arabia</v>
      </c>
    </row>
    <row r="432" spans="1:9">
      <c r="A432" s="66">
        <v>844747738374185</v>
      </c>
      <c r="B432" s="26" t="s">
        <v>1225</v>
      </c>
      <c r="C432" s="26" t="s">
        <v>1226</v>
      </c>
      <c r="D432" s="26">
        <v>63687728</v>
      </c>
      <c r="E432" s="67">
        <v>44072</v>
      </c>
      <c r="F432" s="66">
        <v>966</v>
      </c>
      <c r="G432" s="85">
        <v>6792488013</v>
      </c>
      <c r="H432" s="69">
        <v>24122</v>
      </c>
      <c r="I432" s="26" t="str">
        <f t="shared" si="6"/>
        <v>Saudi Arabia</v>
      </c>
    </row>
    <row r="433" spans="1:9">
      <c r="A433" s="66">
        <v>805929092982373</v>
      </c>
      <c r="B433" s="26" t="s">
        <v>1227</v>
      </c>
      <c r="C433" s="26" t="s">
        <v>1228</v>
      </c>
      <c r="D433" s="26">
        <v>62927061</v>
      </c>
      <c r="E433" s="67">
        <v>45346</v>
      </c>
      <c r="F433" s="66">
        <v>966</v>
      </c>
      <c r="G433" s="85">
        <v>8897121568</v>
      </c>
      <c r="H433" s="69">
        <v>44789</v>
      </c>
      <c r="I433" s="26" t="str">
        <f t="shared" si="6"/>
        <v>Saudi Arabia</v>
      </c>
    </row>
    <row r="434" spans="1:9">
      <c r="A434" s="66">
        <v>838062260400178</v>
      </c>
      <c r="B434" s="26" t="s">
        <v>1229</v>
      </c>
      <c r="C434" s="26" t="s">
        <v>1230</v>
      </c>
      <c r="D434" s="26">
        <v>67403472</v>
      </c>
      <c r="E434" s="67">
        <v>45263</v>
      </c>
      <c r="F434" s="66">
        <v>966</v>
      </c>
      <c r="G434" s="85">
        <v>5588638642</v>
      </c>
      <c r="H434" s="69">
        <v>12215</v>
      </c>
      <c r="I434" s="26" t="str">
        <f t="shared" si="6"/>
        <v>Saudi Arabia</v>
      </c>
    </row>
    <row r="435" spans="1:9">
      <c r="A435" s="66">
        <v>901412616840235</v>
      </c>
      <c r="B435" s="26" t="s">
        <v>1231</v>
      </c>
      <c r="C435" s="26" t="s">
        <v>1232</v>
      </c>
      <c r="D435" s="26">
        <v>71206308</v>
      </c>
      <c r="E435" s="67">
        <v>43800</v>
      </c>
      <c r="F435" s="66">
        <v>966</v>
      </c>
      <c r="G435" s="85">
        <v>5012242929</v>
      </c>
      <c r="H435" s="69">
        <v>62838</v>
      </c>
      <c r="I435" s="26" t="str">
        <f t="shared" si="6"/>
        <v>Saudi Arabia</v>
      </c>
    </row>
    <row r="436" spans="1:9">
      <c r="A436" s="66">
        <v>999331004857886</v>
      </c>
      <c r="B436" s="26" t="s">
        <v>1233</v>
      </c>
      <c r="C436" s="26" t="s">
        <v>1234</v>
      </c>
      <c r="D436" s="26">
        <v>88901722</v>
      </c>
      <c r="E436" s="67">
        <v>44732</v>
      </c>
      <c r="F436" s="66">
        <v>966</v>
      </c>
      <c r="G436" s="85">
        <v>7645597227</v>
      </c>
      <c r="H436" s="69">
        <v>33958</v>
      </c>
      <c r="I436" s="26" t="str">
        <f t="shared" si="6"/>
        <v>Saudi Arabia</v>
      </c>
    </row>
    <row r="437" spans="1:9">
      <c r="A437" s="66">
        <v>907338721933213</v>
      </c>
      <c r="B437" s="26" t="s">
        <v>1235</v>
      </c>
      <c r="C437" s="26" t="s">
        <v>1236</v>
      </c>
      <c r="D437" s="26">
        <v>86593032</v>
      </c>
      <c r="E437" s="67">
        <v>45267</v>
      </c>
      <c r="F437" s="66">
        <v>966</v>
      </c>
      <c r="G437" s="85">
        <v>7078473224</v>
      </c>
      <c r="H437" s="69">
        <v>80993</v>
      </c>
      <c r="I437" s="26" t="str">
        <f t="shared" si="6"/>
        <v>Saudi Arabia</v>
      </c>
    </row>
    <row r="438" spans="1:9">
      <c r="A438" s="66">
        <v>861674011513810</v>
      </c>
      <c r="B438" s="26" t="s">
        <v>1237</v>
      </c>
      <c r="C438" s="26" t="s">
        <v>1238</v>
      </c>
      <c r="D438" s="26">
        <v>69473422</v>
      </c>
      <c r="E438" s="67">
        <v>44138</v>
      </c>
      <c r="F438" s="66">
        <v>966</v>
      </c>
      <c r="G438" s="85">
        <v>9716019568</v>
      </c>
      <c r="H438" s="69">
        <v>83411</v>
      </c>
      <c r="I438" s="26" t="str">
        <f t="shared" si="6"/>
        <v>Saudi Arabia</v>
      </c>
    </row>
    <row r="439" spans="1:9">
      <c r="A439" s="66">
        <v>973077392636874</v>
      </c>
      <c r="B439" s="26" t="s">
        <v>1239</v>
      </c>
      <c r="C439" s="26" t="s">
        <v>1240</v>
      </c>
      <c r="D439" s="26">
        <v>85436749</v>
      </c>
      <c r="E439" s="67">
        <v>43838</v>
      </c>
      <c r="F439" s="66">
        <v>966</v>
      </c>
      <c r="G439" s="85">
        <v>8743473050</v>
      </c>
      <c r="H439" s="69">
        <v>60206</v>
      </c>
      <c r="I439" s="26" t="str">
        <f t="shared" si="6"/>
        <v>Saudi Arabia</v>
      </c>
    </row>
    <row r="440" spans="1:9">
      <c r="A440" s="66">
        <v>830504701079492</v>
      </c>
      <c r="B440" s="26" t="s">
        <v>1241</v>
      </c>
      <c r="C440" s="26" t="s">
        <v>1242</v>
      </c>
      <c r="D440" s="26">
        <v>62436142</v>
      </c>
      <c r="E440" s="67">
        <v>44929</v>
      </c>
      <c r="F440" s="66">
        <v>966</v>
      </c>
      <c r="G440" s="85">
        <v>8763568122</v>
      </c>
      <c r="H440" s="69">
        <v>17454</v>
      </c>
      <c r="I440" s="26" t="str">
        <f t="shared" si="6"/>
        <v>Saudi Arabia</v>
      </c>
    </row>
    <row r="441" spans="1:9">
      <c r="A441" s="66">
        <v>858063596772412</v>
      </c>
      <c r="B441" s="26" t="s">
        <v>1243</v>
      </c>
      <c r="C441" s="26" t="s">
        <v>1244</v>
      </c>
      <c r="D441" s="26">
        <v>70542430</v>
      </c>
      <c r="E441" s="67">
        <v>44952</v>
      </c>
      <c r="F441" s="66">
        <v>966</v>
      </c>
      <c r="G441" s="85">
        <v>7864845942</v>
      </c>
      <c r="H441" s="69">
        <v>98647</v>
      </c>
      <c r="I441" s="26" t="str">
        <f t="shared" si="6"/>
        <v>Saudi Arabia</v>
      </c>
    </row>
    <row r="442" spans="1:9">
      <c r="A442" s="66">
        <v>832985321979015</v>
      </c>
      <c r="B442" s="26" t="s">
        <v>1245</v>
      </c>
      <c r="C442" s="26" t="s">
        <v>1246</v>
      </c>
      <c r="D442" s="26">
        <v>78755751</v>
      </c>
      <c r="E442" s="67">
        <v>43860</v>
      </c>
      <c r="F442" s="66">
        <v>41</v>
      </c>
      <c r="G442" s="86">
        <v>8946164789</v>
      </c>
      <c r="H442" s="69">
        <v>41146</v>
      </c>
      <c r="I442" s="26" t="str">
        <f t="shared" si="6"/>
        <v>Swizerland</v>
      </c>
    </row>
    <row r="443" spans="1:9">
      <c r="A443" s="66">
        <v>916022263630418</v>
      </c>
      <c r="B443" s="26" t="s">
        <v>1247</v>
      </c>
      <c r="C443" s="26" t="s">
        <v>1248</v>
      </c>
      <c r="D443" s="26">
        <v>87507825</v>
      </c>
      <c r="E443" s="67">
        <v>44046</v>
      </c>
      <c r="F443" s="66">
        <v>41</v>
      </c>
      <c r="G443" s="86">
        <v>6754244355</v>
      </c>
      <c r="H443" s="69">
        <v>25012</v>
      </c>
      <c r="I443" s="26" t="str">
        <f t="shared" si="6"/>
        <v>Swizerland</v>
      </c>
    </row>
    <row r="444" spans="1:9">
      <c r="A444" s="66">
        <v>969097096989069</v>
      </c>
      <c r="B444" s="26" t="s">
        <v>1249</v>
      </c>
      <c r="C444" s="26" t="s">
        <v>1250</v>
      </c>
      <c r="D444" s="26">
        <v>85583802</v>
      </c>
      <c r="E444" s="67">
        <v>44137</v>
      </c>
      <c r="F444" s="66">
        <v>41</v>
      </c>
      <c r="G444" s="86">
        <v>7029849477</v>
      </c>
      <c r="H444" s="69">
        <v>49448</v>
      </c>
      <c r="I444" s="26" t="str">
        <f t="shared" si="6"/>
        <v>Swizerland</v>
      </c>
    </row>
    <row r="445" spans="1:9">
      <c r="A445" s="66">
        <v>822461855799613</v>
      </c>
      <c r="B445" s="26" t="s">
        <v>1251</v>
      </c>
      <c r="C445" s="26" t="s">
        <v>1252</v>
      </c>
      <c r="D445" s="26">
        <v>76923994</v>
      </c>
      <c r="E445" s="67">
        <v>43680</v>
      </c>
      <c r="F445" s="66">
        <v>41</v>
      </c>
      <c r="G445" s="86">
        <v>8582835998</v>
      </c>
      <c r="H445" s="69">
        <v>54343</v>
      </c>
      <c r="I445" s="26" t="str">
        <f t="shared" si="6"/>
        <v>Swizerland</v>
      </c>
    </row>
    <row r="446" spans="1:9">
      <c r="A446" s="66">
        <v>836393754923670</v>
      </c>
      <c r="B446" s="26" t="s">
        <v>1253</v>
      </c>
      <c r="C446" s="26" t="s">
        <v>1254</v>
      </c>
      <c r="D446" s="26">
        <v>86019082</v>
      </c>
      <c r="E446" s="67">
        <v>45219</v>
      </c>
      <c r="F446" s="66">
        <v>41</v>
      </c>
      <c r="G446" s="86">
        <v>6338584712</v>
      </c>
      <c r="H446" s="69">
        <v>82789</v>
      </c>
      <c r="I446" s="26" t="str">
        <f t="shared" si="6"/>
        <v>Swizerland</v>
      </c>
    </row>
    <row r="447" spans="1:9">
      <c r="A447" s="66">
        <v>863507309429820</v>
      </c>
      <c r="B447" s="26" t="s">
        <v>1255</v>
      </c>
      <c r="C447" s="26" t="s">
        <v>1256</v>
      </c>
      <c r="D447" s="26">
        <v>62045146</v>
      </c>
      <c r="E447" s="67">
        <v>44510</v>
      </c>
      <c r="F447" s="66">
        <v>41</v>
      </c>
      <c r="G447" s="86">
        <v>6536942501</v>
      </c>
      <c r="H447" s="69">
        <v>56899</v>
      </c>
      <c r="I447" s="26" t="str">
        <f t="shared" si="6"/>
        <v>Swizerland</v>
      </c>
    </row>
    <row r="448" spans="1:9">
      <c r="A448" s="66">
        <v>931216925322823</v>
      </c>
      <c r="B448" s="26" t="s">
        <v>1257</v>
      </c>
      <c r="C448" s="26" t="s">
        <v>1258</v>
      </c>
      <c r="D448" s="26">
        <v>65922468</v>
      </c>
      <c r="E448" s="67">
        <v>45477</v>
      </c>
      <c r="F448" s="66">
        <v>41</v>
      </c>
      <c r="G448" s="86">
        <v>8549789793</v>
      </c>
      <c r="H448" s="69">
        <v>31094</v>
      </c>
      <c r="I448" s="26" t="str">
        <f t="shared" si="6"/>
        <v>Swizerland</v>
      </c>
    </row>
    <row r="449" spans="1:9">
      <c r="A449" s="66">
        <v>885233700726653</v>
      </c>
      <c r="B449" s="26" t="s">
        <v>1259</v>
      </c>
      <c r="C449" s="26" t="s">
        <v>1260</v>
      </c>
      <c r="D449" s="26">
        <v>72568836</v>
      </c>
      <c r="E449" s="67">
        <v>43576</v>
      </c>
      <c r="F449" s="66">
        <v>41</v>
      </c>
      <c r="G449" s="86">
        <v>9993884572</v>
      </c>
      <c r="H449" s="69">
        <v>74683</v>
      </c>
      <c r="I449" s="26" t="str">
        <f t="shared" si="6"/>
        <v>Swizerland</v>
      </c>
    </row>
    <row r="450" spans="1:9">
      <c r="A450" s="66">
        <v>859831190878772</v>
      </c>
      <c r="B450" s="26" t="s">
        <v>1261</v>
      </c>
      <c r="C450" s="26" t="s">
        <v>1262</v>
      </c>
      <c r="D450" s="26">
        <v>76584989</v>
      </c>
      <c r="E450" s="67">
        <v>43501</v>
      </c>
      <c r="F450" s="66">
        <v>41</v>
      </c>
      <c r="G450" s="86">
        <v>8359213046</v>
      </c>
      <c r="H450" s="69">
        <v>24046</v>
      </c>
      <c r="I450" s="26" t="str">
        <f t="shared" si="6"/>
        <v>Swizerland</v>
      </c>
    </row>
    <row r="451" spans="1:9">
      <c r="A451" s="66">
        <v>833143987639828</v>
      </c>
      <c r="B451" s="26" t="s">
        <v>1263</v>
      </c>
      <c r="C451" s="26" t="s">
        <v>1264</v>
      </c>
      <c r="D451" s="26">
        <v>89853628</v>
      </c>
      <c r="E451" s="67">
        <v>45355</v>
      </c>
      <c r="F451" s="66">
        <v>41</v>
      </c>
      <c r="G451" s="86">
        <v>6802130246</v>
      </c>
      <c r="H451" s="69">
        <v>22373</v>
      </c>
      <c r="I451" s="26" t="str">
        <f t="shared" ref="I451:I514" si="7">IF(F451=91,"India",IF(F451=1,"United Staes",IF(F451=7,"Russia",IF(F451=34,"Spain",IF(F451=45,"Denmark",IF(F451=33,"France",IF(F451=61,"Australia",IF(F451=49,"German",IF(F451=81,"Japan",IF(F451=55,"Brazil",IF(F451=44,"United Kindom",IF(F451=27,"South Africa",IF(F451=380,"Ukrain",IF(F451=48,"Poland",IF(F451=82,"South Korea",IF(F451=966,"Saudi Arabia",IF(F451=41,"Swizerland",IF(F451=975,"Bhutan",IF(F451=974,"Qatar",IF(F451=977,"Nepal",IF(F451=972,"Isreal",IF(F451=93,"Afghanistan",IF(F451=351,"Portugal",IF(F451=54,"Argentina",IF(F451=374,"Armrnia",IF(F451=64,"New Zealand",IF(F451=62,"Indonesia",IF(F451=39,"Italy",IF(F451=46,"Sweden",IF(F451=58,"Venezuela",IF(F451=57,"Colombia",IF(F451=63,"Philippines",IF(F451=850,"North Korea",IF(F451=976,"Mongolia","Not exist in this Nation"))))))))))))))))))))))))))))))))))</f>
        <v>Swizerland</v>
      </c>
    </row>
    <row r="452" spans="1:9">
      <c r="A452" s="66">
        <v>928300402147153</v>
      </c>
      <c r="B452" s="87" t="s">
        <v>1265</v>
      </c>
      <c r="C452" s="26" t="s">
        <v>1266</v>
      </c>
      <c r="D452" s="26">
        <v>71685376</v>
      </c>
      <c r="E452" s="67">
        <v>44304</v>
      </c>
      <c r="F452" s="66">
        <v>975</v>
      </c>
      <c r="G452" s="88">
        <v>9634751983</v>
      </c>
      <c r="H452" s="69">
        <v>31315</v>
      </c>
      <c r="I452" s="26" t="str">
        <f t="shared" si="7"/>
        <v>Bhutan</v>
      </c>
    </row>
    <row r="453" spans="1:9">
      <c r="A453" s="66">
        <v>889489547291160</v>
      </c>
      <c r="B453" s="87" t="s">
        <v>1267</v>
      </c>
      <c r="C453" s="26" t="s">
        <v>1268</v>
      </c>
      <c r="D453" s="26">
        <v>88510714</v>
      </c>
      <c r="E453" s="67">
        <v>43879</v>
      </c>
      <c r="F453" s="66">
        <v>975</v>
      </c>
      <c r="G453" s="88">
        <v>8434379895</v>
      </c>
      <c r="H453" s="69">
        <v>91330</v>
      </c>
      <c r="I453" s="26" t="str">
        <f t="shared" si="7"/>
        <v>Bhutan</v>
      </c>
    </row>
    <row r="454" spans="1:9">
      <c r="A454" s="66">
        <v>875264475935189</v>
      </c>
      <c r="B454" s="87" t="s">
        <v>1269</v>
      </c>
      <c r="C454" s="26" t="s">
        <v>1270</v>
      </c>
      <c r="D454" s="26">
        <v>64890815</v>
      </c>
      <c r="E454" s="67">
        <v>43564</v>
      </c>
      <c r="F454" s="66">
        <v>975</v>
      </c>
      <c r="G454" s="88">
        <v>6656855362</v>
      </c>
      <c r="H454" s="69">
        <v>62369</v>
      </c>
      <c r="I454" s="26" t="str">
        <f t="shared" si="7"/>
        <v>Bhutan</v>
      </c>
    </row>
    <row r="455" spans="1:9">
      <c r="A455" s="66">
        <v>989858776258659</v>
      </c>
      <c r="B455" s="87" t="s">
        <v>1271</v>
      </c>
      <c r="C455" s="26" t="s">
        <v>1272</v>
      </c>
      <c r="D455" s="26">
        <v>83331391</v>
      </c>
      <c r="E455" s="67">
        <v>44169</v>
      </c>
      <c r="F455" s="66">
        <v>975</v>
      </c>
      <c r="G455" s="88">
        <v>5578600444</v>
      </c>
      <c r="H455" s="69">
        <v>38125</v>
      </c>
      <c r="I455" s="26" t="str">
        <f t="shared" si="7"/>
        <v>Bhutan</v>
      </c>
    </row>
    <row r="456" spans="1:9">
      <c r="A456" s="66">
        <v>804972362053802</v>
      </c>
      <c r="B456" s="87" t="s">
        <v>1273</v>
      </c>
      <c r="C456" s="26" t="s">
        <v>1274</v>
      </c>
      <c r="D456" s="26">
        <v>73656231</v>
      </c>
      <c r="E456" s="67">
        <v>44231</v>
      </c>
      <c r="F456" s="66">
        <v>975</v>
      </c>
      <c r="G456" s="88">
        <v>7133536830</v>
      </c>
      <c r="H456" s="69">
        <v>75193</v>
      </c>
      <c r="I456" s="26" t="str">
        <f t="shared" si="7"/>
        <v>Bhutan</v>
      </c>
    </row>
    <row r="457" spans="1:9">
      <c r="A457" s="66">
        <v>819184636501883</v>
      </c>
      <c r="B457" s="26" t="s">
        <v>1275</v>
      </c>
      <c r="C457" s="26" t="s">
        <v>1276</v>
      </c>
      <c r="D457" s="26">
        <v>82894579</v>
      </c>
      <c r="E457" s="67">
        <v>43675</v>
      </c>
      <c r="F457" s="66">
        <v>975</v>
      </c>
      <c r="G457" s="88">
        <v>9465886087</v>
      </c>
      <c r="H457" s="69">
        <v>99004</v>
      </c>
      <c r="I457" s="26" t="str">
        <f t="shared" si="7"/>
        <v>Bhutan</v>
      </c>
    </row>
    <row r="458" spans="1:9">
      <c r="A458" s="66">
        <v>817405556362123</v>
      </c>
      <c r="B458" s="26" t="s">
        <v>1277</v>
      </c>
      <c r="C458" s="26" t="s">
        <v>1278</v>
      </c>
      <c r="D458" s="26">
        <v>66089916</v>
      </c>
      <c r="E458" s="67">
        <v>45293</v>
      </c>
      <c r="F458" s="66">
        <v>975</v>
      </c>
      <c r="G458" s="88">
        <v>6144747633</v>
      </c>
      <c r="H458" s="69">
        <v>99301</v>
      </c>
      <c r="I458" s="26" t="str">
        <f t="shared" si="7"/>
        <v>Bhutan</v>
      </c>
    </row>
    <row r="459" spans="1:9">
      <c r="A459" s="66">
        <v>874477287354517</v>
      </c>
      <c r="B459" s="26" t="s">
        <v>1279</v>
      </c>
      <c r="C459" s="26" t="s">
        <v>1280</v>
      </c>
      <c r="D459" s="26">
        <v>82876561</v>
      </c>
      <c r="E459" s="67">
        <v>43764</v>
      </c>
      <c r="F459" s="66">
        <v>975</v>
      </c>
      <c r="G459" s="88">
        <v>9419051704</v>
      </c>
      <c r="H459" s="69">
        <v>72809</v>
      </c>
      <c r="I459" s="26" t="str">
        <f t="shared" si="7"/>
        <v>Bhutan</v>
      </c>
    </row>
    <row r="460" spans="1:9">
      <c r="A460" s="66">
        <v>898669865104226</v>
      </c>
      <c r="B460" s="26" t="s">
        <v>1281</v>
      </c>
      <c r="C460" s="26" t="s">
        <v>1282</v>
      </c>
      <c r="D460" s="26">
        <v>68286836</v>
      </c>
      <c r="E460" s="67">
        <v>45433</v>
      </c>
      <c r="F460" s="66">
        <v>975</v>
      </c>
      <c r="G460" s="88">
        <v>7894175237</v>
      </c>
      <c r="H460" s="69">
        <v>72454</v>
      </c>
      <c r="I460" s="26" t="str">
        <f t="shared" si="7"/>
        <v>Bhutan</v>
      </c>
    </row>
    <row r="461" spans="1:9">
      <c r="A461" s="66">
        <v>854249181419167</v>
      </c>
      <c r="B461" s="26" t="s">
        <v>1283</v>
      </c>
      <c r="C461" s="26" t="s">
        <v>1284</v>
      </c>
      <c r="D461" s="26">
        <v>83867977</v>
      </c>
      <c r="E461" s="67">
        <v>44356</v>
      </c>
      <c r="F461" s="66">
        <v>975</v>
      </c>
      <c r="G461" s="88">
        <v>7404810424</v>
      </c>
      <c r="H461" s="69">
        <v>22167</v>
      </c>
      <c r="I461" s="26" t="str">
        <f t="shared" si="7"/>
        <v>Bhutan</v>
      </c>
    </row>
    <row r="462" spans="1:9">
      <c r="A462" s="66">
        <v>897652002735894</v>
      </c>
      <c r="B462" s="26" t="s">
        <v>1285</v>
      </c>
      <c r="C462" s="26" t="s">
        <v>1286</v>
      </c>
      <c r="D462" s="26">
        <v>83511550</v>
      </c>
      <c r="E462" s="67">
        <v>43708</v>
      </c>
      <c r="F462" s="66">
        <v>974</v>
      </c>
      <c r="G462" s="89">
        <v>5866309673</v>
      </c>
      <c r="H462" s="69">
        <v>33087</v>
      </c>
      <c r="I462" s="26" t="str">
        <f t="shared" si="7"/>
        <v>Qatar</v>
      </c>
    </row>
    <row r="463" spans="1:9">
      <c r="A463" s="66">
        <v>851739318392948</v>
      </c>
      <c r="B463" s="26" t="s">
        <v>1287</v>
      </c>
      <c r="C463" s="26" t="s">
        <v>1288</v>
      </c>
      <c r="D463" s="26">
        <v>76347061</v>
      </c>
      <c r="E463" s="67">
        <v>43681</v>
      </c>
      <c r="F463" s="66">
        <v>974</v>
      </c>
      <c r="G463" s="89">
        <v>7095956321</v>
      </c>
      <c r="H463" s="69">
        <v>97621</v>
      </c>
      <c r="I463" s="26" t="str">
        <f t="shared" si="7"/>
        <v>Qatar</v>
      </c>
    </row>
    <row r="464" spans="1:9">
      <c r="A464" s="66">
        <v>937457800493216</v>
      </c>
      <c r="B464" s="26" t="s">
        <v>1289</v>
      </c>
      <c r="C464" s="26" t="s">
        <v>1290</v>
      </c>
      <c r="D464" s="26">
        <v>75207482</v>
      </c>
      <c r="E464" s="67">
        <v>44265</v>
      </c>
      <c r="F464" s="66">
        <v>974</v>
      </c>
      <c r="G464" s="89">
        <v>7169236917</v>
      </c>
      <c r="H464" s="69">
        <v>58907</v>
      </c>
      <c r="I464" s="26" t="str">
        <f t="shared" si="7"/>
        <v>Qatar</v>
      </c>
    </row>
    <row r="465" spans="1:9">
      <c r="A465" s="66">
        <v>892620353372536</v>
      </c>
      <c r="B465" s="26" t="s">
        <v>1291</v>
      </c>
      <c r="C465" s="26" t="s">
        <v>1292</v>
      </c>
      <c r="D465" s="26">
        <v>66139417</v>
      </c>
      <c r="E465" s="67">
        <v>44382</v>
      </c>
      <c r="F465" s="66">
        <v>974</v>
      </c>
      <c r="G465" s="89">
        <v>8010748879</v>
      </c>
      <c r="H465" s="69">
        <v>91993</v>
      </c>
      <c r="I465" s="26" t="str">
        <f t="shared" si="7"/>
        <v>Qatar</v>
      </c>
    </row>
    <row r="466" spans="1:9">
      <c r="A466" s="66">
        <v>949697427873821</v>
      </c>
      <c r="B466" s="26" t="s">
        <v>1293</v>
      </c>
      <c r="C466" s="26" t="s">
        <v>1294</v>
      </c>
      <c r="D466" s="26">
        <v>62392169</v>
      </c>
      <c r="E466" s="67">
        <v>43603</v>
      </c>
      <c r="F466" s="66">
        <v>974</v>
      </c>
      <c r="G466" s="89">
        <v>8691383016</v>
      </c>
      <c r="H466" s="69">
        <v>90163</v>
      </c>
      <c r="I466" s="26" t="str">
        <f t="shared" si="7"/>
        <v>Qatar</v>
      </c>
    </row>
    <row r="467" spans="1:9">
      <c r="A467" s="66">
        <v>815215720478197</v>
      </c>
      <c r="B467" s="26" t="s">
        <v>1295</v>
      </c>
      <c r="C467" s="26" t="s">
        <v>1296</v>
      </c>
      <c r="D467" s="26">
        <v>74140970</v>
      </c>
      <c r="E467" s="67">
        <v>44311</v>
      </c>
      <c r="F467" s="66">
        <v>974</v>
      </c>
      <c r="G467" s="89">
        <v>6109840729</v>
      </c>
      <c r="H467" s="69">
        <v>87141</v>
      </c>
      <c r="I467" s="26" t="str">
        <f t="shared" si="7"/>
        <v>Qatar</v>
      </c>
    </row>
    <row r="468" spans="1:9">
      <c r="A468" s="66">
        <v>915747601732599</v>
      </c>
      <c r="B468" s="26" t="s">
        <v>1297</v>
      </c>
      <c r="C468" s="26" t="s">
        <v>1298</v>
      </c>
      <c r="D468" s="26">
        <v>72202065</v>
      </c>
      <c r="E468" s="67">
        <v>44794</v>
      </c>
      <c r="F468" s="66">
        <v>974</v>
      </c>
      <c r="G468" s="89">
        <v>5318187171</v>
      </c>
      <c r="H468" s="69">
        <v>50741</v>
      </c>
      <c r="I468" s="26" t="str">
        <f t="shared" si="7"/>
        <v>Qatar</v>
      </c>
    </row>
    <row r="469" spans="1:9">
      <c r="A469" s="66">
        <v>985251799645754</v>
      </c>
      <c r="B469" s="26" t="s">
        <v>1299</v>
      </c>
      <c r="C469" s="26" t="s">
        <v>1300</v>
      </c>
      <c r="D469" s="26">
        <v>78967066</v>
      </c>
      <c r="E469" s="67">
        <v>43609</v>
      </c>
      <c r="F469" s="66">
        <v>974</v>
      </c>
      <c r="G469" s="89">
        <v>7213394393</v>
      </c>
      <c r="H469" s="69">
        <v>68658</v>
      </c>
      <c r="I469" s="26" t="str">
        <f t="shared" si="7"/>
        <v>Qatar</v>
      </c>
    </row>
    <row r="470" spans="1:9">
      <c r="A470" s="66">
        <v>931549032688343</v>
      </c>
      <c r="B470" s="26" t="s">
        <v>1301</v>
      </c>
      <c r="C470" s="26" t="s">
        <v>1302</v>
      </c>
      <c r="D470" s="26">
        <v>66784599</v>
      </c>
      <c r="E470" s="67">
        <v>44188</v>
      </c>
      <c r="F470" s="66">
        <v>974</v>
      </c>
      <c r="G470" s="89">
        <v>5026366861</v>
      </c>
      <c r="H470" s="69">
        <v>33664</v>
      </c>
      <c r="I470" s="26" t="str">
        <f t="shared" si="7"/>
        <v>Qatar</v>
      </c>
    </row>
    <row r="471" spans="1:9">
      <c r="A471" s="66">
        <v>914387073862280</v>
      </c>
      <c r="B471" s="26" t="s">
        <v>1303</v>
      </c>
      <c r="C471" s="26" t="s">
        <v>1304</v>
      </c>
      <c r="D471" s="26">
        <v>70950185</v>
      </c>
      <c r="E471" s="67">
        <v>45342</v>
      </c>
      <c r="F471" s="66">
        <v>974</v>
      </c>
      <c r="G471" s="89">
        <v>4959095973</v>
      </c>
      <c r="H471" s="69">
        <v>9630</v>
      </c>
      <c r="I471" s="26" t="str">
        <f t="shared" si="7"/>
        <v>Qatar</v>
      </c>
    </row>
    <row r="472" spans="1:9">
      <c r="A472" s="66">
        <v>933265218354594</v>
      </c>
      <c r="B472" s="26" t="s">
        <v>1305</v>
      </c>
      <c r="C472" s="26" t="s">
        <v>1306</v>
      </c>
      <c r="D472" s="26">
        <v>64682674</v>
      </c>
      <c r="E472" s="67">
        <v>44713</v>
      </c>
      <c r="F472" s="66">
        <v>977</v>
      </c>
      <c r="G472" s="90">
        <v>9034500632</v>
      </c>
      <c r="H472" s="69">
        <v>20389</v>
      </c>
      <c r="I472" s="26" t="str">
        <f t="shared" si="7"/>
        <v>Nepal</v>
      </c>
    </row>
    <row r="473" spans="1:9">
      <c r="A473" s="66">
        <v>836832029876891</v>
      </c>
      <c r="B473" s="26" t="s">
        <v>1307</v>
      </c>
      <c r="C473" s="26" t="s">
        <v>1308</v>
      </c>
      <c r="D473" s="26">
        <v>81344668</v>
      </c>
      <c r="E473" s="67">
        <v>43769</v>
      </c>
      <c r="F473" s="66">
        <v>977</v>
      </c>
      <c r="G473" s="90">
        <v>4674139041</v>
      </c>
      <c r="H473" s="69">
        <v>60864</v>
      </c>
      <c r="I473" s="26" t="str">
        <f t="shared" si="7"/>
        <v>Nepal</v>
      </c>
    </row>
    <row r="474" spans="1:9">
      <c r="A474" s="66">
        <v>993038303537386</v>
      </c>
      <c r="B474" s="26" t="s">
        <v>1309</v>
      </c>
      <c r="C474" s="26" t="s">
        <v>1310</v>
      </c>
      <c r="D474" s="26">
        <v>80659083</v>
      </c>
      <c r="E474" s="67">
        <v>44118</v>
      </c>
      <c r="F474" s="66">
        <v>977</v>
      </c>
      <c r="G474" s="90">
        <v>6437976925</v>
      </c>
      <c r="H474" s="69">
        <v>28619</v>
      </c>
      <c r="I474" s="26" t="str">
        <f t="shared" si="7"/>
        <v>Nepal</v>
      </c>
    </row>
    <row r="475" spans="1:9">
      <c r="A475" s="66">
        <v>924083159720172</v>
      </c>
      <c r="B475" s="26" t="s">
        <v>1311</v>
      </c>
      <c r="C475" s="26" t="s">
        <v>1312</v>
      </c>
      <c r="D475" s="26">
        <v>80474076</v>
      </c>
      <c r="E475" s="67">
        <v>43528</v>
      </c>
      <c r="F475" s="66">
        <v>977</v>
      </c>
      <c r="G475" s="90">
        <v>9825767413</v>
      </c>
      <c r="H475" s="69">
        <v>31946</v>
      </c>
      <c r="I475" s="26" t="str">
        <f t="shared" si="7"/>
        <v>Nepal</v>
      </c>
    </row>
    <row r="476" spans="1:9">
      <c r="A476" s="66">
        <v>882453800133544</v>
      </c>
      <c r="B476" s="26" t="s">
        <v>1313</v>
      </c>
      <c r="C476" s="26" t="s">
        <v>1314</v>
      </c>
      <c r="D476" s="26">
        <v>73471195</v>
      </c>
      <c r="E476" s="67">
        <v>45507</v>
      </c>
      <c r="F476" s="66">
        <v>972</v>
      </c>
      <c r="G476" s="91">
        <v>5362253994</v>
      </c>
      <c r="H476" s="69">
        <v>97918</v>
      </c>
      <c r="I476" s="26" t="str">
        <f t="shared" si="7"/>
        <v>Isreal</v>
      </c>
    </row>
    <row r="477" spans="1:9">
      <c r="A477" s="66">
        <v>950327821443643</v>
      </c>
      <c r="B477" s="26" t="s">
        <v>1315</v>
      </c>
      <c r="C477" s="26" t="s">
        <v>1316</v>
      </c>
      <c r="D477" s="26">
        <v>89976841</v>
      </c>
      <c r="E477" s="67">
        <v>44584</v>
      </c>
      <c r="F477" s="66">
        <v>972</v>
      </c>
      <c r="G477" s="91">
        <v>4484379925</v>
      </c>
      <c r="H477" s="69">
        <v>70520</v>
      </c>
      <c r="I477" s="26" t="str">
        <f t="shared" si="7"/>
        <v>Isreal</v>
      </c>
    </row>
    <row r="478" spans="1:9">
      <c r="A478" s="66">
        <v>968471513681299</v>
      </c>
      <c r="B478" s="26" t="s">
        <v>1317</v>
      </c>
      <c r="C478" s="26" t="s">
        <v>1318</v>
      </c>
      <c r="D478" s="26">
        <v>83282270</v>
      </c>
      <c r="E478" s="67">
        <v>43938</v>
      </c>
      <c r="F478" s="66">
        <v>972</v>
      </c>
      <c r="G478" s="91">
        <v>8115145520</v>
      </c>
      <c r="H478" s="69">
        <v>28433</v>
      </c>
      <c r="I478" s="26" t="str">
        <f t="shared" si="7"/>
        <v>Isreal</v>
      </c>
    </row>
    <row r="479" spans="1:9">
      <c r="A479" s="66">
        <v>897089982163667</v>
      </c>
      <c r="B479" s="26" t="s">
        <v>1319</v>
      </c>
      <c r="C479" s="26" t="s">
        <v>1320</v>
      </c>
      <c r="D479" s="26">
        <v>71711933</v>
      </c>
      <c r="E479" s="67">
        <v>45094</v>
      </c>
      <c r="F479" s="66">
        <v>972</v>
      </c>
      <c r="G479" s="91">
        <v>7474592088</v>
      </c>
      <c r="H479" s="69">
        <v>57050</v>
      </c>
      <c r="I479" s="26" t="str">
        <f t="shared" si="7"/>
        <v>Isreal</v>
      </c>
    </row>
    <row r="480" spans="1:9">
      <c r="A480" s="66">
        <v>944953746848263</v>
      </c>
      <c r="B480" s="26" t="s">
        <v>1321</v>
      </c>
      <c r="C480" s="26" t="s">
        <v>1322</v>
      </c>
      <c r="D480" s="26">
        <v>87599971</v>
      </c>
      <c r="E480" s="67">
        <v>43564</v>
      </c>
      <c r="F480" s="66">
        <v>972</v>
      </c>
      <c r="G480" s="91">
        <v>8013691539</v>
      </c>
      <c r="H480" s="69">
        <v>92769</v>
      </c>
      <c r="I480" s="26" t="str">
        <f t="shared" si="7"/>
        <v>Isreal</v>
      </c>
    </row>
    <row r="481" spans="1:9">
      <c r="A481" s="66">
        <v>889985881361573</v>
      </c>
      <c r="B481" s="26" t="s">
        <v>1323</v>
      </c>
      <c r="C481" s="26" t="s">
        <v>1324</v>
      </c>
      <c r="D481" s="26">
        <v>66247263</v>
      </c>
      <c r="E481" s="67">
        <v>44922</v>
      </c>
      <c r="F481" s="66">
        <v>972</v>
      </c>
      <c r="G481" s="91">
        <v>4770375602</v>
      </c>
      <c r="H481" s="69">
        <v>59462</v>
      </c>
      <c r="I481" s="26" t="str">
        <f t="shared" si="7"/>
        <v>Isreal</v>
      </c>
    </row>
    <row r="482" spans="1:9">
      <c r="A482" s="66">
        <v>923527549322492</v>
      </c>
      <c r="B482" s="26" t="s">
        <v>1325</v>
      </c>
      <c r="C482" s="26" t="s">
        <v>1326</v>
      </c>
      <c r="D482" s="26">
        <v>79485749</v>
      </c>
      <c r="E482" s="67">
        <v>45079</v>
      </c>
      <c r="F482" s="66">
        <v>972</v>
      </c>
      <c r="G482" s="91">
        <v>4659202283</v>
      </c>
      <c r="H482" s="69">
        <v>21569</v>
      </c>
      <c r="I482" s="26" t="str">
        <f t="shared" si="7"/>
        <v>Isreal</v>
      </c>
    </row>
    <row r="483" spans="1:9">
      <c r="A483" s="66">
        <v>985736921303055</v>
      </c>
      <c r="B483" s="26" t="s">
        <v>1327</v>
      </c>
      <c r="C483" s="26" t="s">
        <v>1328</v>
      </c>
      <c r="D483" s="26">
        <v>73882462</v>
      </c>
      <c r="E483" s="67">
        <v>44487</v>
      </c>
      <c r="F483" s="66">
        <v>972</v>
      </c>
      <c r="G483" s="91">
        <v>8136474752</v>
      </c>
      <c r="H483" s="69">
        <v>39938</v>
      </c>
      <c r="I483" s="26" t="str">
        <f t="shared" si="7"/>
        <v>Isreal</v>
      </c>
    </row>
    <row r="484" spans="1:9">
      <c r="A484" s="66">
        <v>861675099514106</v>
      </c>
      <c r="B484" s="26" t="s">
        <v>1329</v>
      </c>
      <c r="C484" s="26" t="s">
        <v>1330</v>
      </c>
      <c r="D484" s="26">
        <v>73319175</v>
      </c>
      <c r="E484" s="67">
        <v>44826</v>
      </c>
      <c r="F484" s="66">
        <v>972</v>
      </c>
      <c r="G484" s="91">
        <v>9148224989</v>
      </c>
      <c r="H484" s="69">
        <v>92686</v>
      </c>
      <c r="I484" s="26" t="str">
        <f t="shared" si="7"/>
        <v>Isreal</v>
      </c>
    </row>
    <row r="485" spans="1:9">
      <c r="A485" s="66">
        <v>935888919871398</v>
      </c>
      <c r="B485" s="26" t="s">
        <v>1331</v>
      </c>
      <c r="C485" s="26" t="s">
        <v>1332</v>
      </c>
      <c r="D485" s="26">
        <v>62852838</v>
      </c>
      <c r="E485" s="67">
        <v>44639</v>
      </c>
      <c r="F485" s="66">
        <v>972</v>
      </c>
      <c r="G485" s="91">
        <v>7391808435</v>
      </c>
      <c r="H485" s="69">
        <v>87826</v>
      </c>
      <c r="I485" s="26" t="str">
        <f t="shared" si="7"/>
        <v>Isreal</v>
      </c>
    </row>
    <row r="486" spans="1:9">
      <c r="A486" s="66">
        <v>985770572694106</v>
      </c>
      <c r="B486" s="26" t="s">
        <v>1333</v>
      </c>
      <c r="C486" s="26" t="s">
        <v>1334</v>
      </c>
      <c r="D486" s="26">
        <v>88743636</v>
      </c>
      <c r="E486" s="67">
        <v>43929</v>
      </c>
      <c r="F486" s="66">
        <v>972</v>
      </c>
      <c r="G486" s="91">
        <v>9653968906</v>
      </c>
      <c r="H486" s="69">
        <v>52410</v>
      </c>
      <c r="I486" s="26" t="str">
        <f t="shared" si="7"/>
        <v>Isreal</v>
      </c>
    </row>
    <row r="487" spans="1:9">
      <c r="A487" s="66">
        <v>988067553508480</v>
      </c>
      <c r="B487" s="26" t="s">
        <v>1335</v>
      </c>
      <c r="C487" s="26" t="s">
        <v>1336</v>
      </c>
      <c r="D487" s="26">
        <v>79842913</v>
      </c>
      <c r="E487" s="67">
        <v>45047</v>
      </c>
      <c r="F487" s="66">
        <v>972</v>
      </c>
      <c r="G487" s="91">
        <v>9294895589</v>
      </c>
      <c r="H487" s="69">
        <v>11917</v>
      </c>
      <c r="I487" s="26" t="str">
        <f t="shared" si="7"/>
        <v>Isreal</v>
      </c>
    </row>
    <row r="488" spans="1:9">
      <c r="A488" s="66">
        <v>875470299671948</v>
      </c>
      <c r="B488" s="26" t="s">
        <v>1337</v>
      </c>
      <c r="C488" s="26" t="s">
        <v>1338</v>
      </c>
      <c r="D488" s="26">
        <v>86447291</v>
      </c>
      <c r="E488" s="67">
        <v>45406</v>
      </c>
      <c r="F488" s="66">
        <v>972</v>
      </c>
      <c r="G488" s="91">
        <v>7190094918</v>
      </c>
      <c r="H488" s="69">
        <v>83995</v>
      </c>
      <c r="I488" s="26" t="str">
        <f t="shared" si="7"/>
        <v>Isreal</v>
      </c>
    </row>
    <row r="489" spans="1:9">
      <c r="A489" s="66">
        <v>926288880934103</v>
      </c>
      <c r="B489" s="26" t="s">
        <v>1339</v>
      </c>
      <c r="C489" s="26" t="s">
        <v>1340</v>
      </c>
      <c r="D489" s="26">
        <v>61836685</v>
      </c>
      <c r="E489" s="67">
        <v>45288</v>
      </c>
      <c r="F489" s="66">
        <v>972</v>
      </c>
      <c r="G489" s="91">
        <v>4723616915</v>
      </c>
      <c r="H489" s="69">
        <v>25610</v>
      </c>
      <c r="I489" s="26" t="str">
        <f t="shared" si="7"/>
        <v>Isreal</v>
      </c>
    </row>
    <row r="490" spans="1:9">
      <c r="A490" s="66">
        <v>962857875611900</v>
      </c>
      <c r="B490" s="26" t="s">
        <v>1341</v>
      </c>
      <c r="C490" s="26" t="s">
        <v>1342</v>
      </c>
      <c r="D490" s="26">
        <v>79404356</v>
      </c>
      <c r="E490" s="67">
        <v>44855</v>
      </c>
      <c r="F490" s="66">
        <v>972</v>
      </c>
      <c r="G490" s="91">
        <v>9203565861</v>
      </c>
      <c r="H490" s="69">
        <v>73872</v>
      </c>
      <c r="I490" s="26" t="str">
        <f t="shared" si="7"/>
        <v>Isreal</v>
      </c>
    </row>
    <row r="491" spans="1:9">
      <c r="A491" s="66">
        <v>965429855229995</v>
      </c>
      <c r="B491" s="26" t="s">
        <v>1343</v>
      </c>
      <c r="C491" s="26" t="s">
        <v>1344</v>
      </c>
      <c r="D491" s="26">
        <v>65156162</v>
      </c>
      <c r="E491" s="67">
        <v>45462</v>
      </c>
      <c r="F491" s="66">
        <v>972</v>
      </c>
      <c r="G491" s="91">
        <v>5251792265</v>
      </c>
      <c r="H491" s="69">
        <v>85282</v>
      </c>
      <c r="I491" s="26" t="str">
        <f t="shared" si="7"/>
        <v>Isreal</v>
      </c>
    </row>
    <row r="492" spans="1:9">
      <c r="A492" s="66">
        <v>989766023474982</v>
      </c>
      <c r="B492" s="26" t="s">
        <v>1345</v>
      </c>
      <c r="C492" s="26" t="s">
        <v>1346</v>
      </c>
      <c r="D492" s="26">
        <v>84208636</v>
      </c>
      <c r="E492" s="67">
        <v>44523</v>
      </c>
      <c r="F492" s="66">
        <v>972</v>
      </c>
      <c r="G492" s="91">
        <v>5013715384</v>
      </c>
      <c r="H492" s="69">
        <v>40450</v>
      </c>
      <c r="I492" s="26" t="str">
        <f t="shared" si="7"/>
        <v>Isreal</v>
      </c>
    </row>
    <row r="493" spans="1:9">
      <c r="A493" s="66">
        <v>842464712880078</v>
      </c>
      <c r="B493" s="26" t="s">
        <v>1347</v>
      </c>
      <c r="C493" s="26" t="s">
        <v>1348</v>
      </c>
      <c r="D493" s="26">
        <v>76661740</v>
      </c>
      <c r="E493" s="67">
        <v>44587</v>
      </c>
      <c r="F493" s="66">
        <v>972</v>
      </c>
      <c r="G493" s="91">
        <v>8672483092</v>
      </c>
      <c r="H493" s="69">
        <v>14772</v>
      </c>
      <c r="I493" s="26" t="str">
        <f t="shared" si="7"/>
        <v>Isreal</v>
      </c>
    </row>
    <row r="494" spans="1:9">
      <c r="A494" s="66">
        <v>832692081615940</v>
      </c>
      <c r="B494" s="26" t="s">
        <v>1349</v>
      </c>
      <c r="C494" s="26" t="s">
        <v>1350</v>
      </c>
      <c r="D494" s="26">
        <v>77190133</v>
      </c>
      <c r="E494" s="67">
        <v>44827</v>
      </c>
      <c r="F494" s="66">
        <v>972</v>
      </c>
      <c r="G494" s="91">
        <v>5667639468</v>
      </c>
      <c r="H494" s="69">
        <v>9676</v>
      </c>
      <c r="I494" s="26" t="str">
        <f t="shared" si="7"/>
        <v>Isreal</v>
      </c>
    </row>
    <row r="495" spans="1:9">
      <c r="A495" s="66">
        <v>825784514335195</v>
      </c>
      <c r="B495" s="26" t="s">
        <v>1351</v>
      </c>
      <c r="C495" s="26" t="s">
        <v>1352</v>
      </c>
      <c r="D495" s="26">
        <v>64442346</v>
      </c>
      <c r="E495" s="67">
        <v>45363</v>
      </c>
      <c r="F495" s="66">
        <v>972</v>
      </c>
      <c r="G495" s="91">
        <v>5994446454</v>
      </c>
      <c r="H495" s="69">
        <v>6254</v>
      </c>
      <c r="I495" s="26" t="str">
        <f t="shared" si="7"/>
        <v>Isreal</v>
      </c>
    </row>
    <row r="496" spans="1:9">
      <c r="A496" s="66">
        <v>895269520834658</v>
      </c>
      <c r="B496" s="92" t="s">
        <v>1353</v>
      </c>
      <c r="C496" s="26" t="s">
        <v>1354</v>
      </c>
      <c r="D496" s="26">
        <v>75720280</v>
      </c>
      <c r="E496" s="67">
        <v>44557</v>
      </c>
      <c r="F496" s="66">
        <v>93</v>
      </c>
      <c r="G496" s="93">
        <v>6499562971</v>
      </c>
      <c r="H496" s="69">
        <v>57977</v>
      </c>
      <c r="I496" s="26" t="str">
        <f t="shared" si="7"/>
        <v>Afghanistan</v>
      </c>
    </row>
    <row r="497" spans="1:9">
      <c r="A497" s="66">
        <v>964971436270498</v>
      </c>
      <c r="B497" s="92" t="s">
        <v>1355</v>
      </c>
      <c r="C497" s="26" t="s">
        <v>1356</v>
      </c>
      <c r="D497" s="26">
        <v>82362734</v>
      </c>
      <c r="E497" s="67">
        <v>44251</v>
      </c>
      <c r="F497" s="66">
        <v>93</v>
      </c>
      <c r="G497" s="93">
        <v>6827174038</v>
      </c>
      <c r="H497" s="69">
        <v>72905</v>
      </c>
      <c r="I497" s="26" t="str">
        <f t="shared" si="7"/>
        <v>Afghanistan</v>
      </c>
    </row>
    <row r="498" spans="1:9">
      <c r="A498" s="66">
        <v>933960604244464</v>
      </c>
      <c r="B498" s="26" t="s">
        <v>1357</v>
      </c>
      <c r="C498" s="26" t="s">
        <v>1358</v>
      </c>
      <c r="D498" s="26">
        <v>68455060</v>
      </c>
      <c r="E498" s="67">
        <v>44017</v>
      </c>
      <c r="F498" s="66">
        <v>351</v>
      </c>
      <c r="G498" s="94">
        <v>9532474620</v>
      </c>
      <c r="H498" s="69">
        <v>26448</v>
      </c>
      <c r="I498" s="26" t="str">
        <f t="shared" si="7"/>
        <v>Portugal</v>
      </c>
    </row>
    <row r="499" spans="1:9">
      <c r="A499" s="66">
        <v>828993556920151</v>
      </c>
      <c r="B499" s="26" t="s">
        <v>1359</v>
      </c>
      <c r="C499" s="26" t="s">
        <v>1360</v>
      </c>
      <c r="D499" s="26">
        <v>65142910</v>
      </c>
      <c r="E499" s="67">
        <v>43996</v>
      </c>
      <c r="F499" s="66">
        <v>351</v>
      </c>
      <c r="G499" s="94">
        <v>7957624335</v>
      </c>
      <c r="H499" s="69">
        <v>29325</v>
      </c>
      <c r="I499" s="26" t="str">
        <f t="shared" si="7"/>
        <v>Portugal</v>
      </c>
    </row>
    <row r="500" spans="1:9">
      <c r="A500" s="66">
        <v>932019345283433</v>
      </c>
      <c r="B500" s="26" t="s">
        <v>1361</v>
      </c>
      <c r="C500" s="26" t="s">
        <v>1362</v>
      </c>
      <c r="D500" s="26">
        <v>64067908</v>
      </c>
      <c r="E500" s="67">
        <v>45273</v>
      </c>
      <c r="F500" s="66">
        <v>351</v>
      </c>
      <c r="G500" s="94">
        <v>9834012023</v>
      </c>
      <c r="H500" s="69">
        <v>72977</v>
      </c>
      <c r="I500" s="26" t="str">
        <f t="shared" si="7"/>
        <v>Portugal</v>
      </c>
    </row>
    <row r="501" spans="1:9">
      <c r="A501" s="66">
        <v>992861039121525</v>
      </c>
      <c r="B501" s="26" t="s">
        <v>1363</v>
      </c>
      <c r="C501" s="26" t="s">
        <v>1364</v>
      </c>
      <c r="D501" s="26">
        <v>64980378</v>
      </c>
      <c r="E501" s="67">
        <v>45041</v>
      </c>
      <c r="F501" s="66">
        <v>351</v>
      </c>
      <c r="G501" s="94">
        <v>8385485885</v>
      </c>
      <c r="H501" s="69">
        <v>54400</v>
      </c>
      <c r="I501" s="26" t="str">
        <f t="shared" si="7"/>
        <v>Portugal</v>
      </c>
    </row>
    <row r="502" spans="1:9">
      <c r="A502" s="66">
        <v>992861039121526</v>
      </c>
      <c r="B502" s="26" t="s">
        <v>1365</v>
      </c>
      <c r="C502" s="26" t="s">
        <v>1366</v>
      </c>
      <c r="D502" s="26">
        <v>64980379</v>
      </c>
      <c r="E502" s="67">
        <v>45042</v>
      </c>
      <c r="F502" s="66">
        <v>351</v>
      </c>
      <c r="G502" s="94">
        <v>6853521849</v>
      </c>
      <c r="H502" s="69">
        <v>23759</v>
      </c>
      <c r="I502" s="26" t="str">
        <f t="shared" si="7"/>
        <v>Portugal</v>
      </c>
    </row>
    <row r="503" spans="1:9">
      <c r="A503" s="66">
        <v>992861039121527</v>
      </c>
      <c r="B503" s="26" t="s">
        <v>1367</v>
      </c>
      <c r="C503" s="26" t="s">
        <v>1368</v>
      </c>
      <c r="D503" s="26">
        <v>64980380</v>
      </c>
      <c r="E503" s="67">
        <v>45043</v>
      </c>
      <c r="F503" s="66">
        <v>351</v>
      </c>
      <c r="G503" s="94">
        <v>6876713149</v>
      </c>
      <c r="H503" s="69">
        <v>50960</v>
      </c>
      <c r="I503" s="26" t="str">
        <f t="shared" si="7"/>
        <v>Portugal</v>
      </c>
    </row>
    <row r="504" spans="1:9">
      <c r="A504" s="66">
        <v>992861039121528</v>
      </c>
      <c r="B504" s="26" t="s">
        <v>1369</v>
      </c>
      <c r="C504" s="26" t="s">
        <v>1370</v>
      </c>
      <c r="D504" s="26">
        <v>64980381</v>
      </c>
      <c r="E504" s="67">
        <v>45044</v>
      </c>
      <c r="F504" s="66">
        <v>351</v>
      </c>
      <c r="G504" s="94">
        <v>9331807331</v>
      </c>
      <c r="H504" s="69">
        <v>53266</v>
      </c>
      <c r="I504" s="26" t="str">
        <f t="shared" si="7"/>
        <v>Portugal</v>
      </c>
    </row>
    <row r="505" spans="1:9">
      <c r="A505" s="66">
        <v>992861039121529</v>
      </c>
      <c r="B505" s="26" t="s">
        <v>1371</v>
      </c>
      <c r="C505" s="26" t="s">
        <v>1372</v>
      </c>
      <c r="D505" s="26">
        <v>64980382</v>
      </c>
      <c r="E505" s="67">
        <v>45045</v>
      </c>
      <c r="F505" s="66">
        <v>351</v>
      </c>
      <c r="G505" s="94">
        <v>7851996223</v>
      </c>
      <c r="H505" s="69">
        <v>56851</v>
      </c>
      <c r="I505" s="26" t="str">
        <f t="shared" si="7"/>
        <v>Portugal</v>
      </c>
    </row>
    <row r="506" spans="1:9">
      <c r="A506" s="66">
        <v>992861039121530</v>
      </c>
      <c r="B506" s="26" t="s">
        <v>1373</v>
      </c>
      <c r="C506" s="26" t="s">
        <v>1374</v>
      </c>
      <c r="D506" s="26">
        <v>64980383</v>
      </c>
      <c r="E506" s="67">
        <v>45046</v>
      </c>
      <c r="F506" s="66">
        <v>351</v>
      </c>
      <c r="G506" s="94">
        <v>6426973281</v>
      </c>
      <c r="H506" s="69">
        <v>96688</v>
      </c>
      <c r="I506" s="26" t="str">
        <f t="shared" si="7"/>
        <v>Portugal</v>
      </c>
    </row>
    <row r="507" spans="1:9">
      <c r="A507" s="66">
        <v>992861039121531</v>
      </c>
      <c r="B507" s="26" t="s">
        <v>1375</v>
      </c>
      <c r="C507" s="26" t="s">
        <v>1376</v>
      </c>
      <c r="D507" s="26">
        <v>64980384</v>
      </c>
      <c r="E507" s="67">
        <v>45047</v>
      </c>
      <c r="F507" s="66">
        <v>351</v>
      </c>
      <c r="G507" s="94">
        <v>9889337183</v>
      </c>
      <c r="H507" s="69">
        <v>77696</v>
      </c>
      <c r="I507" s="26" t="str">
        <f t="shared" si="7"/>
        <v>Portugal</v>
      </c>
    </row>
    <row r="508" spans="1:9">
      <c r="A508" s="66">
        <v>992861039121532</v>
      </c>
      <c r="B508" s="26" t="s">
        <v>1377</v>
      </c>
      <c r="C508" s="26" t="s">
        <v>1378</v>
      </c>
      <c r="D508" s="26">
        <v>64980385</v>
      </c>
      <c r="E508" s="67">
        <v>45048</v>
      </c>
      <c r="F508" s="66">
        <v>351</v>
      </c>
      <c r="G508" s="94">
        <v>9676203921</v>
      </c>
      <c r="H508" s="69">
        <v>95661</v>
      </c>
      <c r="I508" s="26" t="str">
        <f t="shared" si="7"/>
        <v>Portugal</v>
      </c>
    </row>
    <row r="509" spans="1:9">
      <c r="A509" s="66">
        <v>992861039121533</v>
      </c>
      <c r="B509" s="26" t="s">
        <v>1379</v>
      </c>
      <c r="C509" s="26" t="s">
        <v>1380</v>
      </c>
      <c r="D509" s="26">
        <v>64980386</v>
      </c>
      <c r="E509" s="67">
        <v>45049</v>
      </c>
      <c r="F509" s="66">
        <v>351</v>
      </c>
      <c r="G509" s="94">
        <v>8455247829</v>
      </c>
      <c r="H509" s="69">
        <v>7333</v>
      </c>
      <c r="I509" s="26" t="str">
        <f t="shared" si="7"/>
        <v>Portugal</v>
      </c>
    </row>
    <row r="510" spans="1:9">
      <c r="A510" s="66">
        <v>992861039121534</v>
      </c>
      <c r="B510" s="26" t="s">
        <v>1381</v>
      </c>
      <c r="C510" s="26" t="s">
        <v>1382</v>
      </c>
      <c r="D510" s="26">
        <v>64980387</v>
      </c>
      <c r="E510" s="67">
        <v>45050</v>
      </c>
      <c r="F510" s="66">
        <v>351</v>
      </c>
      <c r="G510" s="94">
        <v>5828290519</v>
      </c>
      <c r="H510" s="69">
        <v>32238</v>
      </c>
      <c r="I510" s="26" t="str">
        <f t="shared" si="7"/>
        <v>Portugal</v>
      </c>
    </row>
    <row r="511" spans="1:9">
      <c r="A511" s="66">
        <v>992861039121535</v>
      </c>
      <c r="B511" s="26" t="s">
        <v>1383</v>
      </c>
      <c r="C511" s="26" t="s">
        <v>1384</v>
      </c>
      <c r="D511" s="26">
        <v>64980388</v>
      </c>
      <c r="E511" s="67">
        <v>45051</v>
      </c>
      <c r="F511" s="66">
        <v>351</v>
      </c>
      <c r="G511" s="94">
        <v>9495019075</v>
      </c>
      <c r="H511" s="69">
        <v>95706</v>
      </c>
      <c r="I511" s="26" t="str">
        <f t="shared" si="7"/>
        <v>Portugal</v>
      </c>
    </row>
    <row r="512" spans="1:9">
      <c r="A512" s="66">
        <v>992861039121536</v>
      </c>
      <c r="B512" s="26" t="s">
        <v>1385</v>
      </c>
      <c r="C512" s="26" t="s">
        <v>1386</v>
      </c>
      <c r="D512" s="26">
        <v>64980389</v>
      </c>
      <c r="E512" s="67">
        <v>45052</v>
      </c>
      <c r="F512" s="66">
        <v>351</v>
      </c>
      <c r="G512" s="94">
        <v>6948882263</v>
      </c>
      <c r="H512" s="69">
        <v>51635</v>
      </c>
      <c r="I512" s="26" t="str">
        <f t="shared" si="7"/>
        <v>Portugal</v>
      </c>
    </row>
    <row r="513" spans="1:9">
      <c r="A513" s="66">
        <v>992861039121537</v>
      </c>
      <c r="B513" s="26" t="s">
        <v>1387</v>
      </c>
      <c r="C513" s="26" t="s">
        <v>1388</v>
      </c>
      <c r="D513" s="26">
        <v>64980390</v>
      </c>
      <c r="E513" s="67">
        <v>45053</v>
      </c>
      <c r="F513" s="66">
        <v>351</v>
      </c>
      <c r="G513" s="94">
        <v>7720466995</v>
      </c>
      <c r="H513" s="69">
        <v>69106</v>
      </c>
      <c r="I513" s="26" t="str">
        <f t="shared" si="7"/>
        <v>Portugal</v>
      </c>
    </row>
    <row r="514" spans="1:9">
      <c r="A514" s="66">
        <v>992861039121538</v>
      </c>
      <c r="B514" s="26" t="s">
        <v>1389</v>
      </c>
      <c r="C514" s="26" t="s">
        <v>1390</v>
      </c>
      <c r="D514" s="26">
        <v>64980391</v>
      </c>
      <c r="E514" s="67">
        <v>45054</v>
      </c>
      <c r="F514" s="66">
        <v>351</v>
      </c>
      <c r="G514" s="94">
        <v>6520452455</v>
      </c>
      <c r="H514" s="69">
        <v>96570</v>
      </c>
      <c r="I514" s="26" t="str">
        <f t="shared" si="7"/>
        <v>Portugal</v>
      </c>
    </row>
    <row r="515" spans="1:9">
      <c r="A515" s="66">
        <v>992861039121539</v>
      </c>
      <c r="B515" s="26" t="s">
        <v>1391</v>
      </c>
      <c r="C515" s="26" t="s">
        <v>1392</v>
      </c>
      <c r="D515" s="26">
        <v>64980392</v>
      </c>
      <c r="E515" s="67">
        <v>45055</v>
      </c>
      <c r="F515" s="66">
        <v>351</v>
      </c>
      <c r="G515" s="94">
        <v>7415181326</v>
      </c>
      <c r="H515" s="69">
        <v>99194</v>
      </c>
      <c r="I515" s="26" t="str">
        <f t="shared" ref="I515:I578" si="8">IF(F515=91,"India",IF(F515=1,"United Staes",IF(F515=7,"Russia",IF(F515=34,"Spain",IF(F515=45,"Denmark",IF(F515=33,"France",IF(F515=61,"Australia",IF(F515=49,"German",IF(F515=81,"Japan",IF(F515=55,"Brazil",IF(F515=44,"United Kindom",IF(F515=27,"South Africa",IF(F515=380,"Ukrain",IF(F515=48,"Poland",IF(F515=82,"South Korea",IF(F515=966,"Saudi Arabia",IF(F515=41,"Swizerland",IF(F515=975,"Bhutan",IF(F515=974,"Qatar",IF(F515=977,"Nepal",IF(F515=972,"Isreal",IF(F515=93,"Afghanistan",IF(F515=351,"Portugal",IF(F515=54,"Argentina",IF(F515=374,"Armrnia",IF(F515=64,"New Zealand",IF(F515=62,"Indonesia",IF(F515=39,"Italy",IF(F515=46,"Sweden",IF(F515=58,"Venezuela",IF(F515=57,"Colombia",IF(F515=63,"Philippines",IF(F515=850,"North Korea",IF(F515=976,"Mongolia","Not exist in this Nation"))))))))))))))))))))))))))))))))))</f>
        <v>Portugal</v>
      </c>
    </row>
    <row r="516" spans="1:9">
      <c r="A516" s="66">
        <v>992861039121540</v>
      </c>
      <c r="B516" s="26" t="s">
        <v>1393</v>
      </c>
      <c r="C516" s="26" t="s">
        <v>1394</v>
      </c>
      <c r="D516" s="26">
        <v>64980393</v>
      </c>
      <c r="E516" s="67">
        <v>45056</v>
      </c>
      <c r="F516" s="66">
        <v>351</v>
      </c>
      <c r="G516" s="94">
        <v>7172956253</v>
      </c>
      <c r="H516" s="69">
        <v>90763</v>
      </c>
      <c r="I516" s="26" t="str">
        <f t="shared" si="8"/>
        <v>Portugal</v>
      </c>
    </row>
    <row r="517" spans="1:9">
      <c r="A517" s="66">
        <v>992861039121541</v>
      </c>
      <c r="B517" s="26" t="s">
        <v>1395</v>
      </c>
      <c r="C517" s="26" t="s">
        <v>1396</v>
      </c>
      <c r="D517" s="26">
        <v>64980394</v>
      </c>
      <c r="E517" s="67">
        <v>45057</v>
      </c>
      <c r="F517" s="66">
        <v>351</v>
      </c>
      <c r="G517" s="94">
        <v>7904928833</v>
      </c>
      <c r="H517" s="69">
        <v>84560</v>
      </c>
      <c r="I517" s="26" t="str">
        <f t="shared" si="8"/>
        <v>Portugal</v>
      </c>
    </row>
    <row r="518" spans="1:9">
      <c r="A518" s="66">
        <v>992861039121542</v>
      </c>
      <c r="B518" s="92" t="s">
        <v>1397</v>
      </c>
      <c r="C518" s="26" t="s">
        <v>1398</v>
      </c>
      <c r="D518" s="26">
        <v>64980395</v>
      </c>
      <c r="E518" s="67">
        <v>45058</v>
      </c>
      <c r="F518" s="66">
        <v>54</v>
      </c>
      <c r="G518" s="95">
        <v>9663378980</v>
      </c>
      <c r="H518" s="69">
        <v>57896</v>
      </c>
      <c r="I518" s="26" t="str">
        <f t="shared" si="8"/>
        <v>Argentina</v>
      </c>
    </row>
    <row r="519" spans="1:9">
      <c r="A519" s="66">
        <v>992861039121543</v>
      </c>
      <c r="B519" s="92" t="s">
        <v>1399</v>
      </c>
      <c r="C519" s="26" t="s">
        <v>1400</v>
      </c>
      <c r="D519" s="26">
        <v>64980396</v>
      </c>
      <c r="E519" s="67">
        <v>45059</v>
      </c>
      <c r="F519" s="66">
        <v>54</v>
      </c>
      <c r="G519" s="95">
        <v>6511745214</v>
      </c>
      <c r="H519" s="69">
        <v>8771</v>
      </c>
      <c r="I519" s="26" t="str">
        <f t="shared" si="8"/>
        <v>Argentina</v>
      </c>
    </row>
    <row r="520" spans="1:9">
      <c r="A520" s="66">
        <v>992861039121544</v>
      </c>
      <c r="B520" s="92" t="s">
        <v>1401</v>
      </c>
      <c r="C520" s="26" t="s">
        <v>1402</v>
      </c>
      <c r="D520" s="26">
        <v>64980397</v>
      </c>
      <c r="E520" s="67">
        <v>45060</v>
      </c>
      <c r="F520" s="66">
        <v>54</v>
      </c>
      <c r="G520" s="95">
        <v>9355880575</v>
      </c>
      <c r="H520" s="69">
        <v>50720</v>
      </c>
      <c r="I520" s="26" t="str">
        <f t="shared" si="8"/>
        <v>Argentina</v>
      </c>
    </row>
    <row r="521" spans="1:9">
      <c r="A521" s="66">
        <v>992861039121545</v>
      </c>
      <c r="B521" s="92" t="s">
        <v>1403</v>
      </c>
      <c r="C521" s="26" t="s">
        <v>1404</v>
      </c>
      <c r="D521" s="26">
        <v>64980398</v>
      </c>
      <c r="E521" s="67">
        <v>45061</v>
      </c>
      <c r="F521" s="66">
        <v>54</v>
      </c>
      <c r="G521" s="95">
        <v>8808023152</v>
      </c>
      <c r="H521" s="69">
        <v>76186</v>
      </c>
      <c r="I521" s="26" t="str">
        <f t="shared" si="8"/>
        <v>Argentina</v>
      </c>
    </row>
    <row r="522" spans="1:9">
      <c r="A522" s="66">
        <v>992861039121546</v>
      </c>
      <c r="B522" s="92" t="s">
        <v>1405</v>
      </c>
      <c r="C522" s="26" t="s">
        <v>1406</v>
      </c>
      <c r="D522" s="26">
        <v>64980399</v>
      </c>
      <c r="E522" s="67">
        <v>45062</v>
      </c>
      <c r="F522" s="66">
        <v>54</v>
      </c>
      <c r="G522" s="95">
        <v>7784645403</v>
      </c>
      <c r="H522" s="69">
        <v>58079</v>
      </c>
      <c r="I522" s="26" t="str">
        <f t="shared" si="8"/>
        <v>Argentina</v>
      </c>
    </row>
    <row r="523" spans="1:9">
      <c r="A523" s="66">
        <v>992861039121547</v>
      </c>
      <c r="B523" s="92" t="s">
        <v>1407</v>
      </c>
      <c r="C523" s="26" t="s">
        <v>1408</v>
      </c>
      <c r="D523" s="26">
        <v>64980400</v>
      </c>
      <c r="E523" s="67">
        <v>45063</v>
      </c>
      <c r="F523" s="66">
        <v>54</v>
      </c>
      <c r="G523" s="95">
        <v>9108411185</v>
      </c>
      <c r="H523" s="69">
        <v>48543</v>
      </c>
      <c r="I523" s="26" t="str">
        <f t="shared" si="8"/>
        <v>Argentina</v>
      </c>
    </row>
    <row r="524" spans="1:9">
      <c r="A524" s="66">
        <v>992861039121548</v>
      </c>
      <c r="B524" s="92" t="s">
        <v>1409</v>
      </c>
      <c r="C524" s="26" t="s">
        <v>1410</v>
      </c>
      <c r="D524" s="26">
        <v>64980401</v>
      </c>
      <c r="E524" s="67">
        <v>45064</v>
      </c>
      <c r="F524" s="66">
        <v>54</v>
      </c>
      <c r="G524" s="95">
        <v>5341752179</v>
      </c>
      <c r="H524" s="69">
        <v>33845</v>
      </c>
      <c r="I524" s="26" t="str">
        <f t="shared" si="8"/>
        <v>Argentina</v>
      </c>
    </row>
    <row r="525" spans="1:9">
      <c r="A525" s="66">
        <v>992861039121549</v>
      </c>
      <c r="B525" s="92" t="s">
        <v>1411</v>
      </c>
      <c r="C525" s="26" t="s">
        <v>1412</v>
      </c>
      <c r="D525" s="26">
        <v>64980402</v>
      </c>
      <c r="E525" s="67">
        <v>45065</v>
      </c>
      <c r="F525" s="66">
        <v>54</v>
      </c>
      <c r="G525" s="95">
        <v>9493041822</v>
      </c>
      <c r="H525" s="69">
        <v>81073</v>
      </c>
      <c r="I525" s="26" t="str">
        <f t="shared" si="8"/>
        <v>Argentina</v>
      </c>
    </row>
    <row r="526" spans="1:9">
      <c r="A526" s="66">
        <v>992861039121550</v>
      </c>
      <c r="B526" s="92" t="s">
        <v>1413</v>
      </c>
      <c r="C526" s="26" t="s">
        <v>1414</v>
      </c>
      <c r="D526" s="26">
        <v>64980403</v>
      </c>
      <c r="E526" s="67">
        <v>45066</v>
      </c>
      <c r="F526" s="66">
        <v>54</v>
      </c>
      <c r="G526" s="95">
        <v>6104400902</v>
      </c>
      <c r="H526" s="69">
        <v>92274</v>
      </c>
      <c r="I526" s="26" t="str">
        <f t="shared" si="8"/>
        <v>Argentina</v>
      </c>
    </row>
    <row r="527" spans="1:9">
      <c r="A527" s="66">
        <v>992861039121551</v>
      </c>
      <c r="B527" s="92" t="s">
        <v>1415</v>
      </c>
      <c r="C527" s="26" t="s">
        <v>1416</v>
      </c>
      <c r="D527" s="26">
        <v>64980404</v>
      </c>
      <c r="E527" s="67">
        <v>45067</v>
      </c>
      <c r="F527" s="66">
        <v>54</v>
      </c>
      <c r="G527" s="95">
        <v>4981666697</v>
      </c>
      <c r="H527" s="69">
        <v>59100</v>
      </c>
      <c r="I527" s="26" t="str">
        <f t="shared" si="8"/>
        <v>Argentina</v>
      </c>
    </row>
    <row r="528" spans="1:9">
      <c r="A528" s="66">
        <v>992861039121552</v>
      </c>
      <c r="B528" s="92" t="s">
        <v>1417</v>
      </c>
      <c r="C528" s="26" t="s">
        <v>1418</v>
      </c>
      <c r="D528" s="26">
        <v>64980405</v>
      </c>
      <c r="E528" s="67">
        <v>45068</v>
      </c>
      <c r="F528" s="66">
        <v>374</v>
      </c>
      <c r="G528" s="96">
        <v>5866929249</v>
      </c>
      <c r="H528" s="69">
        <v>56342</v>
      </c>
      <c r="I528" s="26" t="str">
        <f t="shared" si="8"/>
        <v>Armrnia</v>
      </c>
    </row>
    <row r="529" spans="1:9">
      <c r="A529" s="66">
        <v>992861039121553</v>
      </c>
      <c r="B529" s="92" t="s">
        <v>1419</v>
      </c>
      <c r="C529" s="26" t="s">
        <v>1420</v>
      </c>
      <c r="D529" s="26">
        <v>64980406</v>
      </c>
      <c r="E529" s="67">
        <v>45069</v>
      </c>
      <c r="F529" s="66">
        <v>374</v>
      </c>
      <c r="G529" s="96">
        <v>5747113075</v>
      </c>
      <c r="H529" s="69">
        <v>7376</v>
      </c>
      <c r="I529" s="26" t="str">
        <f t="shared" si="8"/>
        <v>Armrnia</v>
      </c>
    </row>
    <row r="530" spans="1:9">
      <c r="A530" s="66">
        <v>992861039121554</v>
      </c>
      <c r="B530" s="92" t="s">
        <v>1421</v>
      </c>
      <c r="C530" s="26" t="s">
        <v>1422</v>
      </c>
      <c r="D530" s="26">
        <v>64980407</v>
      </c>
      <c r="E530" s="67">
        <v>45070</v>
      </c>
      <c r="F530" s="66">
        <v>374</v>
      </c>
      <c r="G530" s="96">
        <v>7405627376</v>
      </c>
      <c r="H530" s="69">
        <v>68589</v>
      </c>
      <c r="I530" s="26" t="str">
        <f t="shared" si="8"/>
        <v>Armrnia</v>
      </c>
    </row>
    <row r="531" spans="1:9">
      <c r="A531" s="66">
        <v>992861039121555</v>
      </c>
      <c r="B531" s="92" t="s">
        <v>1423</v>
      </c>
      <c r="C531" s="26" t="s">
        <v>1424</v>
      </c>
      <c r="D531" s="26">
        <v>64980408</v>
      </c>
      <c r="E531" s="67">
        <v>45071</v>
      </c>
      <c r="F531" s="66">
        <v>374</v>
      </c>
      <c r="G531" s="96">
        <v>9272731604</v>
      </c>
      <c r="H531" s="69">
        <v>24904</v>
      </c>
      <c r="I531" s="26" t="str">
        <f t="shared" si="8"/>
        <v>Armrnia</v>
      </c>
    </row>
    <row r="532" spans="1:9">
      <c r="A532" s="66">
        <v>992861039121556</v>
      </c>
      <c r="B532" s="92" t="s">
        <v>1425</v>
      </c>
      <c r="C532" s="26" t="s">
        <v>1426</v>
      </c>
      <c r="D532" s="26">
        <v>64980409</v>
      </c>
      <c r="E532" s="67">
        <v>45072</v>
      </c>
      <c r="F532" s="66">
        <v>374</v>
      </c>
      <c r="G532" s="96">
        <v>9634903156</v>
      </c>
      <c r="H532" s="69">
        <v>46064</v>
      </c>
      <c r="I532" s="26" t="str">
        <f t="shared" si="8"/>
        <v>Armrnia</v>
      </c>
    </row>
    <row r="533" spans="1:9">
      <c r="A533" s="66">
        <v>992861039121557</v>
      </c>
      <c r="B533" s="92" t="s">
        <v>1427</v>
      </c>
      <c r="C533" s="26" t="s">
        <v>1428</v>
      </c>
      <c r="D533" s="26">
        <v>64980410</v>
      </c>
      <c r="E533" s="67">
        <v>45073</v>
      </c>
      <c r="F533" s="66">
        <v>374</v>
      </c>
      <c r="G533" s="96">
        <v>7160777605</v>
      </c>
      <c r="H533" s="69">
        <v>15196</v>
      </c>
      <c r="I533" s="26" t="str">
        <f t="shared" si="8"/>
        <v>Armrnia</v>
      </c>
    </row>
    <row r="534" spans="1:9">
      <c r="A534" s="66">
        <v>992861039121558</v>
      </c>
      <c r="B534" s="92" t="s">
        <v>1429</v>
      </c>
      <c r="C534" s="26" t="s">
        <v>1430</v>
      </c>
      <c r="D534" s="26">
        <v>64980411</v>
      </c>
      <c r="E534" s="67">
        <v>45074</v>
      </c>
      <c r="F534" s="66">
        <v>374</v>
      </c>
      <c r="G534" s="96">
        <v>7371453113</v>
      </c>
      <c r="H534" s="69">
        <v>22141</v>
      </c>
      <c r="I534" s="26" t="str">
        <f t="shared" si="8"/>
        <v>Armrnia</v>
      </c>
    </row>
    <row r="535" spans="1:9">
      <c r="A535" s="66">
        <v>992861039121559</v>
      </c>
      <c r="B535" s="92" t="s">
        <v>1431</v>
      </c>
      <c r="C535" s="26" t="s">
        <v>1432</v>
      </c>
      <c r="D535" s="26">
        <v>64980412</v>
      </c>
      <c r="E535" s="67">
        <v>45075</v>
      </c>
      <c r="F535" s="66">
        <v>374</v>
      </c>
      <c r="G535" s="96">
        <v>8256605717</v>
      </c>
      <c r="H535" s="69">
        <v>41059</v>
      </c>
      <c r="I535" s="26" t="str">
        <f t="shared" si="8"/>
        <v>Armrnia</v>
      </c>
    </row>
    <row r="536" spans="1:9">
      <c r="A536" s="66">
        <v>992861039121560</v>
      </c>
      <c r="B536" s="92" t="s">
        <v>1433</v>
      </c>
      <c r="C536" s="26" t="s">
        <v>1434</v>
      </c>
      <c r="D536" s="26">
        <v>64980413</v>
      </c>
      <c r="E536" s="67">
        <v>45076</v>
      </c>
      <c r="F536" s="66">
        <v>374</v>
      </c>
      <c r="G536" s="96">
        <v>8767946973</v>
      </c>
      <c r="H536" s="69">
        <v>49995</v>
      </c>
      <c r="I536" s="26" t="str">
        <f t="shared" si="8"/>
        <v>Armrnia</v>
      </c>
    </row>
    <row r="537" spans="1:9">
      <c r="A537" s="66">
        <v>992861039121561</v>
      </c>
      <c r="B537" s="92" t="s">
        <v>1435</v>
      </c>
      <c r="C537" s="26" t="s">
        <v>1436</v>
      </c>
      <c r="D537" s="26">
        <v>64980414</v>
      </c>
      <c r="E537" s="67">
        <v>45077</v>
      </c>
      <c r="F537" s="66">
        <v>374</v>
      </c>
      <c r="G537" s="96">
        <v>4651454877</v>
      </c>
      <c r="H537" s="69">
        <v>11330</v>
      </c>
      <c r="I537" s="26" t="str">
        <f t="shared" si="8"/>
        <v>Armrnia</v>
      </c>
    </row>
    <row r="538" spans="1:9">
      <c r="A538" s="66">
        <v>992861039121562</v>
      </c>
      <c r="B538" s="92" t="s">
        <v>1437</v>
      </c>
      <c r="C538" s="26" t="s">
        <v>1438</v>
      </c>
      <c r="D538" s="26">
        <v>64980415</v>
      </c>
      <c r="E538" s="67">
        <v>45078</v>
      </c>
      <c r="F538" s="66">
        <v>64</v>
      </c>
      <c r="G538" s="97">
        <v>5039095657</v>
      </c>
      <c r="H538" s="69">
        <v>8173</v>
      </c>
      <c r="I538" s="26" t="str">
        <f t="shared" si="8"/>
        <v>New Zealand</v>
      </c>
    </row>
    <row r="539" spans="1:9">
      <c r="A539" s="66">
        <v>992861039121563</v>
      </c>
      <c r="B539" s="92" t="s">
        <v>1439</v>
      </c>
      <c r="C539" s="26" t="s">
        <v>1440</v>
      </c>
      <c r="D539" s="26">
        <v>64980416</v>
      </c>
      <c r="E539" s="67">
        <v>45079</v>
      </c>
      <c r="F539" s="66">
        <v>64</v>
      </c>
      <c r="G539" s="97">
        <v>6431224808</v>
      </c>
      <c r="H539" s="69">
        <v>63076</v>
      </c>
      <c r="I539" s="26" t="str">
        <f t="shared" si="8"/>
        <v>New Zealand</v>
      </c>
    </row>
    <row r="540" spans="1:9">
      <c r="A540" s="66">
        <v>992861039121564</v>
      </c>
      <c r="B540" s="92" t="s">
        <v>1441</v>
      </c>
      <c r="C540" s="26" t="s">
        <v>1442</v>
      </c>
      <c r="D540" s="26">
        <v>64980417</v>
      </c>
      <c r="E540" s="67">
        <v>45080</v>
      </c>
      <c r="F540" s="66">
        <v>64</v>
      </c>
      <c r="G540" s="97">
        <v>6820669346</v>
      </c>
      <c r="H540" s="69">
        <v>67671</v>
      </c>
      <c r="I540" s="26" t="str">
        <f t="shared" si="8"/>
        <v>New Zealand</v>
      </c>
    </row>
    <row r="541" spans="1:9">
      <c r="A541" s="66">
        <v>992861039121565</v>
      </c>
      <c r="B541" s="92" t="s">
        <v>996</v>
      </c>
      <c r="C541" s="26" t="s">
        <v>1443</v>
      </c>
      <c r="D541" s="26">
        <v>64980418</v>
      </c>
      <c r="E541" s="67">
        <v>45081</v>
      </c>
      <c r="F541" s="66">
        <v>64</v>
      </c>
      <c r="G541" s="97">
        <v>5186542218</v>
      </c>
      <c r="H541" s="69">
        <v>14565</v>
      </c>
      <c r="I541" s="26" t="str">
        <f t="shared" si="8"/>
        <v>New Zealand</v>
      </c>
    </row>
    <row r="542" spans="1:9">
      <c r="A542" s="66">
        <v>992861039121566</v>
      </c>
      <c r="B542" s="92" t="s">
        <v>1106</v>
      </c>
      <c r="C542" s="26" t="s">
        <v>1444</v>
      </c>
      <c r="D542" s="26">
        <v>64980419</v>
      </c>
      <c r="E542" s="67">
        <v>45082</v>
      </c>
      <c r="F542" s="66">
        <v>64</v>
      </c>
      <c r="G542" s="97">
        <v>7422055504</v>
      </c>
      <c r="H542" s="69">
        <v>96511</v>
      </c>
      <c r="I542" s="26" t="str">
        <f t="shared" si="8"/>
        <v>New Zealand</v>
      </c>
    </row>
    <row r="543" spans="1:9">
      <c r="A543" s="66">
        <v>992861039121567</v>
      </c>
      <c r="B543" s="92" t="s">
        <v>1445</v>
      </c>
      <c r="C543" s="26" t="s">
        <v>1446</v>
      </c>
      <c r="D543" s="26">
        <v>64980420</v>
      </c>
      <c r="E543" s="67">
        <v>45083</v>
      </c>
      <c r="F543" s="66">
        <v>64</v>
      </c>
      <c r="G543" s="97">
        <v>6278339189</v>
      </c>
      <c r="H543" s="69">
        <v>16258</v>
      </c>
      <c r="I543" s="26" t="str">
        <f t="shared" si="8"/>
        <v>New Zealand</v>
      </c>
    </row>
    <row r="544" spans="1:9">
      <c r="A544" s="66">
        <v>992861039121568</v>
      </c>
      <c r="B544" s="92" t="s">
        <v>1447</v>
      </c>
      <c r="C544" s="26" t="s">
        <v>1448</v>
      </c>
      <c r="D544" s="26">
        <v>64980421</v>
      </c>
      <c r="E544" s="67">
        <v>45084</v>
      </c>
      <c r="F544" s="66">
        <v>64</v>
      </c>
      <c r="G544" s="97">
        <v>9196377484</v>
      </c>
      <c r="H544" s="69">
        <v>62391</v>
      </c>
      <c r="I544" s="26" t="str">
        <f t="shared" si="8"/>
        <v>New Zealand</v>
      </c>
    </row>
    <row r="545" spans="1:9">
      <c r="A545" s="66">
        <v>992861039121569</v>
      </c>
      <c r="B545" s="92" t="s">
        <v>1449</v>
      </c>
      <c r="C545" s="26" t="s">
        <v>1450</v>
      </c>
      <c r="D545" s="26">
        <v>64980422</v>
      </c>
      <c r="E545" s="67">
        <v>45085</v>
      </c>
      <c r="F545" s="66">
        <v>64</v>
      </c>
      <c r="G545" s="97">
        <v>7469675571</v>
      </c>
      <c r="H545" s="69">
        <v>16257</v>
      </c>
      <c r="I545" s="26" t="str">
        <f t="shared" si="8"/>
        <v>New Zealand</v>
      </c>
    </row>
    <row r="546" spans="1:9">
      <c r="A546" s="66">
        <v>992861039121570</v>
      </c>
      <c r="B546" s="92" t="s">
        <v>1451</v>
      </c>
      <c r="C546" s="26" t="s">
        <v>1452</v>
      </c>
      <c r="D546" s="26">
        <v>64980423</v>
      </c>
      <c r="E546" s="67">
        <v>45086</v>
      </c>
      <c r="F546" s="66">
        <v>64</v>
      </c>
      <c r="G546" s="97">
        <v>6454926688</v>
      </c>
      <c r="H546" s="69">
        <v>13549</v>
      </c>
      <c r="I546" s="26" t="str">
        <f t="shared" si="8"/>
        <v>New Zealand</v>
      </c>
    </row>
    <row r="547" spans="1:9">
      <c r="A547" s="66">
        <v>992861039121571</v>
      </c>
      <c r="B547" s="92" t="s">
        <v>1453</v>
      </c>
      <c r="C547" s="26" t="s">
        <v>1454</v>
      </c>
      <c r="D547" s="26">
        <v>64980424</v>
      </c>
      <c r="E547" s="67">
        <v>45087</v>
      </c>
      <c r="F547" s="66">
        <v>64</v>
      </c>
      <c r="G547" s="97">
        <v>8755440682</v>
      </c>
      <c r="H547" s="69">
        <v>50399</v>
      </c>
      <c r="I547" s="26" t="str">
        <f t="shared" si="8"/>
        <v>New Zealand</v>
      </c>
    </row>
    <row r="548" spans="1:9">
      <c r="A548" s="66">
        <v>992861039121572</v>
      </c>
      <c r="B548" s="92" t="s">
        <v>1455</v>
      </c>
      <c r="C548" s="26" t="s">
        <v>1456</v>
      </c>
      <c r="D548" s="26">
        <v>64980425</v>
      </c>
      <c r="E548" s="67">
        <v>45088</v>
      </c>
      <c r="F548" s="66">
        <v>62</v>
      </c>
      <c r="G548" s="98">
        <v>8837216574</v>
      </c>
      <c r="H548" s="69">
        <v>95309</v>
      </c>
      <c r="I548" s="26" t="str">
        <f t="shared" si="8"/>
        <v>Indonesia</v>
      </c>
    </row>
    <row r="549" spans="1:9">
      <c r="A549" s="66">
        <v>992861039121573</v>
      </c>
      <c r="B549" s="92" t="s">
        <v>1457</v>
      </c>
      <c r="C549" s="26" t="s">
        <v>1458</v>
      </c>
      <c r="D549" s="26">
        <v>64980426</v>
      </c>
      <c r="E549" s="67">
        <v>45089</v>
      </c>
      <c r="F549" s="66">
        <v>62</v>
      </c>
      <c r="G549" s="98">
        <v>5384653049</v>
      </c>
      <c r="H549" s="69">
        <v>17291</v>
      </c>
      <c r="I549" s="26" t="str">
        <f t="shared" si="8"/>
        <v>Indonesia</v>
      </c>
    </row>
    <row r="550" spans="1:9">
      <c r="A550" s="66">
        <v>992861039121574</v>
      </c>
      <c r="B550" s="92" t="s">
        <v>1459</v>
      </c>
      <c r="C550" s="26" t="s">
        <v>1460</v>
      </c>
      <c r="D550" s="26">
        <v>64980427</v>
      </c>
      <c r="E550" s="67">
        <v>45090</v>
      </c>
      <c r="F550" s="66">
        <v>62</v>
      </c>
      <c r="G550" s="98">
        <v>5355132651</v>
      </c>
      <c r="H550" s="69">
        <v>36100</v>
      </c>
      <c r="I550" s="26" t="str">
        <f t="shared" si="8"/>
        <v>Indonesia</v>
      </c>
    </row>
    <row r="551" spans="1:9">
      <c r="A551" s="66">
        <v>992861039121575</v>
      </c>
      <c r="B551" s="92" t="s">
        <v>1461</v>
      </c>
      <c r="C551" s="26" t="s">
        <v>1462</v>
      </c>
      <c r="D551" s="26">
        <v>64980428</v>
      </c>
      <c r="E551" s="67">
        <v>45091</v>
      </c>
      <c r="F551" s="66">
        <v>62</v>
      </c>
      <c r="G551" s="98">
        <v>9330581166</v>
      </c>
      <c r="H551" s="69">
        <v>35650</v>
      </c>
      <c r="I551" s="26" t="str">
        <f t="shared" si="8"/>
        <v>Indonesia</v>
      </c>
    </row>
    <row r="552" spans="1:9">
      <c r="A552" s="66">
        <v>992861039121576</v>
      </c>
      <c r="B552" s="92" t="s">
        <v>1463</v>
      </c>
      <c r="C552" s="26" t="s">
        <v>1464</v>
      </c>
      <c r="D552" s="26">
        <v>64980429</v>
      </c>
      <c r="E552" s="67">
        <v>45092</v>
      </c>
      <c r="F552" s="66">
        <v>62</v>
      </c>
      <c r="G552" s="98">
        <v>6840069484</v>
      </c>
      <c r="H552" s="69">
        <v>37003</v>
      </c>
      <c r="I552" s="26" t="str">
        <f t="shared" si="8"/>
        <v>Indonesia</v>
      </c>
    </row>
    <row r="553" spans="1:9">
      <c r="A553" s="66">
        <v>992861039121577</v>
      </c>
      <c r="B553" s="92" t="s">
        <v>1465</v>
      </c>
      <c r="C553" s="26" t="s">
        <v>1466</v>
      </c>
      <c r="D553" s="26">
        <v>64980430</v>
      </c>
      <c r="E553" s="67">
        <v>45093</v>
      </c>
      <c r="F553" s="66">
        <v>62</v>
      </c>
      <c r="G553" s="98">
        <v>4527682785</v>
      </c>
      <c r="H553" s="69">
        <v>66616</v>
      </c>
      <c r="I553" s="26" t="str">
        <f t="shared" si="8"/>
        <v>Indonesia</v>
      </c>
    </row>
    <row r="554" spans="1:9">
      <c r="A554" s="66">
        <v>992861039121578</v>
      </c>
      <c r="B554" s="92" t="s">
        <v>1467</v>
      </c>
      <c r="C554" s="26" t="s">
        <v>1468</v>
      </c>
      <c r="D554" s="26">
        <v>64980431</v>
      </c>
      <c r="E554" s="67">
        <v>45094</v>
      </c>
      <c r="F554" s="66">
        <v>62</v>
      </c>
      <c r="G554" s="98">
        <v>9965882229</v>
      </c>
      <c r="H554" s="69">
        <v>68808</v>
      </c>
      <c r="I554" s="26" t="str">
        <f t="shared" si="8"/>
        <v>Indonesia</v>
      </c>
    </row>
    <row r="555" spans="1:9">
      <c r="A555" s="66">
        <v>992861039121579</v>
      </c>
      <c r="B555" s="92" t="s">
        <v>1469</v>
      </c>
      <c r="C555" s="26" t="s">
        <v>1470</v>
      </c>
      <c r="D555" s="26">
        <v>64980432</v>
      </c>
      <c r="E555" s="67">
        <v>45095</v>
      </c>
      <c r="F555" s="66">
        <v>62</v>
      </c>
      <c r="G555" s="98">
        <v>7023486972</v>
      </c>
      <c r="H555" s="69">
        <v>65497</v>
      </c>
      <c r="I555" s="26" t="str">
        <f t="shared" si="8"/>
        <v>Indonesia</v>
      </c>
    </row>
    <row r="556" spans="1:9">
      <c r="A556" s="66">
        <v>992861039121580</v>
      </c>
      <c r="B556" s="92" t="s">
        <v>1471</v>
      </c>
      <c r="C556" s="26" t="s">
        <v>1472</v>
      </c>
      <c r="D556" s="26">
        <v>64980433</v>
      </c>
      <c r="E556" s="67">
        <v>45096</v>
      </c>
      <c r="F556" s="66">
        <v>62</v>
      </c>
      <c r="G556" s="98">
        <v>6846416022</v>
      </c>
      <c r="H556" s="69">
        <v>53096</v>
      </c>
      <c r="I556" s="26" t="str">
        <f t="shared" si="8"/>
        <v>Indonesia</v>
      </c>
    </row>
    <row r="557" spans="1:9">
      <c r="A557" s="66">
        <v>992861039121581</v>
      </c>
      <c r="B557" s="92" t="s">
        <v>1473</v>
      </c>
      <c r="C557" s="26" t="s">
        <v>1474</v>
      </c>
      <c r="D557" s="26">
        <v>64980434</v>
      </c>
      <c r="E557" s="67">
        <v>45097</v>
      </c>
      <c r="F557" s="66">
        <v>62</v>
      </c>
      <c r="G557" s="98">
        <v>7230682604</v>
      </c>
      <c r="H557" s="69">
        <v>8461</v>
      </c>
      <c r="I557" s="26" t="str">
        <f t="shared" si="8"/>
        <v>Indonesia</v>
      </c>
    </row>
    <row r="558" spans="1:9">
      <c r="A558" s="66">
        <v>992861039121582</v>
      </c>
      <c r="B558" s="92" t="s">
        <v>1475</v>
      </c>
      <c r="C558" s="26" t="s">
        <v>1476</v>
      </c>
      <c r="D558" s="26">
        <v>64980435</v>
      </c>
      <c r="E558" s="67">
        <v>45098</v>
      </c>
      <c r="F558" s="66">
        <v>39</v>
      </c>
      <c r="G558" s="99">
        <v>5792144545</v>
      </c>
      <c r="H558" s="69">
        <v>13718</v>
      </c>
      <c r="I558" s="26" t="str">
        <f t="shared" si="8"/>
        <v>Italy</v>
      </c>
    </row>
    <row r="559" spans="1:9">
      <c r="A559" s="66">
        <v>992861039121583</v>
      </c>
      <c r="B559" s="92" t="s">
        <v>1477</v>
      </c>
      <c r="C559" s="26" t="s">
        <v>1478</v>
      </c>
      <c r="D559" s="26">
        <v>64980436</v>
      </c>
      <c r="E559" s="67">
        <v>45099</v>
      </c>
      <c r="F559" s="66">
        <v>39</v>
      </c>
      <c r="G559" s="99">
        <v>6169681428</v>
      </c>
      <c r="H559" s="69">
        <v>51334</v>
      </c>
      <c r="I559" s="26" t="str">
        <f t="shared" si="8"/>
        <v>Italy</v>
      </c>
    </row>
    <row r="560" spans="1:9">
      <c r="A560" s="66">
        <v>992861039121584</v>
      </c>
      <c r="B560" s="92" t="s">
        <v>1479</v>
      </c>
      <c r="C560" s="26" t="s">
        <v>1480</v>
      </c>
      <c r="D560" s="26">
        <v>64980437</v>
      </c>
      <c r="E560" s="67">
        <v>45100</v>
      </c>
      <c r="F560" s="66">
        <v>39</v>
      </c>
      <c r="G560" s="99">
        <v>7786593332</v>
      </c>
      <c r="H560" s="69">
        <v>82800</v>
      </c>
      <c r="I560" s="26" t="str">
        <f t="shared" si="8"/>
        <v>Italy</v>
      </c>
    </row>
    <row r="561" spans="1:9">
      <c r="A561" s="66">
        <v>992861039121585</v>
      </c>
      <c r="B561" s="92" t="s">
        <v>1481</v>
      </c>
      <c r="C561" s="26" t="s">
        <v>1482</v>
      </c>
      <c r="D561" s="26">
        <v>64980438</v>
      </c>
      <c r="E561" s="67">
        <v>45101</v>
      </c>
      <c r="F561" s="66">
        <v>39</v>
      </c>
      <c r="G561" s="99">
        <v>6945325482</v>
      </c>
      <c r="H561" s="69">
        <v>14391</v>
      </c>
      <c r="I561" s="26" t="str">
        <f t="shared" si="8"/>
        <v>Italy</v>
      </c>
    </row>
    <row r="562" spans="1:9">
      <c r="A562" s="66">
        <v>992861039121586</v>
      </c>
      <c r="B562" s="92" t="s">
        <v>1483</v>
      </c>
      <c r="C562" s="26" t="s">
        <v>1484</v>
      </c>
      <c r="D562" s="26">
        <v>64980439</v>
      </c>
      <c r="E562" s="67">
        <v>45102</v>
      </c>
      <c r="F562" s="66">
        <v>39</v>
      </c>
      <c r="G562" s="99">
        <v>9011321357</v>
      </c>
      <c r="H562" s="69">
        <v>30275</v>
      </c>
      <c r="I562" s="26" t="str">
        <f t="shared" si="8"/>
        <v>Italy</v>
      </c>
    </row>
    <row r="563" spans="1:9">
      <c r="A563" s="66">
        <v>992861039121587</v>
      </c>
      <c r="B563" s="92" t="s">
        <v>1485</v>
      </c>
      <c r="C563" s="26" t="s">
        <v>1486</v>
      </c>
      <c r="D563" s="26">
        <v>64980440</v>
      </c>
      <c r="E563" s="67">
        <v>45103</v>
      </c>
      <c r="F563" s="66">
        <v>39</v>
      </c>
      <c r="G563" s="99">
        <v>5127953660</v>
      </c>
      <c r="H563" s="69">
        <v>19255</v>
      </c>
      <c r="I563" s="26" t="str">
        <f t="shared" si="8"/>
        <v>Italy</v>
      </c>
    </row>
    <row r="564" spans="1:9">
      <c r="A564" s="66">
        <v>992861039121588</v>
      </c>
      <c r="B564" s="92" t="s">
        <v>1487</v>
      </c>
      <c r="C564" s="26" t="s">
        <v>1488</v>
      </c>
      <c r="D564" s="26">
        <v>64980441</v>
      </c>
      <c r="E564" s="67">
        <v>45104</v>
      </c>
      <c r="F564" s="66">
        <v>39</v>
      </c>
      <c r="G564" s="99">
        <v>8092839658</v>
      </c>
      <c r="H564" s="69">
        <v>56304</v>
      </c>
      <c r="I564" s="26" t="str">
        <f t="shared" si="8"/>
        <v>Italy</v>
      </c>
    </row>
    <row r="565" spans="1:9">
      <c r="A565" s="66">
        <v>992861039121589</v>
      </c>
      <c r="B565" s="92" t="s">
        <v>1489</v>
      </c>
      <c r="C565" s="26" t="s">
        <v>1490</v>
      </c>
      <c r="D565" s="26">
        <v>64980442</v>
      </c>
      <c r="E565" s="67">
        <v>45105</v>
      </c>
      <c r="F565" s="66">
        <v>39</v>
      </c>
      <c r="G565" s="99">
        <v>4930043892</v>
      </c>
      <c r="H565" s="69">
        <v>83283</v>
      </c>
      <c r="I565" s="26" t="str">
        <f t="shared" si="8"/>
        <v>Italy</v>
      </c>
    </row>
    <row r="566" spans="1:9">
      <c r="A566" s="66">
        <v>992861039121590</v>
      </c>
      <c r="B566" s="92" t="s">
        <v>1491</v>
      </c>
      <c r="C566" s="26" t="s">
        <v>1492</v>
      </c>
      <c r="D566" s="26">
        <v>64980443</v>
      </c>
      <c r="E566" s="67">
        <v>45106</v>
      </c>
      <c r="F566" s="66">
        <v>39</v>
      </c>
      <c r="G566" s="99">
        <v>9482158252</v>
      </c>
      <c r="H566" s="69">
        <v>95732</v>
      </c>
      <c r="I566" s="26" t="str">
        <f t="shared" si="8"/>
        <v>Italy</v>
      </c>
    </row>
    <row r="567" spans="1:9">
      <c r="A567" s="66">
        <v>992861039121591</v>
      </c>
      <c r="B567" s="92" t="s">
        <v>1493</v>
      </c>
      <c r="C567" s="26" t="s">
        <v>1494</v>
      </c>
      <c r="D567" s="26">
        <v>64980444</v>
      </c>
      <c r="E567" s="67">
        <v>45107</v>
      </c>
      <c r="F567" s="66">
        <v>39</v>
      </c>
      <c r="G567" s="99">
        <v>7073449832</v>
      </c>
      <c r="H567" s="69">
        <v>54199</v>
      </c>
      <c r="I567" s="26" t="str">
        <f t="shared" si="8"/>
        <v>Italy</v>
      </c>
    </row>
    <row r="568" spans="1:9">
      <c r="A568" s="66">
        <v>992861039121592</v>
      </c>
      <c r="B568" s="92" t="s">
        <v>1495</v>
      </c>
      <c r="C568" s="26" t="s">
        <v>1496</v>
      </c>
      <c r="D568" s="26">
        <v>64980445</v>
      </c>
      <c r="E568" s="67">
        <v>45108</v>
      </c>
      <c r="F568" s="66">
        <v>46</v>
      </c>
      <c r="G568" s="100">
        <v>6966913506</v>
      </c>
      <c r="H568" s="69">
        <v>82560</v>
      </c>
      <c r="I568" s="26" t="str">
        <f t="shared" si="8"/>
        <v>Sweden</v>
      </c>
    </row>
    <row r="569" spans="1:9">
      <c r="A569" s="66">
        <v>992861039121593</v>
      </c>
      <c r="B569" s="92" t="s">
        <v>1497</v>
      </c>
      <c r="C569" s="26" t="s">
        <v>1498</v>
      </c>
      <c r="D569" s="26">
        <v>64980446</v>
      </c>
      <c r="E569" s="67">
        <v>45109</v>
      </c>
      <c r="F569" s="66">
        <v>46</v>
      </c>
      <c r="G569" s="100">
        <v>5553497383</v>
      </c>
      <c r="H569" s="69">
        <v>60344</v>
      </c>
      <c r="I569" s="26" t="str">
        <f t="shared" si="8"/>
        <v>Sweden</v>
      </c>
    </row>
    <row r="570" spans="1:9">
      <c r="A570" s="66">
        <v>992861039121594</v>
      </c>
      <c r="B570" s="92" t="s">
        <v>1499</v>
      </c>
      <c r="C570" s="26" t="s">
        <v>1500</v>
      </c>
      <c r="D570" s="26">
        <v>64980447</v>
      </c>
      <c r="E570" s="67">
        <v>45110</v>
      </c>
      <c r="F570" s="66">
        <v>46</v>
      </c>
      <c r="G570" s="100">
        <v>9732601626</v>
      </c>
      <c r="H570" s="69">
        <v>97875</v>
      </c>
      <c r="I570" s="26" t="str">
        <f t="shared" si="8"/>
        <v>Sweden</v>
      </c>
    </row>
    <row r="571" spans="1:9">
      <c r="A571" s="66">
        <v>992861039121595</v>
      </c>
      <c r="B571" s="92" t="s">
        <v>1501</v>
      </c>
      <c r="C571" s="26" t="s">
        <v>1502</v>
      </c>
      <c r="D571" s="26">
        <v>64980448</v>
      </c>
      <c r="E571" s="67">
        <v>45111</v>
      </c>
      <c r="F571" s="66">
        <v>46</v>
      </c>
      <c r="G571" s="100">
        <v>6749551750</v>
      </c>
      <c r="H571" s="69">
        <v>17005</v>
      </c>
      <c r="I571" s="26" t="str">
        <f t="shared" si="8"/>
        <v>Sweden</v>
      </c>
    </row>
    <row r="572" spans="1:9">
      <c r="A572" s="66">
        <v>992861039121596</v>
      </c>
      <c r="B572" s="92" t="s">
        <v>1503</v>
      </c>
      <c r="C572" s="26" t="s">
        <v>1504</v>
      </c>
      <c r="D572" s="26">
        <v>64980449</v>
      </c>
      <c r="E572" s="67">
        <v>45112</v>
      </c>
      <c r="F572" s="66">
        <v>46</v>
      </c>
      <c r="G572" s="100">
        <v>7099609033</v>
      </c>
      <c r="H572" s="69">
        <v>63332</v>
      </c>
      <c r="I572" s="26" t="str">
        <f t="shared" si="8"/>
        <v>Sweden</v>
      </c>
    </row>
    <row r="573" spans="1:9">
      <c r="A573" s="66">
        <v>992861039121597</v>
      </c>
      <c r="B573" s="92" t="s">
        <v>1505</v>
      </c>
      <c r="C573" s="26" t="s">
        <v>1506</v>
      </c>
      <c r="D573" s="26">
        <v>64980450</v>
      </c>
      <c r="E573" s="67">
        <v>45113</v>
      </c>
      <c r="F573" s="66">
        <v>46</v>
      </c>
      <c r="G573" s="100">
        <v>6829476817</v>
      </c>
      <c r="H573" s="69">
        <v>26313</v>
      </c>
      <c r="I573" s="26" t="str">
        <f t="shared" si="8"/>
        <v>Sweden</v>
      </c>
    </row>
    <row r="574" spans="1:9">
      <c r="A574" s="66">
        <v>992861039121598</v>
      </c>
      <c r="B574" s="92" t="s">
        <v>1507</v>
      </c>
      <c r="C574" s="26" t="s">
        <v>1508</v>
      </c>
      <c r="D574" s="26">
        <v>64980451</v>
      </c>
      <c r="E574" s="67">
        <v>45114</v>
      </c>
      <c r="F574" s="66">
        <v>46</v>
      </c>
      <c r="G574" s="100">
        <v>9816387071</v>
      </c>
      <c r="H574" s="69">
        <v>17519</v>
      </c>
      <c r="I574" s="26" t="str">
        <f t="shared" si="8"/>
        <v>Sweden</v>
      </c>
    </row>
    <row r="575" spans="1:9">
      <c r="A575" s="66">
        <v>992861039121599</v>
      </c>
      <c r="B575" s="92" t="s">
        <v>1509</v>
      </c>
      <c r="C575" s="26" t="s">
        <v>1510</v>
      </c>
      <c r="D575" s="26">
        <v>64980452</v>
      </c>
      <c r="E575" s="67">
        <v>45115</v>
      </c>
      <c r="F575" s="66">
        <v>46</v>
      </c>
      <c r="G575" s="100">
        <v>7895685001</v>
      </c>
      <c r="H575" s="69">
        <v>48745</v>
      </c>
      <c r="I575" s="26" t="str">
        <f t="shared" si="8"/>
        <v>Sweden</v>
      </c>
    </row>
    <row r="576" spans="1:9">
      <c r="A576" s="66">
        <v>992861039121600</v>
      </c>
      <c r="B576" s="92" t="s">
        <v>1511</v>
      </c>
      <c r="C576" s="26" t="s">
        <v>1512</v>
      </c>
      <c r="D576" s="26">
        <v>64980453</v>
      </c>
      <c r="E576" s="67">
        <v>45116</v>
      </c>
      <c r="F576" s="66">
        <v>46</v>
      </c>
      <c r="G576" s="100">
        <v>8154344783</v>
      </c>
      <c r="H576" s="69">
        <v>70522</v>
      </c>
      <c r="I576" s="26" t="str">
        <f t="shared" si="8"/>
        <v>Sweden</v>
      </c>
    </row>
    <row r="577" spans="1:9">
      <c r="A577" s="66">
        <v>992861039121601</v>
      </c>
      <c r="B577" s="92" t="s">
        <v>1513</v>
      </c>
      <c r="C577" s="26" t="s">
        <v>1514</v>
      </c>
      <c r="D577" s="26">
        <v>64980454</v>
      </c>
      <c r="E577" s="67">
        <v>45117</v>
      </c>
      <c r="F577" s="66">
        <v>46</v>
      </c>
      <c r="G577" s="100">
        <v>9110558680</v>
      </c>
      <c r="H577" s="69">
        <v>84976</v>
      </c>
      <c r="I577" s="26" t="str">
        <f t="shared" si="8"/>
        <v>Sweden</v>
      </c>
    </row>
    <row r="578" spans="1:9">
      <c r="A578" s="66">
        <v>992861039121602</v>
      </c>
      <c r="B578" s="92" t="s">
        <v>1515</v>
      </c>
      <c r="C578" s="26" t="s">
        <v>1516</v>
      </c>
      <c r="D578" s="26">
        <v>64980455</v>
      </c>
      <c r="E578" s="67">
        <v>45118</v>
      </c>
      <c r="F578" s="66">
        <v>46</v>
      </c>
      <c r="G578" s="100">
        <v>9056597579</v>
      </c>
      <c r="H578" s="69">
        <v>44774</v>
      </c>
      <c r="I578" s="26" t="str">
        <f t="shared" si="8"/>
        <v>Sweden</v>
      </c>
    </row>
    <row r="579" spans="1:9">
      <c r="A579" s="66">
        <v>992861039121603</v>
      </c>
      <c r="B579" s="92" t="s">
        <v>1517</v>
      </c>
      <c r="C579" s="26" t="s">
        <v>1518</v>
      </c>
      <c r="D579" s="26">
        <v>64980456</v>
      </c>
      <c r="E579" s="67">
        <v>45119</v>
      </c>
      <c r="F579" s="66">
        <v>46</v>
      </c>
      <c r="G579" s="100">
        <v>9261741743</v>
      </c>
      <c r="H579" s="69">
        <v>64033</v>
      </c>
      <c r="I579" s="26" t="str">
        <f t="shared" ref="I579:I601" si="9">IF(F579=91,"India",IF(F579=1,"United Staes",IF(F579=7,"Russia",IF(F579=34,"Spain",IF(F579=45,"Denmark",IF(F579=33,"France",IF(F579=61,"Australia",IF(F579=49,"German",IF(F579=81,"Japan",IF(F579=55,"Brazil",IF(F579=44,"United Kindom",IF(F579=27,"South Africa",IF(F579=380,"Ukrain",IF(F579=48,"Poland",IF(F579=82,"South Korea",IF(F579=966,"Saudi Arabia",IF(F579=41,"Swizerland",IF(F579=975,"Bhutan",IF(F579=974,"Qatar",IF(F579=977,"Nepal",IF(F579=972,"Isreal",IF(F579=93,"Afghanistan",IF(F579=351,"Portugal",IF(F579=54,"Argentina",IF(F579=374,"Armrnia",IF(F579=64,"New Zealand",IF(F579=62,"Indonesia",IF(F579=39,"Italy",IF(F579=46,"Sweden",IF(F579=58,"Venezuela",IF(F579=57,"Colombia",IF(F579=63,"Philippines",IF(F579=850,"North Korea",IF(F579=976,"Mongolia","Not exist in this Nation"))))))))))))))))))))))))))))))))))</f>
        <v>Sweden</v>
      </c>
    </row>
    <row r="580" spans="1:9">
      <c r="A580" s="66">
        <v>992861039121604</v>
      </c>
      <c r="B580" s="92" t="s">
        <v>1519</v>
      </c>
      <c r="C580" s="26" t="s">
        <v>1520</v>
      </c>
      <c r="D580" s="26">
        <v>64980457</v>
      </c>
      <c r="E580" s="67">
        <v>45120</v>
      </c>
      <c r="F580" s="66">
        <v>46</v>
      </c>
      <c r="G580" s="100">
        <v>6296824289</v>
      </c>
      <c r="H580" s="69">
        <v>43233</v>
      </c>
      <c r="I580" s="26" t="str">
        <f t="shared" si="9"/>
        <v>Sweden</v>
      </c>
    </row>
    <row r="581" spans="1:9">
      <c r="A581" s="66">
        <v>992861039121605</v>
      </c>
      <c r="B581" s="92" t="s">
        <v>1521</v>
      </c>
      <c r="C581" s="26" t="s">
        <v>1522</v>
      </c>
      <c r="D581" s="26">
        <v>64980458</v>
      </c>
      <c r="E581" s="67">
        <v>45121</v>
      </c>
      <c r="F581" s="66">
        <v>46</v>
      </c>
      <c r="G581" s="100">
        <v>8783269017</v>
      </c>
      <c r="H581" s="69">
        <v>53316</v>
      </c>
      <c r="I581" s="26" t="str">
        <f t="shared" si="9"/>
        <v>Sweden</v>
      </c>
    </row>
    <row r="582" spans="1:9">
      <c r="A582" s="66">
        <v>992861039121606</v>
      </c>
      <c r="B582" s="92" t="s">
        <v>1523</v>
      </c>
      <c r="C582" s="26" t="s">
        <v>1524</v>
      </c>
      <c r="D582" s="26">
        <v>64980459</v>
      </c>
      <c r="E582" s="67">
        <v>45122</v>
      </c>
      <c r="F582" s="66">
        <v>46</v>
      </c>
      <c r="G582" s="100">
        <v>6669207067</v>
      </c>
      <c r="H582" s="69">
        <v>44356</v>
      </c>
      <c r="I582" s="26" t="str">
        <f t="shared" si="9"/>
        <v>Sweden</v>
      </c>
    </row>
    <row r="583" spans="1:9">
      <c r="A583" s="66">
        <v>992861039121607</v>
      </c>
      <c r="B583" s="92" t="s">
        <v>1525</v>
      </c>
      <c r="C583" s="26" t="s">
        <v>1526</v>
      </c>
      <c r="D583" s="26">
        <v>64980460</v>
      </c>
      <c r="E583" s="67">
        <v>45123</v>
      </c>
      <c r="F583" s="66">
        <v>57</v>
      </c>
      <c r="G583" s="101">
        <v>9488195451</v>
      </c>
      <c r="H583" s="69">
        <v>66995</v>
      </c>
      <c r="I583" s="26" t="str">
        <f t="shared" si="9"/>
        <v>Colombia</v>
      </c>
    </row>
    <row r="584" spans="1:9">
      <c r="A584" s="66">
        <v>992861039121608</v>
      </c>
      <c r="B584" s="92" t="s">
        <v>1527</v>
      </c>
      <c r="C584" s="26" t="s">
        <v>1528</v>
      </c>
      <c r="D584" s="26">
        <v>64980461</v>
      </c>
      <c r="E584" s="67">
        <v>45124</v>
      </c>
      <c r="F584" s="66">
        <v>57</v>
      </c>
      <c r="G584" s="101">
        <v>8555966248</v>
      </c>
      <c r="H584" s="69">
        <v>94295</v>
      </c>
      <c r="I584" s="26" t="str">
        <f t="shared" si="9"/>
        <v>Colombia</v>
      </c>
    </row>
    <row r="585" spans="1:9">
      <c r="A585" s="66">
        <v>992861039121609</v>
      </c>
      <c r="B585" s="92" t="s">
        <v>1529</v>
      </c>
      <c r="C585" s="26" t="s">
        <v>1530</v>
      </c>
      <c r="D585" s="26">
        <v>64980462</v>
      </c>
      <c r="E585" s="67">
        <v>45125</v>
      </c>
      <c r="F585" s="66">
        <v>57</v>
      </c>
      <c r="G585" s="101">
        <v>8106585392</v>
      </c>
      <c r="H585" s="69">
        <v>88851</v>
      </c>
      <c r="I585" s="26" t="str">
        <f t="shared" si="9"/>
        <v>Colombia</v>
      </c>
    </row>
    <row r="586" spans="1:9">
      <c r="A586" s="66">
        <v>992861039121610</v>
      </c>
      <c r="B586" s="92" t="s">
        <v>1531</v>
      </c>
      <c r="C586" s="26" t="s">
        <v>1532</v>
      </c>
      <c r="D586" s="26">
        <v>64980463</v>
      </c>
      <c r="E586" s="67">
        <v>45126</v>
      </c>
      <c r="F586" s="66">
        <v>57</v>
      </c>
      <c r="G586" s="101">
        <v>8977289312</v>
      </c>
      <c r="H586" s="69">
        <v>29359</v>
      </c>
      <c r="I586" s="26" t="str">
        <f t="shared" si="9"/>
        <v>Colombia</v>
      </c>
    </row>
    <row r="587" spans="1:9">
      <c r="A587" s="66">
        <v>992861039121611</v>
      </c>
      <c r="B587" s="92" t="s">
        <v>1533</v>
      </c>
      <c r="C587" s="26" t="s">
        <v>1534</v>
      </c>
      <c r="D587" s="26">
        <v>64980464</v>
      </c>
      <c r="E587" s="67">
        <v>45127</v>
      </c>
      <c r="F587" s="66">
        <v>63</v>
      </c>
      <c r="G587" s="98">
        <v>5011969832</v>
      </c>
      <c r="H587" s="69">
        <v>49071</v>
      </c>
      <c r="I587" s="26" t="str">
        <f t="shared" si="9"/>
        <v>Philippines</v>
      </c>
    </row>
    <row r="588" spans="1:9">
      <c r="A588" s="66">
        <v>992861039121612</v>
      </c>
      <c r="B588" s="92" t="s">
        <v>1535</v>
      </c>
      <c r="C588" s="26" t="s">
        <v>1536</v>
      </c>
      <c r="D588" s="26">
        <v>64980465</v>
      </c>
      <c r="E588" s="67">
        <v>45128</v>
      </c>
      <c r="F588" s="66">
        <v>63</v>
      </c>
      <c r="G588" s="98">
        <v>4651482285</v>
      </c>
      <c r="H588" s="69">
        <v>64707</v>
      </c>
      <c r="I588" s="26" t="str">
        <f t="shared" si="9"/>
        <v>Philippines</v>
      </c>
    </row>
    <row r="589" spans="1:9">
      <c r="A589" s="66">
        <v>992861039121613</v>
      </c>
      <c r="B589" s="92" t="s">
        <v>1537</v>
      </c>
      <c r="C589" s="26" t="s">
        <v>1538</v>
      </c>
      <c r="D589" s="26">
        <v>64980466</v>
      </c>
      <c r="E589" s="67">
        <v>45129</v>
      </c>
      <c r="F589" s="66">
        <v>63</v>
      </c>
      <c r="G589" s="98">
        <v>7236014972</v>
      </c>
      <c r="H589" s="69">
        <v>10492</v>
      </c>
      <c r="I589" s="26" t="str">
        <f t="shared" si="9"/>
        <v>Philippines</v>
      </c>
    </row>
    <row r="590" spans="1:9">
      <c r="A590" s="66">
        <v>992861039121614</v>
      </c>
      <c r="B590" s="92" t="s">
        <v>1539</v>
      </c>
      <c r="C590" s="26" t="s">
        <v>1540</v>
      </c>
      <c r="D590" s="26">
        <v>64980467</v>
      </c>
      <c r="E590" s="67">
        <v>45130</v>
      </c>
      <c r="F590" s="66">
        <v>63</v>
      </c>
      <c r="G590" s="98">
        <v>9264589576</v>
      </c>
      <c r="H590" s="69">
        <v>20627</v>
      </c>
      <c r="I590" s="26" t="str">
        <f t="shared" si="9"/>
        <v>Philippines</v>
      </c>
    </row>
    <row r="591" spans="1:9">
      <c r="A591" s="66">
        <v>992861039121615</v>
      </c>
      <c r="B591" s="92" t="s">
        <v>1541</v>
      </c>
      <c r="C591" s="26" t="s">
        <v>1542</v>
      </c>
      <c r="D591" s="26">
        <v>64980468</v>
      </c>
      <c r="E591" s="67">
        <v>45131</v>
      </c>
      <c r="F591" s="66">
        <v>63</v>
      </c>
      <c r="G591" s="98">
        <v>5710477697</v>
      </c>
      <c r="H591" s="69">
        <v>33438</v>
      </c>
      <c r="I591" s="26" t="str">
        <f t="shared" si="9"/>
        <v>Philippines</v>
      </c>
    </row>
    <row r="592" spans="1:9">
      <c r="A592" s="66">
        <v>992861039121616</v>
      </c>
      <c r="B592" s="92" t="s">
        <v>1543</v>
      </c>
      <c r="C592" s="26" t="s">
        <v>1544</v>
      </c>
      <c r="D592" s="26">
        <v>64980468</v>
      </c>
      <c r="E592" s="67">
        <v>45132</v>
      </c>
      <c r="F592" s="66">
        <v>850</v>
      </c>
      <c r="G592" s="102">
        <v>6833455171</v>
      </c>
      <c r="H592" s="69">
        <v>24463</v>
      </c>
      <c r="I592" s="26" t="str">
        <f t="shared" si="9"/>
        <v>North Korea</v>
      </c>
    </row>
    <row r="593" spans="1:9">
      <c r="A593" s="66">
        <v>992861039121617</v>
      </c>
      <c r="B593" s="92" t="s">
        <v>1545</v>
      </c>
      <c r="C593" s="26" t="s">
        <v>1546</v>
      </c>
      <c r="D593" s="26">
        <v>64980468</v>
      </c>
      <c r="E593" s="67">
        <v>45133</v>
      </c>
      <c r="F593" s="66">
        <v>850</v>
      </c>
      <c r="G593" s="102">
        <v>6243072243</v>
      </c>
      <c r="H593" s="69">
        <v>37001</v>
      </c>
      <c r="I593" s="26" t="str">
        <f t="shared" si="9"/>
        <v>North Korea</v>
      </c>
    </row>
    <row r="594" spans="1:9">
      <c r="A594" s="66">
        <v>992861039121618</v>
      </c>
      <c r="B594" s="92" t="s">
        <v>1547</v>
      </c>
      <c r="C594" s="26" t="s">
        <v>1548</v>
      </c>
      <c r="D594" s="26">
        <v>64980468</v>
      </c>
      <c r="E594" s="67">
        <v>45134</v>
      </c>
      <c r="F594" s="66">
        <v>850</v>
      </c>
      <c r="G594" s="102">
        <v>6576713613</v>
      </c>
      <c r="H594" s="69">
        <v>88925</v>
      </c>
      <c r="I594" s="26" t="str">
        <f t="shared" si="9"/>
        <v>North Korea</v>
      </c>
    </row>
    <row r="595" spans="1:9">
      <c r="A595" s="66">
        <v>992861039121619</v>
      </c>
      <c r="B595" s="92" t="s">
        <v>1549</v>
      </c>
      <c r="C595" s="26" t="s">
        <v>1550</v>
      </c>
      <c r="D595" s="26">
        <v>64980468</v>
      </c>
      <c r="E595" s="67">
        <v>45135</v>
      </c>
      <c r="F595" s="66">
        <v>850</v>
      </c>
      <c r="G595" s="102">
        <v>5605435717</v>
      </c>
      <c r="H595" s="69">
        <v>71640</v>
      </c>
      <c r="I595" s="26" t="str">
        <f t="shared" si="9"/>
        <v>North Korea</v>
      </c>
    </row>
    <row r="596" spans="1:9">
      <c r="A596" s="66">
        <v>992861039121620</v>
      </c>
      <c r="B596" s="92" t="s">
        <v>1551</v>
      </c>
      <c r="C596" s="26" t="s">
        <v>1552</v>
      </c>
      <c r="D596" s="26">
        <v>64980468</v>
      </c>
      <c r="E596" s="67">
        <v>45136</v>
      </c>
      <c r="F596" s="66">
        <v>850</v>
      </c>
      <c r="G596" s="102">
        <v>7682948267</v>
      </c>
      <c r="H596" s="69">
        <v>28358</v>
      </c>
      <c r="I596" s="26" t="str">
        <f t="shared" si="9"/>
        <v>North Korea</v>
      </c>
    </row>
    <row r="597" spans="1:9">
      <c r="A597" s="66">
        <v>992861039121621</v>
      </c>
      <c r="B597" s="92" t="s">
        <v>1553</v>
      </c>
      <c r="C597" s="26" t="s">
        <v>1554</v>
      </c>
      <c r="D597" s="26">
        <v>64980468</v>
      </c>
      <c r="E597" s="67">
        <v>45137</v>
      </c>
      <c r="F597" s="66">
        <v>976</v>
      </c>
      <c r="G597" s="103">
        <v>5466370111</v>
      </c>
      <c r="H597" s="69">
        <v>36947</v>
      </c>
      <c r="I597" s="26" t="str">
        <f t="shared" si="9"/>
        <v>Mongolia</v>
      </c>
    </row>
    <row r="598" spans="1:9">
      <c r="A598" s="66">
        <v>992861039121622</v>
      </c>
      <c r="B598" s="92" t="s">
        <v>1555</v>
      </c>
      <c r="C598" s="26" t="s">
        <v>1556</v>
      </c>
      <c r="D598" s="26">
        <v>64980469</v>
      </c>
      <c r="E598" s="67">
        <v>45138</v>
      </c>
      <c r="F598" s="66">
        <v>976</v>
      </c>
      <c r="G598" s="103">
        <v>5245643559</v>
      </c>
      <c r="H598" s="69">
        <v>82599</v>
      </c>
      <c r="I598" s="26" t="str">
        <f t="shared" si="9"/>
        <v>Mongolia</v>
      </c>
    </row>
    <row r="599" spans="1:9">
      <c r="A599" s="66">
        <v>992861039121623</v>
      </c>
      <c r="B599" s="92" t="s">
        <v>1557</v>
      </c>
      <c r="C599" s="26" t="s">
        <v>1558</v>
      </c>
      <c r="D599" s="26">
        <v>64980470</v>
      </c>
      <c r="E599" s="67">
        <v>45139</v>
      </c>
      <c r="F599" s="66">
        <v>976</v>
      </c>
      <c r="G599" s="103">
        <v>6998620554</v>
      </c>
      <c r="H599" s="69">
        <v>43285</v>
      </c>
      <c r="I599" s="26" t="str">
        <f t="shared" si="9"/>
        <v>Mongolia</v>
      </c>
    </row>
    <row r="600" spans="1:9">
      <c r="A600" s="66">
        <v>992861039121624</v>
      </c>
      <c r="B600" s="92" t="s">
        <v>1559</v>
      </c>
      <c r="C600" s="26" t="s">
        <v>1560</v>
      </c>
      <c r="D600" s="26">
        <v>64980471</v>
      </c>
      <c r="E600" s="67">
        <v>45140</v>
      </c>
      <c r="F600" s="66">
        <v>976</v>
      </c>
      <c r="G600" s="103">
        <v>4560891470</v>
      </c>
      <c r="H600" s="69">
        <v>27057</v>
      </c>
      <c r="I600" s="26" t="str">
        <f t="shared" si="9"/>
        <v>Mongolia</v>
      </c>
    </row>
    <row r="601" spans="1:9">
      <c r="A601" s="66">
        <v>992861039121625</v>
      </c>
      <c r="B601" s="92" t="s">
        <v>1561</v>
      </c>
      <c r="C601" s="26" t="s">
        <v>1562</v>
      </c>
      <c r="D601" s="26">
        <v>64980472</v>
      </c>
      <c r="E601" s="67">
        <v>45141</v>
      </c>
      <c r="F601" s="66">
        <v>976</v>
      </c>
      <c r="G601" s="103">
        <v>6018587871</v>
      </c>
      <c r="H601" s="69">
        <v>47835</v>
      </c>
      <c r="I601" s="26" t="str">
        <f t="shared" si="9"/>
        <v>Mongolia</v>
      </c>
    </row>
  </sheetData>
  <dataConsolidate/>
  <dataValidations count="2">
    <dataValidation type="list" allowBlank="1" showInputMessage="1" showErrorMessage="1" sqref="K3" xr:uid="{00000000-0002-0000-0C00-000000000000}">
      <formula1>INDEX($A$2:$I$601,0,MATCH($K$2,$A$1:$I$1,0))</formula1>
    </dataValidation>
    <dataValidation type="list" allowBlank="1" showInputMessage="1" showErrorMessage="1" sqref="K2" xr:uid="{00000000-0002-0000-0C00-000001000000}">
      <formula1>"Account No.,Phone No."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disha</dc:creator>
  <cp:keywords/>
  <dc:description/>
  <cp:lastModifiedBy>Happy Sharma</cp:lastModifiedBy>
  <cp:revision/>
  <dcterms:created xsi:type="dcterms:W3CDTF">2024-08-30T12:42:39Z</dcterms:created>
  <dcterms:modified xsi:type="dcterms:W3CDTF">2025-05-31T11:14:18Z</dcterms:modified>
  <cp:category/>
  <cp:contentStatus/>
</cp:coreProperties>
</file>