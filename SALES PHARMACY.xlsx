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ivotTables/pivotTable1.xml" ContentType="application/vnd.openxmlformats-officedocument.spreadsheetml.pivotTable+xml"/>
  <Override PartName="/xl/drawings/drawing28.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6"/>
  <workbookPr showInkAnnotation="0" codeName="ThisWorkbook" hidePivotFieldList="1" defaultThemeVersion="124226"/>
  <xr:revisionPtr revIDLastSave="0" documentId="11_2D4967C7FD3C0EE3D9A6A191454F44DC3C3B5A9D" xr6:coauthVersionLast="47" xr6:coauthVersionMax="47" xr10:uidLastSave="{00000000-0000-0000-0000-000000000000}"/>
  <bookViews>
    <workbookView xWindow="240" yWindow="135" windowWidth="20115" windowHeight="7245" firstSheet="26" activeTab="26" xr2:uid="{00000000-000D-0000-FFFF-FFFF00000000}"/>
  </bookViews>
  <sheets>
    <sheet name="Working Sheet" sheetId="27" r:id="rId1"/>
    <sheet name="Monthly Sales" sheetId="1" r:id="rId2"/>
    <sheet name="Daily Sales(JAN)" sheetId="2" r:id="rId3"/>
    <sheet name="Februray" sheetId="3" r:id="rId4"/>
    <sheet name="March" sheetId="4" r:id="rId5"/>
    <sheet name="Aprail" sheetId="5" r:id="rId6"/>
    <sheet name="May" sheetId="6" r:id="rId7"/>
    <sheet name="June" sheetId="7" r:id="rId8"/>
    <sheet name="July" sheetId="8" r:id="rId9"/>
    <sheet name="August" sheetId="9" r:id="rId10"/>
    <sheet name="September" sheetId="10" r:id="rId11"/>
    <sheet name="October" sheetId="11" r:id="rId12"/>
    <sheet name="November" sheetId="35" r:id="rId13"/>
    <sheet name="December" sheetId="36" r:id="rId14"/>
    <sheet name="Attendence (Jan)" sheetId="14" r:id="rId15"/>
    <sheet name="Attendence (Feb)" sheetId="15" r:id="rId16"/>
    <sheet name="Attendence (March)" sheetId="16" r:id="rId17"/>
    <sheet name="Attendence (Aprail)" sheetId="17" r:id="rId18"/>
    <sheet name="Attendence (May)" sheetId="18" r:id="rId19"/>
    <sheet name="Attendence (June)" sheetId="19" r:id="rId20"/>
    <sheet name="Attendence (July)" sheetId="20" r:id="rId21"/>
    <sheet name="Attendence (Aug)" sheetId="21" r:id="rId22"/>
    <sheet name="Attendence (Sep)" sheetId="22" r:id="rId23"/>
    <sheet name="Attendence (Oct)" sheetId="23" r:id="rId24"/>
    <sheet name="Attendence (Nov)" sheetId="24" r:id="rId25"/>
    <sheet name="Attendence (Dec)" sheetId="25" r:id="rId26"/>
    <sheet name="Graph" sheetId="28" r:id="rId27"/>
    <sheet name="Sheet1" sheetId="30" state="hidden" r:id="rId28"/>
    <sheet name="HELP" sheetId="29" r:id="rId29"/>
  </sheets>
  <definedNames>
    <definedName name="Slicer_Product_Name">#N/A</definedName>
  </definedNames>
  <calcPr calcId="191028"/>
  <pivotCaches>
    <pivotCache cacheId="20402" r:id="rId30"/>
  </pivotCaches>
  <extLst>
    <ext xmlns:x14="http://schemas.microsoft.com/office/spreadsheetml/2009/9/main" uri="{BBE1A952-AA13-448e-AADC-164F8A28A991}">
      <x14:slicerCaches>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57" i="36" l="1"/>
  <c r="AH57" i="36"/>
  <c r="AK56" i="36"/>
  <c r="AH56" i="36"/>
  <c r="AK55" i="36"/>
  <c r="AH55" i="36"/>
  <c r="AK54" i="36"/>
  <c r="AH54" i="36"/>
  <c r="AK53" i="36"/>
  <c r="AH53" i="36"/>
  <c r="AK52" i="36"/>
  <c r="AH52" i="36"/>
  <c r="AK51" i="36"/>
  <c r="AH51" i="36"/>
  <c r="AK50" i="36"/>
  <c r="AH50" i="36"/>
  <c r="AK49" i="36"/>
  <c r="AH49" i="36"/>
  <c r="AK48" i="36"/>
  <c r="AH48" i="36"/>
  <c r="AK47" i="36"/>
  <c r="AH47" i="36"/>
  <c r="AK46" i="36"/>
  <c r="AH46" i="36"/>
  <c r="AK45" i="36"/>
  <c r="AH45" i="36"/>
  <c r="AK44" i="36"/>
  <c r="AH44" i="36"/>
  <c r="AK43" i="36"/>
  <c r="AH43" i="36"/>
  <c r="AK42" i="36"/>
  <c r="AH42" i="36"/>
  <c r="AK41" i="36"/>
  <c r="AH41" i="36"/>
  <c r="AK40" i="36"/>
  <c r="AH40" i="36"/>
  <c r="AK39" i="36"/>
  <c r="AH39" i="36"/>
  <c r="AK38" i="36"/>
  <c r="AH38" i="36"/>
  <c r="AK37" i="36"/>
  <c r="AH37" i="36"/>
  <c r="AK36" i="36"/>
  <c r="AH36" i="36"/>
  <c r="AK35" i="36"/>
  <c r="AH35" i="36"/>
  <c r="AK34" i="36"/>
  <c r="AH34" i="36"/>
  <c r="AK33" i="36"/>
  <c r="AH33" i="36"/>
  <c r="AK32" i="36"/>
  <c r="AH32" i="36"/>
  <c r="AK31" i="36"/>
  <c r="AH31" i="36"/>
  <c r="AK30" i="36"/>
  <c r="AH30" i="36"/>
  <c r="AK29" i="36"/>
  <c r="AH29" i="36"/>
  <c r="AK28" i="36"/>
  <c r="AH28" i="36"/>
  <c r="AK27" i="36"/>
  <c r="AH27" i="36"/>
  <c r="AK26" i="36"/>
  <c r="AH26" i="36"/>
  <c r="AK25" i="36"/>
  <c r="AH25" i="36"/>
  <c r="AK24" i="36"/>
  <c r="AH24" i="36"/>
  <c r="AK23" i="36"/>
  <c r="AH23" i="36"/>
  <c r="AK22" i="36"/>
  <c r="AH22" i="36"/>
  <c r="AK21" i="36"/>
  <c r="AH21" i="36"/>
  <c r="AK20" i="36"/>
  <c r="AH20" i="36"/>
  <c r="AK19" i="36"/>
  <c r="AH19" i="36"/>
  <c r="AK18" i="36"/>
  <c r="AH18" i="36"/>
  <c r="AK17" i="36"/>
  <c r="AH17" i="36"/>
  <c r="AK16" i="36"/>
  <c r="AH16" i="36"/>
  <c r="AK15" i="36"/>
  <c r="AH15" i="36"/>
  <c r="AK14" i="36"/>
  <c r="AH14" i="36"/>
  <c r="AK13" i="36"/>
  <c r="AH13" i="36"/>
  <c r="AK12" i="36"/>
  <c r="AH12" i="36"/>
  <c r="AK11" i="36"/>
  <c r="AH11" i="36"/>
  <c r="AK10" i="36"/>
  <c r="AH10" i="36"/>
  <c r="AK9" i="36"/>
  <c r="AH9" i="36"/>
  <c r="AK8" i="36"/>
  <c r="AH8" i="36"/>
  <c r="AK7" i="36"/>
  <c r="AH7" i="36"/>
  <c r="AK6" i="36"/>
  <c r="AH6" i="36"/>
  <c r="AK5" i="36"/>
  <c r="AH5" i="36"/>
  <c r="AK4" i="36"/>
  <c r="AH4" i="36"/>
  <c r="AP3" i="36"/>
  <c r="AP4" i="36" s="1"/>
  <c r="AK3" i="36"/>
  <c r="AH3" i="36"/>
  <c r="AK57" i="35"/>
  <c r="AH57" i="35"/>
  <c r="AK56" i="35"/>
  <c r="AH56" i="35"/>
  <c r="AK55" i="35"/>
  <c r="AH55" i="35"/>
  <c r="AK54" i="35"/>
  <c r="AH54" i="35"/>
  <c r="AK53" i="35"/>
  <c r="AH53" i="35"/>
  <c r="AK52" i="35"/>
  <c r="AH52" i="35"/>
  <c r="AK51" i="35"/>
  <c r="AH51" i="35"/>
  <c r="AK50" i="35"/>
  <c r="AH50" i="35"/>
  <c r="AK49" i="35"/>
  <c r="AH49" i="35"/>
  <c r="AK48" i="35"/>
  <c r="AH48" i="35"/>
  <c r="AK47" i="35"/>
  <c r="AH47" i="35"/>
  <c r="AK46" i="35"/>
  <c r="AH46" i="35"/>
  <c r="AK45" i="35"/>
  <c r="AH45" i="35"/>
  <c r="AK44" i="35"/>
  <c r="AH44" i="35"/>
  <c r="AK43" i="35"/>
  <c r="AH43" i="35"/>
  <c r="AK42" i="35"/>
  <c r="AH42" i="35"/>
  <c r="AK41" i="35"/>
  <c r="AH41" i="35"/>
  <c r="AK40" i="35"/>
  <c r="AH40" i="35"/>
  <c r="AK39" i="35"/>
  <c r="AH39" i="35"/>
  <c r="AK38" i="35"/>
  <c r="AH38" i="35"/>
  <c r="AK37" i="35"/>
  <c r="AH37" i="35"/>
  <c r="AK36" i="35"/>
  <c r="AH36" i="35"/>
  <c r="AK35" i="35"/>
  <c r="AH35" i="35"/>
  <c r="AK34" i="35"/>
  <c r="AH34" i="35"/>
  <c r="AK33" i="35"/>
  <c r="AH33" i="35"/>
  <c r="AK32" i="35"/>
  <c r="AH32" i="35"/>
  <c r="AK31" i="35"/>
  <c r="AH31" i="35"/>
  <c r="AK30" i="35"/>
  <c r="AH30" i="35"/>
  <c r="AK29" i="35"/>
  <c r="AH29" i="35"/>
  <c r="AK28" i="35"/>
  <c r="AH28" i="35"/>
  <c r="AK27" i="35"/>
  <c r="AH27" i="35"/>
  <c r="AK26" i="35"/>
  <c r="AH26" i="35"/>
  <c r="AK25" i="35"/>
  <c r="AH25" i="35"/>
  <c r="AK24" i="35"/>
  <c r="AH24" i="35"/>
  <c r="AK23" i="35"/>
  <c r="AH23" i="35"/>
  <c r="AK22" i="35"/>
  <c r="AH22" i="35"/>
  <c r="AK21" i="35"/>
  <c r="AH21" i="35"/>
  <c r="AK20" i="35"/>
  <c r="AH20" i="35"/>
  <c r="AK19" i="35"/>
  <c r="AH19" i="35"/>
  <c r="AK18" i="35"/>
  <c r="AH18" i="35"/>
  <c r="AK17" i="35"/>
  <c r="AH17" i="35"/>
  <c r="AK16" i="35"/>
  <c r="AH16" i="35"/>
  <c r="AK15" i="35"/>
  <c r="AH15" i="35"/>
  <c r="AK14" i="35"/>
  <c r="AH14" i="35"/>
  <c r="AK13" i="35"/>
  <c r="AH13" i="35"/>
  <c r="AK12" i="35"/>
  <c r="AH12" i="35"/>
  <c r="AK11" i="35"/>
  <c r="AH11" i="35"/>
  <c r="AK10" i="35"/>
  <c r="AH10" i="35"/>
  <c r="AK9" i="35"/>
  <c r="AH9" i="35"/>
  <c r="AK8" i="35"/>
  <c r="AH8" i="35"/>
  <c r="AK7" i="35"/>
  <c r="AH7" i="35"/>
  <c r="AK6" i="35"/>
  <c r="AH6" i="35"/>
  <c r="AK5" i="35"/>
  <c r="AH5" i="35"/>
  <c r="AK4" i="35"/>
  <c r="AH4" i="35"/>
  <c r="AP3" i="35"/>
  <c r="AP4" i="35" s="1"/>
  <c r="AK3" i="35"/>
  <c r="AH3" i="35"/>
  <c r="AL3" i="35" l="1"/>
  <c r="M2" i="1"/>
  <c r="E12" i="30"/>
  <c r="AM3" i="35"/>
  <c r="AL4" i="35"/>
  <c r="M3" i="1"/>
  <c r="AM4" i="35"/>
  <c r="M4" i="1"/>
  <c r="AL5" i="35"/>
  <c r="AM5" i="35"/>
  <c r="M5" i="1"/>
  <c r="AL6" i="35"/>
  <c r="AM6" i="35"/>
  <c r="M6" i="1"/>
  <c r="AL7" i="35"/>
  <c r="AM7" i="35"/>
  <c r="M7" i="1"/>
  <c r="AL8" i="35"/>
  <c r="AM8" i="35"/>
  <c r="M8" i="1"/>
  <c r="AL9" i="35"/>
  <c r="AM9" i="35"/>
  <c r="AL10" i="35"/>
  <c r="M9" i="1"/>
  <c r="AM10" i="35"/>
  <c r="AL11" i="35"/>
  <c r="M10" i="1"/>
  <c r="AM11" i="35"/>
  <c r="AL12" i="35"/>
  <c r="M11" i="1"/>
  <c r="AM12" i="35"/>
  <c r="M12" i="1"/>
  <c r="AL13" i="35"/>
  <c r="AM13" i="35"/>
  <c r="M13" i="1"/>
  <c r="AL14" i="35"/>
  <c r="AM14" i="35"/>
  <c r="M14" i="1"/>
  <c r="AL15" i="35"/>
  <c r="AM15" i="35"/>
  <c r="AL16" i="35"/>
  <c r="M15" i="1"/>
  <c r="AM16" i="35"/>
  <c r="AL17" i="35"/>
  <c r="M16" i="1"/>
  <c r="AM17" i="35"/>
  <c r="AL18" i="35"/>
  <c r="M17" i="1"/>
  <c r="AM18" i="35"/>
  <c r="AL19" i="35"/>
  <c r="M18" i="1"/>
  <c r="AM19" i="35"/>
  <c r="AL20" i="35"/>
  <c r="M19" i="1"/>
  <c r="AM20" i="35"/>
  <c r="AL21" i="35"/>
  <c r="M20" i="1"/>
  <c r="AM21" i="35"/>
  <c r="AL22" i="35"/>
  <c r="M21" i="1"/>
  <c r="AM22" i="35"/>
  <c r="AL23" i="35"/>
  <c r="M22" i="1"/>
  <c r="AM23" i="35"/>
  <c r="AL24" i="35"/>
  <c r="M23" i="1"/>
  <c r="AM24" i="35"/>
  <c r="AL25" i="35"/>
  <c r="M24" i="1"/>
  <c r="AM25" i="35"/>
  <c r="AL26" i="35"/>
  <c r="M25" i="1"/>
  <c r="AM26" i="35"/>
  <c r="AL27" i="35"/>
  <c r="M26" i="1"/>
  <c r="AM27" i="35"/>
  <c r="AL28" i="35"/>
  <c r="M27" i="1"/>
  <c r="AM28" i="35"/>
  <c r="AL29" i="35"/>
  <c r="M28" i="1"/>
  <c r="AM29" i="35"/>
  <c r="AL30" i="35"/>
  <c r="M29" i="1"/>
  <c r="AM30" i="35"/>
  <c r="AL31" i="35"/>
  <c r="M30" i="1"/>
  <c r="AM31" i="35"/>
  <c r="AL32" i="35"/>
  <c r="M31" i="1"/>
  <c r="AM32" i="35"/>
  <c r="AL33" i="35"/>
  <c r="M32" i="1"/>
  <c r="AM33" i="35"/>
  <c r="AL34" i="35"/>
  <c r="M33" i="1"/>
  <c r="AM34" i="35"/>
  <c r="AL35" i="35"/>
  <c r="M34" i="1"/>
  <c r="AM35" i="35"/>
  <c r="AL36" i="35"/>
  <c r="M35" i="1"/>
  <c r="AM36" i="35"/>
  <c r="AL37" i="35"/>
  <c r="M36" i="1"/>
  <c r="AM37" i="35"/>
  <c r="AL38" i="35"/>
  <c r="M37" i="1"/>
  <c r="AM38" i="35"/>
  <c r="AL39" i="35"/>
  <c r="M38" i="1"/>
  <c r="AM39" i="35"/>
  <c r="AL40" i="35"/>
  <c r="M39" i="1"/>
  <c r="AM40" i="35"/>
  <c r="AL41" i="35"/>
  <c r="M40" i="1"/>
  <c r="AM41" i="35"/>
  <c r="AL42" i="35"/>
  <c r="M41" i="1"/>
  <c r="AM42" i="35"/>
  <c r="AL43" i="35"/>
  <c r="M42" i="1"/>
  <c r="AM43" i="35"/>
  <c r="AL44" i="35"/>
  <c r="M43" i="1"/>
  <c r="AM44" i="35"/>
  <c r="AL45" i="35"/>
  <c r="M44" i="1"/>
  <c r="AM45" i="35"/>
  <c r="AL46" i="35"/>
  <c r="M45" i="1"/>
  <c r="AM46" i="35"/>
  <c r="AL47" i="35"/>
  <c r="M46" i="1"/>
  <c r="AM47" i="35"/>
  <c r="AL48" i="35"/>
  <c r="M47" i="1"/>
  <c r="AM48" i="35"/>
  <c r="AL49" i="35"/>
  <c r="M48" i="1"/>
  <c r="AM49" i="35"/>
  <c r="AL50" i="35"/>
  <c r="M49" i="1"/>
  <c r="AM50" i="35"/>
  <c r="AL51" i="35"/>
  <c r="M50" i="1"/>
  <c r="AM51" i="35"/>
  <c r="AL52" i="35"/>
  <c r="M51" i="1"/>
  <c r="AM52" i="35"/>
  <c r="AL53" i="35"/>
  <c r="M52" i="1"/>
  <c r="AM53" i="35"/>
  <c r="AL54" i="35"/>
  <c r="M53" i="1"/>
  <c r="AM54" i="35"/>
  <c r="AL55" i="35"/>
  <c r="M54" i="1"/>
  <c r="AM55" i="35"/>
  <c r="AL56" i="35"/>
  <c r="M55" i="1"/>
  <c r="AM56" i="35"/>
  <c r="AL57" i="35"/>
  <c r="M56" i="1"/>
  <c r="AM57" i="35"/>
  <c r="AL3" i="36"/>
  <c r="N2" i="1"/>
  <c r="E13" i="30"/>
  <c r="AM3" i="36"/>
  <c r="AL4" i="36"/>
  <c r="N3" i="1"/>
  <c r="AM4" i="36"/>
  <c r="N4" i="1"/>
  <c r="AL5" i="36"/>
  <c r="AM5" i="36"/>
  <c r="N5" i="1"/>
  <c r="AL6" i="36"/>
  <c r="AM6" i="36"/>
  <c r="N6" i="1"/>
  <c r="AL7" i="36"/>
  <c r="AM7" i="36"/>
  <c r="N7" i="1"/>
  <c r="AL8" i="36"/>
  <c r="AM8" i="36"/>
  <c r="N8" i="1"/>
  <c r="AL9" i="36"/>
  <c r="AM9" i="36"/>
  <c r="AL10" i="36"/>
  <c r="N9" i="1"/>
  <c r="AM10" i="36"/>
  <c r="AL11" i="36"/>
  <c r="N10" i="1"/>
  <c r="AM11" i="36"/>
  <c r="AL12" i="36"/>
  <c r="N11" i="1"/>
  <c r="AM12" i="36"/>
  <c r="N12" i="1"/>
  <c r="AL13" i="36"/>
  <c r="AM13" i="36"/>
  <c r="N13" i="1"/>
  <c r="AL14" i="36"/>
  <c r="AM14" i="36"/>
  <c r="N14" i="1"/>
  <c r="AL15" i="36"/>
  <c r="AM15" i="36"/>
  <c r="AL16" i="36"/>
  <c r="N15" i="1"/>
  <c r="AM16" i="36"/>
  <c r="AL17" i="36"/>
  <c r="N16" i="1"/>
  <c r="AM17" i="36"/>
  <c r="AL18" i="36"/>
  <c r="N17" i="1"/>
  <c r="AM18" i="36"/>
  <c r="AL19" i="36"/>
  <c r="N18" i="1"/>
  <c r="AM19" i="36"/>
  <c r="AL20" i="36"/>
  <c r="N19" i="1"/>
  <c r="AM20" i="36"/>
  <c r="AL21" i="36"/>
  <c r="N20" i="1"/>
  <c r="AM21" i="36"/>
  <c r="AL22" i="36"/>
  <c r="N21" i="1"/>
  <c r="AM22" i="36"/>
  <c r="AL23" i="36"/>
  <c r="N22" i="1"/>
  <c r="AM23" i="36"/>
  <c r="AL24" i="36"/>
  <c r="N23" i="1"/>
  <c r="AM24" i="36"/>
  <c r="AL25" i="36"/>
  <c r="N24" i="1"/>
  <c r="AM25" i="36"/>
  <c r="AL26" i="36"/>
  <c r="N25" i="1"/>
  <c r="AM26" i="36"/>
  <c r="AL27" i="36"/>
  <c r="N26" i="1"/>
  <c r="AM27" i="36"/>
  <c r="AL28" i="36"/>
  <c r="N27" i="1"/>
  <c r="AM28" i="36"/>
  <c r="AL29" i="36"/>
  <c r="N28" i="1"/>
  <c r="AM29" i="36"/>
  <c r="AL30" i="36"/>
  <c r="N29" i="1"/>
  <c r="AM30" i="36"/>
  <c r="AL31" i="36"/>
  <c r="N30" i="1"/>
  <c r="AM31" i="36"/>
  <c r="AL32" i="36"/>
  <c r="N31" i="1"/>
  <c r="AM32" i="36"/>
  <c r="AL33" i="36"/>
  <c r="N32" i="1"/>
  <c r="AM33" i="36"/>
  <c r="AL34" i="36"/>
  <c r="N33" i="1"/>
  <c r="AM34" i="36"/>
  <c r="AL35" i="36"/>
  <c r="N34" i="1"/>
  <c r="AM35" i="36"/>
  <c r="AL36" i="36"/>
  <c r="N35" i="1"/>
  <c r="AM36" i="36"/>
  <c r="AL37" i="36"/>
  <c r="N36" i="1"/>
  <c r="AM37" i="36"/>
  <c r="AL38" i="36"/>
  <c r="N37" i="1"/>
  <c r="AM38" i="36"/>
  <c r="AL39" i="36"/>
  <c r="N38" i="1"/>
  <c r="AM39" i="36"/>
  <c r="AL40" i="36"/>
  <c r="N39" i="1"/>
  <c r="AM40" i="36"/>
  <c r="AL41" i="36"/>
  <c r="N40" i="1"/>
  <c r="AM41" i="36"/>
  <c r="AL42" i="36"/>
  <c r="N41" i="1"/>
  <c r="AM42" i="36"/>
  <c r="AL43" i="36"/>
  <c r="N42" i="1"/>
  <c r="AM43" i="36"/>
  <c r="AL44" i="36"/>
  <c r="N43" i="1"/>
  <c r="AM44" i="36"/>
  <c r="AL45" i="36"/>
  <c r="N44" i="1"/>
  <c r="AM45" i="36"/>
  <c r="AL46" i="36"/>
  <c r="N45" i="1"/>
  <c r="AM46" i="36"/>
  <c r="AL47" i="36"/>
  <c r="N46" i="1"/>
  <c r="AM47" i="36"/>
  <c r="AL48" i="36"/>
  <c r="N47" i="1"/>
  <c r="AM48" i="36"/>
  <c r="AL49" i="36"/>
  <c r="N48" i="1"/>
  <c r="AM49" i="36"/>
  <c r="AL50" i="36"/>
  <c r="N49" i="1"/>
  <c r="AM50" i="36"/>
  <c r="AL51" i="36"/>
  <c r="N50" i="1"/>
  <c r="AM51" i="36"/>
  <c r="AL52" i="36"/>
  <c r="N51" i="1"/>
  <c r="AM52" i="36"/>
  <c r="AL53" i="36"/>
  <c r="N52" i="1"/>
  <c r="AM53" i="36"/>
  <c r="AL54" i="36"/>
  <c r="N53" i="1"/>
  <c r="AM54" i="36"/>
  <c r="AL55" i="36"/>
  <c r="N54" i="1"/>
  <c r="AM55" i="36"/>
  <c r="AL56" i="36"/>
  <c r="N55" i="1"/>
  <c r="AM56" i="36"/>
  <c r="AL57" i="36"/>
  <c r="N56" i="1"/>
  <c r="AM57" i="36"/>
  <c r="AP15" i="36"/>
  <c r="AG2" i="36"/>
  <c r="AG1" i="36" s="1"/>
  <c r="AC2" i="36"/>
  <c r="AC1" i="36" s="1"/>
  <c r="Y2" i="36"/>
  <c r="Y1" i="36" s="1"/>
  <c r="U2" i="36"/>
  <c r="U1" i="36" s="1"/>
  <c r="Q2" i="36"/>
  <c r="Q1" i="36" s="1"/>
  <c r="M2" i="36"/>
  <c r="M1" i="36" s="1"/>
  <c r="I2" i="36"/>
  <c r="I1" i="36" s="1"/>
  <c r="E2" i="36"/>
  <c r="E1" i="36" s="1"/>
  <c r="AD2" i="36"/>
  <c r="AD1" i="36" s="1"/>
  <c r="V2" i="36"/>
  <c r="V1" i="36" s="1"/>
  <c r="N2" i="36"/>
  <c r="N1" i="36" s="1"/>
  <c r="F2" i="36"/>
  <c r="F1" i="36" s="1"/>
  <c r="AF2" i="36"/>
  <c r="AF1" i="36" s="1"/>
  <c r="AB2" i="36"/>
  <c r="AB1" i="36" s="1"/>
  <c r="X2" i="36"/>
  <c r="X1" i="36" s="1"/>
  <c r="T2" i="36"/>
  <c r="T1" i="36" s="1"/>
  <c r="P2" i="36"/>
  <c r="P1" i="36" s="1"/>
  <c r="L2" i="36"/>
  <c r="L1" i="36" s="1"/>
  <c r="H2" i="36"/>
  <c r="H1" i="36" s="1"/>
  <c r="D2" i="36"/>
  <c r="D1" i="36" s="1"/>
  <c r="AE2" i="36"/>
  <c r="AE1" i="36" s="1"/>
  <c r="AA2" i="36"/>
  <c r="AA1" i="36" s="1"/>
  <c r="W2" i="36"/>
  <c r="W1" i="36" s="1"/>
  <c r="S2" i="36"/>
  <c r="S1" i="36" s="1"/>
  <c r="O2" i="36"/>
  <c r="O1" i="36" s="1"/>
  <c r="K2" i="36"/>
  <c r="K1" i="36" s="1"/>
  <c r="G2" i="36"/>
  <c r="G1" i="36" s="1"/>
  <c r="C2" i="36"/>
  <c r="C1" i="36" s="1"/>
  <c r="Z2" i="36"/>
  <c r="Z1" i="36" s="1"/>
  <c r="R2" i="36"/>
  <c r="R1" i="36" s="1"/>
  <c r="J2" i="36"/>
  <c r="J1" i="36" s="1"/>
  <c r="AG2" i="35"/>
  <c r="AG1" i="35" s="1"/>
  <c r="AC2" i="35"/>
  <c r="AC1" i="35" s="1"/>
  <c r="Y2" i="35"/>
  <c r="Y1" i="35" s="1"/>
  <c r="U2" i="35"/>
  <c r="U1" i="35" s="1"/>
  <c r="Q2" i="35"/>
  <c r="Q1" i="35" s="1"/>
  <c r="M2" i="35"/>
  <c r="M1" i="35" s="1"/>
  <c r="I2" i="35"/>
  <c r="I1" i="35" s="1"/>
  <c r="E2" i="35"/>
  <c r="E1" i="35" s="1"/>
  <c r="AF2" i="35"/>
  <c r="AF1" i="35" s="1"/>
  <c r="AB2" i="35"/>
  <c r="AB1" i="35" s="1"/>
  <c r="X2" i="35"/>
  <c r="X1" i="35" s="1"/>
  <c r="T2" i="35"/>
  <c r="T1" i="35" s="1"/>
  <c r="P2" i="35"/>
  <c r="P1" i="35" s="1"/>
  <c r="L2" i="35"/>
  <c r="L1" i="35" s="1"/>
  <c r="H2" i="35"/>
  <c r="H1" i="35" s="1"/>
  <c r="D2" i="35"/>
  <c r="D1" i="35" s="1"/>
  <c r="AD2" i="35"/>
  <c r="AD1" i="35" s="1"/>
  <c r="Z2" i="35"/>
  <c r="Z1" i="35" s="1"/>
  <c r="R2" i="35"/>
  <c r="R1" i="35" s="1"/>
  <c r="N2" i="35"/>
  <c r="N1" i="35" s="1"/>
  <c r="F2" i="35"/>
  <c r="F1" i="35" s="1"/>
  <c r="AE2" i="35"/>
  <c r="AE1" i="35" s="1"/>
  <c r="AA2" i="35"/>
  <c r="AA1" i="35" s="1"/>
  <c r="W2" i="35"/>
  <c r="W1" i="35" s="1"/>
  <c r="S2" i="35"/>
  <c r="S1" i="35" s="1"/>
  <c r="O2" i="35"/>
  <c r="O1" i="35" s="1"/>
  <c r="K2" i="35"/>
  <c r="K1" i="35" s="1"/>
  <c r="G2" i="35"/>
  <c r="G1" i="35" s="1"/>
  <c r="C2" i="35"/>
  <c r="C1" i="35" s="1"/>
  <c r="V2" i="35"/>
  <c r="V1" i="35" s="1"/>
  <c r="J2" i="35"/>
  <c r="J1" i="35" s="1"/>
  <c r="AK57" i="11"/>
  <c r="AK56" i="11"/>
  <c r="AK55" i="11"/>
  <c r="AK54" i="11"/>
  <c r="AK53" i="11"/>
  <c r="AK52" i="11"/>
  <c r="AK51" i="11"/>
  <c r="AK50" i="11"/>
  <c r="AK49" i="11"/>
  <c r="AK48" i="11"/>
  <c r="AK47" i="11"/>
  <c r="AK46" i="11"/>
  <c r="AK45" i="11"/>
  <c r="AK44" i="11"/>
  <c r="AK43" i="11"/>
  <c r="AK42" i="11"/>
  <c r="AK41" i="11"/>
  <c r="AK40" i="11"/>
  <c r="AK39" i="11"/>
  <c r="AK38" i="11"/>
  <c r="AK37" i="11"/>
  <c r="AK36" i="11"/>
  <c r="AK35" i="11"/>
  <c r="AK34" i="11"/>
  <c r="AK33" i="11"/>
  <c r="AK32" i="11"/>
  <c r="AK31" i="11"/>
  <c r="AK30" i="11"/>
  <c r="AK29" i="11"/>
  <c r="AK28" i="11"/>
  <c r="AK27" i="11"/>
  <c r="AK26" i="11"/>
  <c r="AK25" i="11"/>
  <c r="AK24" i="11"/>
  <c r="AK23" i="11"/>
  <c r="AK22" i="11"/>
  <c r="AK21" i="11"/>
  <c r="AK20" i="11"/>
  <c r="AK19" i="11"/>
  <c r="AK18" i="11"/>
  <c r="AK17" i="11"/>
  <c r="AK16" i="11"/>
  <c r="AK15" i="11"/>
  <c r="AK14" i="11"/>
  <c r="AK13" i="11"/>
  <c r="AK12" i="11"/>
  <c r="AK11" i="11"/>
  <c r="AK10" i="11"/>
  <c r="AK9" i="11"/>
  <c r="AK8" i="11"/>
  <c r="AK7" i="11"/>
  <c r="AK6" i="11"/>
  <c r="AK5" i="11"/>
  <c r="AK4" i="11"/>
  <c r="AP3" i="11"/>
  <c r="AP4" i="11" s="1"/>
  <c r="AK3" i="11"/>
  <c r="AK57" i="10"/>
  <c r="AF57" i="10"/>
  <c r="AE57" i="10"/>
  <c r="AD57" i="10"/>
  <c r="AC57" i="10"/>
  <c r="AB57" i="10"/>
  <c r="AA57" i="10"/>
  <c r="Z57" i="10"/>
  <c r="Y57" i="10"/>
  <c r="X57" i="10"/>
  <c r="W57" i="10"/>
  <c r="V57" i="10"/>
  <c r="U57" i="10"/>
  <c r="T57" i="10"/>
  <c r="S57" i="10"/>
  <c r="R57" i="10"/>
  <c r="Q57" i="10"/>
  <c r="P57" i="10"/>
  <c r="O57" i="10"/>
  <c r="N57" i="10"/>
  <c r="M57" i="10"/>
  <c r="L57" i="10"/>
  <c r="K57" i="10"/>
  <c r="J57" i="10"/>
  <c r="I57" i="10"/>
  <c r="H57" i="10"/>
  <c r="G57" i="10"/>
  <c r="F57" i="10"/>
  <c r="E57" i="10"/>
  <c r="D57" i="10"/>
  <c r="C57" i="10"/>
  <c r="AK56" i="10"/>
  <c r="AF56" i="10"/>
  <c r="AE56" i="10"/>
  <c r="AD56" i="10"/>
  <c r="AC56" i="10"/>
  <c r="AB56" i="10"/>
  <c r="AA56" i="10"/>
  <c r="Z56" i="10"/>
  <c r="Y56" i="10"/>
  <c r="X56" i="10"/>
  <c r="W56" i="10"/>
  <c r="V56" i="10"/>
  <c r="U56" i="10"/>
  <c r="T56" i="10"/>
  <c r="S56" i="10"/>
  <c r="R56" i="10"/>
  <c r="Q56" i="10"/>
  <c r="P56" i="10"/>
  <c r="O56" i="10"/>
  <c r="N56" i="10"/>
  <c r="M56" i="10"/>
  <c r="L56" i="10"/>
  <c r="K56" i="10"/>
  <c r="J56" i="10"/>
  <c r="I56" i="10"/>
  <c r="H56" i="10"/>
  <c r="G56" i="10"/>
  <c r="F56" i="10"/>
  <c r="E56" i="10"/>
  <c r="D56" i="10"/>
  <c r="C56" i="10"/>
  <c r="AK55" i="10"/>
  <c r="AF55" i="10"/>
  <c r="AE55" i="10"/>
  <c r="AD55" i="10"/>
  <c r="AC55" i="10"/>
  <c r="AB55" i="10"/>
  <c r="AA55" i="10"/>
  <c r="Z55" i="10"/>
  <c r="Y55" i="10"/>
  <c r="X55" i="10"/>
  <c r="W55" i="10"/>
  <c r="V55" i="10"/>
  <c r="U55" i="10"/>
  <c r="T55" i="10"/>
  <c r="S55" i="10"/>
  <c r="R55" i="10"/>
  <c r="Q55" i="10"/>
  <c r="P55" i="10"/>
  <c r="O55" i="10"/>
  <c r="N55" i="10"/>
  <c r="M55" i="10"/>
  <c r="L55" i="10"/>
  <c r="K55" i="10"/>
  <c r="J55" i="10"/>
  <c r="I55" i="10"/>
  <c r="H55" i="10"/>
  <c r="G55" i="10"/>
  <c r="F55" i="10"/>
  <c r="E55" i="10"/>
  <c r="D55" i="10"/>
  <c r="C55" i="10"/>
  <c r="AK54" i="10"/>
  <c r="AF54" i="10"/>
  <c r="AE54" i="10"/>
  <c r="AD54" i="10"/>
  <c r="AC54" i="10"/>
  <c r="AB54" i="10"/>
  <c r="AA54" i="10"/>
  <c r="Z54" i="10"/>
  <c r="Y54" i="10"/>
  <c r="X54" i="10"/>
  <c r="W54" i="10"/>
  <c r="V54" i="10"/>
  <c r="U54" i="10"/>
  <c r="T54" i="10"/>
  <c r="S54" i="10"/>
  <c r="R54" i="10"/>
  <c r="Q54" i="10"/>
  <c r="P54" i="10"/>
  <c r="O54" i="10"/>
  <c r="N54" i="10"/>
  <c r="M54" i="10"/>
  <c r="L54" i="10"/>
  <c r="K54" i="10"/>
  <c r="J54" i="10"/>
  <c r="I54" i="10"/>
  <c r="H54" i="10"/>
  <c r="G54" i="10"/>
  <c r="F54" i="10"/>
  <c r="E54" i="10"/>
  <c r="D54" i="10"/>
  <c r="C54" i="10"/>
  <c r="AK53" i="10"/>
  <c r="AF53" i="10"/>
  <c r="AE53" i="10"/>
  <c r="AD53" i="10"/>
  <c r="AC53" i="10"/>
  <c r="AB53" i="10"/>
  <c r="AA53" i="10"/>
  <c r="Z53" i="10"/>
  <c r="Y53" i="10"/>
  <c r="X53" i="10"/>
  <c r="W53" i="10"/>
  <c r="V53" i="10"/>
  <c r="U53" i="10"/>
  <c r="T53" i="10"/>
  <c r="S53" i="10"/>
  <c r="R53" i="10"/>
  <c r="Q53" i="10"/>
  <c r="P53" i="10"/>
  <c r="O53" i="10"/>
  <c r="N53" i="10"/>
  <c r="M53" i="10"/>
  <c r="L53" i="10"/>
  <c r="K53" i="10"/>
  <c r="J53" i="10"/>
  <c r="I53" i="10"/>
  <c r="H53" i="10"/>
  <c r="G53" i="10"/>
  <c r="F53" i="10"/>
  <c r="E53" i="10"/>
  <c r="D53" i="10"/>
  <c r="C53" i="10"/>
  <c r="AK52" i="10"/>
  <c r="AF52" i="10"/>
  <c r="AE52" i="10"/>
  <c r="AD52" i="10"/>
  <c r="AC52" i="10"/>
  <c r="AB52" i="10"/>
  <c r="AA52" i="10"/>
  <c r="Z52" i="10"/>
  <c r="Y52" i="10"/>
  <c r="X52" i="10"/>
  <c r="W52" i="10"/>
  <c r="V52" i="10"/>
  <c r="U52" i="10"/>
  <c r="T52" i="10"/>
  <c r="S52" i="10"/>
  <c r="R52" i="10"/>
  <c r="Q52" i="10"/>
  <c r="P52" i="10"/>
  <c r="O52" i="10"/>
  <c r="N52" i="10"/>
  <c r="M52" i="10"/>
  <c r="L52" i="10"/>
  <c r="K52" i="10"/>
  <c r="J52" i="10"/>
  <c r="I52" i="10"/>
  <c r="H52" i="10"/>
  <c r="G52" i="10"/>
  <c r="F52" i="10"/>
  <c r="E52" i="10"/>
  <c r="D52" i="10"/>
  <c r="C52" i="10"/>
  <c r="AK51" i="10"/>
  <c r="AF51" i="10"/>
  <c r="AE51" i="10"/>
  <c r="AD51" i="10"/>
  <c r="AC51" i="10"/>
  <c r="AB51" i="10"/>
  <c r="AA51" i="10"/>
  <c r="Z51" i="10"/>
  <c r="Y51" i="10"/>
  <c r="X51" i="10"/>
  <c r="W51" i="10"/>
  <c r="V51" i="10"/>
  <c r="U51" i="10"/>
  <c r="T51" i="10"/>
  <c r="S51" i="10"/>
  <c r="R51" i="10"/>
  <c r="Q51" i="10"/>
  <c r="P51" i="10"/>
  <c r="O51" i="10"/>
  <c r="N51" i="10"/>
  <c r="M51" i="10"/>
  <c r="L51" i="10"/>
  <c r="K51" i="10"/>
  <c r="J51" i="10"/>
  <c r="I51" i="10"/>
  <c r="H51" i="10"/>
  <c r="G51" i="10"/>
  <c r="F51" i="10"/>
  <c r="E51" i="10"/>
  <c r="D51" i="10"/>
  <c r="C51" i="10"/>
  <c r="AK50" i="10"/>
  <c r="AF50" i="10"/>
  <c r="AE50" i="10"/>
  <c r="AD50" i="10"/>
  <c r="AC50" i="10"/>
  <c r="AB50" i="10"/>
  <c r="AA50" i="10"/>
  <c r="Z50" i="10"/>
  <c r="Y50" i="10"/>
  <c r="X50" i="10"/>
  <c r="W50" i="10"/>
  <c r="V50" i="10"/>
  <c r="U50" i="10"/>
  <c r="T50" i="10"/>
  <c r="S50" i="10"/>
  <c r="R50" i="10"/>
  <c r="Q50" i="10"/>
  <c r="P50" i="10"/>
  <c r="O50" i="10"/>
  <c r="N50" i="10"/>
  <c r="M50" i="10"/>
  <c r="L50" i="10"/>
  <c r="K50" i="10"/>
  <c r="J50" i="10"/>
  <c r="I50" i="10"/>
  <c r="H50" i="10"/>
  <c r="G50" i="10"/>
  <c r="F50" i="10"/>
  <c r="E50" i="10"/>
  <c r="D50" i="10"/>
  <c r="C50" i="10"/>
  <c r="AK49" i="10"/>
  <c r="AF49" i="10"/>
  <c r="AE49" i="10"/>
  <c r="AD49" i="10"/>
  <c r="AC49" i="10"/>
  <c r="AB49" i="10"/>
  <c r="AA49" i="10"/>
  <c r="Z49" i="10"/>
  <c r="Y49" i="10"/>
  <c r="X49" i="10"/>
  <c r="W49" i="10"/>
  <c r="V49" i="10"/>
  <c r="U49" i="10"/>
  <c r="T49" i="10"/>
  <c r="S49" i="10"/>
  <c r="R49" i="10"/>
  <c r="Q49" i="10"/>
  <c r="P49" i="10"/>
  <c r="O49" i="10"/>
  <c r="N49" i="10"/>
  <c r="M49" i="10"/>
  <c r="L49" i="10"/>
  <c r="K49" i="10"/>
  <c r="J49" i="10"/>
  <c r="I49" i="10"/>
  <c r="H49" i="10"/>
  <c r="G49" i="10"/>
  <c r="F49" i="10"/>
  <c r="E49" i="10"/>
  <c r="D49" i="10"/>
  <c r="C49" i="10"/>
  <c r="AK48" i="10"/>
  <c r="AF48" i="10"/>
  <c r="AE48" i="10"/>
  <c r="AD48" i="10"/>
  <c r="AC48" i="10"/>
  <c r="AB48" i="10"/>
  <c r="AA48" i="10"/>
  <c r="Z48" i="10"/>
  <c r="Y48" i="10"/>
  <c r="X48" i="10"/>
  <c r="W48" i="10"/>
  <c r="V48" i="10"/>
  <c r="U48" i="10"/>
  <c r="T48" i="10"/>
  <c r="S48" i="10"/>
  <c r="R48" i="10"/>
  <c r="Q48" i="10"/>
  <c r="P48" i="10"/>
  <c r="O48" i="10"/>
  <c r="N48" i="10"/>
  <c r="M48" i="10"/>
  <c r="L48" i="10"/>
  <c r="K48" i="10"/>
  <c r="J48" i="10"/>
  <c r="I48" i="10"/>
  <c r="H48" i="10"/>
  <c r="G48" i="10"/>
  <c r="F48" i="10"/>
  <c r="E48" i="10"/>
  <c r="D48" i="10"/>
  <c r="C48" i="10"/>
  <c r="AK47" i="10"/>
  <c r="AF47" i="10"/>
  <c r="AE47" i="10"/>
  <c r="AD47" i="10"/>
  <c r="AC47" i="10"/>
  <c r="AB47" i="10"/>
  <c r="AA47" i="10"/>
  <c r="Z47" i="10"/>
  <c r="Y47" i="10"/>
  <c r="X47" i="10"/>
  <c r="W47" i="10"/>
  <c r="V47" i="10"/>
  <c r="U47" i="10"/>
  <c r="T47" i="10"/>
  <c r="S47" i="10"/>
  <c r="R47" i="10"/>
  <c r="Q47" i="10"/>
  <c r="P47" i="10"/>
  <c r="O47" i="10"/>
  <c r="N47" i="10"/>
  <c r="M47" i="10"/>
  <c r="L47" i="10"/>
  <c r="K47" i="10"/>
  <c r="J47" i="10"/>
  <c r="I47" i="10"/>
  <c r="H47" i="10"/>
  <c r="G47" i="10"/>
  <c r="F47" i="10"/>
  <c r="E47" i="10"/>
  <c r="D47" i="10"/>
  <c r="C47" i="10"/>
  <c r="AK46" i="10"/>
  <c r="AF46" i="10"/>
  <c r="AE46" i="10"/>
  <c r="AD46" i="10"/>
  <c r="AC46" i="10"/>
  <c r="AB46" i="10"/>
  <c r="AA46" i="10"/>
  <c r="Z46" i="10"/>
  <c r="Y46" i="10"/>
  <c r="X46" i="10"/>
  <c r="W46" i="10"/>
  <c r="V46" i="10"/>
  <c r="U46" i="10"/>
  <c r="T46" i="10"/>
  <c r="S46" i="10"/>
  <c r="R46" i="10"/>
  <c r="Q46" i="10"/>
  <c r="P46" i="10"/>
  <c r="O46" i="10"/>
  <c r="N46" i="10"/>
  <c r="M46" i="10"/>
  <c r="L46" i="10"/>
  <c r="K46" i="10"/>
  <c r="J46" i="10"/>
  <c r="I46" i="10"/>
  <c r="H46" i="10"/>
  <c r="G46" i="10"/>
  <c r="F46" i="10"/>
  <c r="E46" i="10"/>
  <c r="D46" i="10"/>
  <c r="C46" i="10"/>
  <c r="AK45" i="10"/>
  <c r="AF45" i="10"/>
  <c r="AE45" i="10"/>
  <c r="AD45" i="10"/>
  <c r="AC45" i="10"/>
  <c r="AB45" i="10"/>
  <c r="AA45" i="10"/>
  <c r="Z45" i="10"/>
  <c r="Y45" i="10"/>
  <c r="X45" i="10"/>
  <c r="W45" i="10"/>
  <c r="V45" i="10"/>
  <c r="U45" i="10"/>
  <c r="T45" i="10"/>
  <c r="S45" i="10"/>
  <c r="R45" i="10"/>
  <c r="Q45" i="10"/>
  <c r="P45" i="10"/>
  <c r="O45" i="10"/>
  <c r="N45" i="10"/>
  <c r="M45" i="10"/>
  <c r="L45" i="10"/>
  <c r="K45" i="10"/>
  <c r="J45" i="10"/>
  <c r="I45" i="10"/>
  <c r="H45" i="10"/>
  <c r="G45" i="10"/>
  <c r="F45" i="10"/>
  <c r="E45" i="10"/>
  <c r="D45" i="10"/>
  <c r="C45" i="10"/>
  <c r="AK44" i="10"/>
  <c r="AF44" i="10"/>
  <c r="AE44" i="10"/>
  <c r="AD44" i="10"/>
  <c r="AC44" i="10"/>
  <c r="AB44" i="10"/>
  <c r="AA44" i="10"/>
  <c r="Z44" i="10"/>
  <c r="Y44" i="10"/>
  <c r="X44" i="10"/>
  <c r="W44" i="10"/>
  <c r="V44" i="10"/>
  <c r="U44" i="10"/>
  <c r="T44" i="10"/>
  <c r="S44" i="10"/>
  <c r="R44" i="10"/>
  <c r="Q44" i="10"/>
  <c r="P44" i="10"/>
  <c r="O44" i="10"/>
  <c r="N44" i="10"/>
  <c r="M44" i="10"/>
  <c r="L44" i="10"/>
  <c r="K44" i="10"/>
  <c r="J44" i="10"/>
  <c r="I44" i="10"/>
  <c r="H44" i="10"/>
  <c r="G44" i="10"/>
  <c r="F44" i="10"/>
  <c r="E44" i="10"/>
  <c r="D44" i="10"/>
  <c r="C44" i="10"/>
  <c r="AK43" i="10"/>
  <c r="AF43" i="10"/>
  <c r="AE43" i="10"/>
  <c r="AD43" i="10"/>
  <c r="AC43" i="10"/>
  <c r="AB43" i="10"/>
  <c r="AA43" i="10"/>
  <c r="Z43" i="10"/>
  <c r="Y43" i="10"/>
  <c r="X43" i="10"/>
  <c r="W43" i="10"/>
  <c r="V43" i="10"/>
  <c r="U43" i="10"/>
  <c r="T43" i="10"/>
  <c r="S43" i="10"/>
  <c r="R43" i="10"/>
  <c r="Q43" i="10"/>
  <c r="P43" i="10"/>
  <c r="O43" i="10"/>
  <c r="N43" i="10"/>
  <c r="M43" i="10"/>
  <c r="L43" i="10"/>
  <c r="K43" i="10"/>
  <c r="J43" i="10"/>
  <c r="I43" i="10"/>
  <c r="H43" i="10"/>
  <c r="G43" i="10"/>
  <c r="F43" i="10"/>
  <c r="E43" i="10"/>
  <c r="D43" i="10"/>
  <c r="C43" i="10"/>
  <c r="AK42" i="10"/>
  <c r="AF42" i="10"/>
  <c r="AE42" i="10"/>
  <c r="AD42" i="10"/>
  <c r="AC42" i="10"/>
  <c r="AB42" i="10"/>
  <c r="AA42" i="10"/>
  <c r="Z42" i="10"/>
  <c r="Y42" i="10"/>
  <c r="X42" i="10"/>
  <c r="W42" i="10"/>
  <c r="V42" i="10"/>
  <c r="U42" i="10"/>
  <c r="T42" i="10"/>
  <c r="S42" i="10"/>
  <c r="R42" i="10"/>
  <c r="Q42" i="10"/>
  <c r="P42" i="10"/>
  <c r="O42" i="10"/>
  <c r="N42" i="10"/>
  <c r="M42" i="10"/>
  <c r="L42" i="10"/>
  <c r="K42" i="10"/>
  <c r="J42" i="10"/>
  <c r="I42" i="10"/>
  <c r="H42" i="10"/>
  <c r="G42" i="10"/>
  <c r="F42" i="10"/>
  <c r="E42" i="10"/>
  <c r="D42" i="10"/>
  <c r="C42" i="10"/>
  <c r="AK41" i="10"/>
  <c r="AF41" i="10"/>
  <c r="AE41" i="10"/>
  <c r="AD41" i="10"/>
  <c r="AC41" i="10"/>
  <c r="AB41" i="10"/>
  <c r="AA41" i="10"/>
  <c r="Z41" i="10"/>
  <c r="Y41" i="10"/>
  <c r="X41" i="10"/>
  <c r="W41" i="10"/>
  <c r="V41" i="10"/>
  <c r="U41" i="10"/>
  <c r="T41" i="10"/>
  <c r="S41" i="10"/>
  <c r="R41" i="10"/>
  <c r="Q41" i="10"/>
  <c r="P41" i="10"/>
  <c r="O41" i="10"/>
  <c r="N41" i="10"/>
  <c r="M41" i="10"/>
  <c r="L41" i="10"/>
  <c r="K41" i="10"/>
  <c r="J41" i="10"/>
  <c r="I41" i="10"/>
  <c r="H41" i="10"/>
  <c r="G41" i="10"/>
  <c r="F41" i="10"/>
  <c r="E41" i="10"/>
  <c r="D41" i="10"/>
  <c r="C41" i="10"/>
  <c r="AK40" i="10"/>
  <c r="AF40" i="10"/>
  <c r="AE40" i="10"/>
  <c r="AD40" i="10"/>
  <c r="AC40" i="10"/>
  <c r="AB40" i="10"/>
  <c r="AA40" i="10"/>
  <c r="Z40" i="10"/>
  <c r="Y40" i="10"/>
  <c r="X40" i="10"/>
  <c r="W40" i="10"/>
  <c r="V40" i="10"/>
  <c r="U40" i="10"/>
  <c r="T40" i="10"/>
  <c r="S40" i="10"/>
  <c r="R40" i="10"/>
  <c r="Q40" i="10"/>
  <c r="P40" i="10"/>
  <c r="O40" i="10"/>
  <c r="N40" i="10"/>
  <c r="M40" i="10"/>
  <c r="L40" i="10"/>
  <c r="K40" i="10"/>
  <c r="J40" i="10"/>
  <c r="I40" i="10"/>
  <c r="H40" i="10"/>
  <c r="G40" i="10"/>
  <c r="F40" i="10"/>
  <c r="E40" i="10"/>
  <c r="D40" i="10"/>
  <c r="C40" i="10"/>
  <c r="AK39" i="10"/>
  <c r="AF39" i="10"/>
  <c r="AE39" i="10"/>
  <c r="AD39" i="10"/>
  <c r="AC39" i="10"/>
  <c r="AB39" i="10"/>
  <c r="AA39" i="10"/>
  <c r="Z39" i="10"/>
  <c r="Y39" i="10"/>
  <c r="X39" i="10"/>
  <c r="W39" i="10"/>
  <c r="V39" i="10"/>
  <c r="U39" i="10"/>
  <c r="T39" i="10"/>
  <c r="S39" i="10"/>
  <c r="R39" i="10"/>
  <c r="Q39" i="10"/>
  <c r="P39" i="10"/>
  <c r="O39" i="10"/>
  <c r="N39" i="10"/>
  <c r="M39" i="10"/>
  <c r="L39" i="10"/>
  <c r="K39" i="10"/>
  <c r="J39" i="10"/>
  <c r="I39" i="10"/>
  <c r="H39" i="10"/>
  <c r="G39" i="10"/>
  <c r="F39" i="10"/>
  <c r="E39" i="10"/>
  <c r="D39" i="10"/>
  <c r="C39" i="10"/>
  <c r="AK38" i="10"/>
  <c r="AF38" i="10"/>
  <c r="AE38" i="10"/>
  <c r="AD38" i="10"/>
  <c r="AC38" i="10"/>
  <c r="AB38" i="10"/>
  <c r="AA38" i="10"/>
  <c r="Z38" i="10"/>
  <c r="Y38" i="10"/>
  <c r="X38" i="10"/>
  <c r="W38" i="10"/>
  <c r="V38" i="10"/>
  <c r="U38" i="10"/>
  <c r="T38" i="10"/>
  <c r="S38" i="10"/>
  <c r="R38" i="10"/>
  <c r="Q38" i="10"/>
  <c r="P38" i="10"/>
  <c r="O38" i="10"/>
  <c r="N38" i="10"/>
  <c r="M38" i="10"/>
  <c r="L38" i="10"/>
  <c r="K38" i="10"/>
  <c r="J38" i="10"/>
  <c r="I38" i="10"/>
  <c r="H38" i="10"/>
  <c r="G38" i="10"/>
  <c r="F38" i="10"/>
  <c r="E38" i="10"/>
  <c r="D38" i="10"/>
  <c r="C38" i="10"/>
  <c r="AK37" i="10"/>
  <c r="AF37" i="10"/>
  <c r="AE37" i="10"/>
  <c r="AD37" i="10"/>
  <c r="AC37" i="10"/>
  <c r="AB37" i="10"/>
  <c r="AA37" i="10"/>
  <c r="Z37" i="10"/>
  <c r="Y37" i="10"/>
  <c r="X37" i="10"/>
  <c r="W37" i="10"/>
  <c r="V37" i="10"/>
  <c r="U37" i="10"/>
  <c r="T37" i="10"/>
  <c r="S37" i="10"/>
  <c r="R37" i="10"/>
  <c r="Q37" i="10"/>
  <c r="P37" i="10"/>
  <c r="O37" i="10"/>
  <c r="N37" i="10"/>
  <c r="M37" i="10"/>
  <c r="L37" i="10"/>
  <c r="K37" i="10"/>
  <c r="J37" i="10"/>
  <c r="I37" i="10"/>
  <c r="H37" i="10"/>
  <c r="G37" i="10"/>
  <c r="F37" i="10"/>
  <c r="E37" i="10"/>
  <c r="D37" i="10"/>
  <c r="C37" i="10"/>
  <c r="AK36" i="10"/>
  <c r="AF36" i="10"/>
  <c r="AE36" i="10"/>
  <c r="AD36" i="10"/>
  <c r="AC36" i="10"/>
  <c r="AB36" i="10"/>
  <c r="AA36" i="10"/>
  <c r="Z36" i="10"/>
  <c r="Y36" i="10"/>
  <c r="X36" i="10"/>
  <c r="W36" i="10"/>
  <c r="V36" i="10"/>
  <c r="U36" i="10"/>
  <c r="T36" i="10"/>
  <c r="S36" i="10"/>
  <c r="R36" i="10"/>
  <c r="Q36" i="10"/>
  <c r="P36" i="10"/>
  <c r="O36" i="10"/>
  <c r="N36" i="10"/>
  <c r="M36" i="10"/>
  <c r="L36" i="10"/>
  <c r="K36" i="10"/>
  <c r="J36" i="10"/>
  <c r="I36" i="10"/>
  <c r="H36" i="10"/>
  <c r="G36" i="10"/>
  <c r="F36" i="10"/>
  <c r="E36" i="10"/>
  <c r="D36" i="10"/>
  <c r="C36" i="10"/>
  <c r="AK35" i="10"/>
  <c r="AF35" i="10"/>
  <c r="AE35" i="10"/>
  <c r="AD35" i="10"/>
  <c r="AC35" i="10"/>
  <c r="AB35" i="10"/>
  <c r="AA35" i="10"/>
  <c r="Z35" i="10"/>
  <c r="Y35" i="10"/>
  <c r="X35" i="10"/>
  <c r="W35" i="10"/>
  <c r="V35" i="10"/>
  <c r="U35" i="10"/>
  <c r="T35" i="10"/>
  <c r="S35" i="10"/>
  <c r="R35" i="10"/>
  <c r="Q35" i="10"/>
  <c r="P35" i="10"/>
  <c r="O35" i="10"/>
  <c r="N35" i="10"/>
  <c r="M35" i="10"/>
  <c r="L35" i="10"/>
  <c r="K35" i="10"/>
  <c r="J35" i="10"/>
  <c r="I35" i="10"/>
  <c r="H35" i="10"/>
  <c r="G35" i="10"/>
  <c r="F35" i="10"/>
  <c r="E35" i="10"/>
  <c r="D35" i="10"/>
  <c r="C35" i="10"/>
  <c r="AK34" i="10"/>
  <c r="AF34" i="10"/>
  <c r="AE34" i="10"/>
  <c r="AD34" i="10"/>
  <c r="AC34" i="10"/>
  <c r="AB34" i="10"/>
  <c r="AA34" i="10"/>
  <c r="Z34" i="10"/>
  <c r="Y34" i="10"/>
  <c r="X34" i="10"/>
  <c r="W34" i="10"/>
  <c r="V34" i="10"/>
  <c r="U34" i="10"/>
  <c r="T34" i="10"/>
  <c r="S34" i="10"/>
  <c r="R34" i="10"/>
  <c r="Q34" i="10"/>
  <c r="P34" i="10"/>
  <c r="O34" i="10"/>
  <c r="N34" i="10"/>
  <c r="M34" i="10"/>
  <c r="L34" i="10"/>
  <c r="K34" i="10"/>
  <c r="J34" i="10"/>
  <c r="I34" i="10"/>
  <c r="H34" i="10"/>
  <c r="G34" i="10"/>
  <c r="F34" i="10"/>
  <c r="E34" i="10"/>
  <c r="D34" i="10"/>
  <c r="C34" i="10"/>
  <c r="AK33" i="10"/>
  <c r="AF33" i="10"/>
  <c r="AE33" i="10"/>
  <c r="AD33" i="10"/>
  <c r="AC33" i="10"/>
  <c r="AB33" i="10"/>
  <c r="AA33" i="10"/>
  <c r="Z33" i="10"/>
  <c r="Y33" i="10"/>
  <c r="X33" i="10"/>
  <c r="W33" i="10"/>
  <c r="V33" i="10"/>
  <c r="U33" i="10"/>
  <c r="T33" i="10"/>
  <c r="S33" i="10"/>
  <c r="R33" i="10"/>
  <c r="Q33" i="10"/>
  <c r="P33" i="10"/>
  <c r="O33" i="10"/>
  <c r="N33" i="10"/>
  <c r="M33" i="10"/>
  <c r="L33" i="10"/>
  <c r="K33" i="10"/>
  <c r="J33" i="10"/>
  <c r="I33" i="10"/>
  <c r="H33" i="10"/>
  <c r="G33" i="10"/>
  <c r="F33" i="10"/>
  <c r="E33" i="10"/>
  <c r="D33" i="10"/>
  <c r="C33" i="10"/>
  <c r="AK32" i="10"/>
  <c r="AF32" i="10"/>
  <c r="AE32" i="10"/>
  <c r="AD32" i="10"/>
  <c r="AC32" i="10"/>
  <c r="AB32" i="10"/>
  <c r="AA32" i="10"/>
  <c r="Z32" i="10"/>
  <c r="Y32" i="10"/>
  <c r="X32" i="10"/>
  <c r="W32" i="10"/>
  <c r="V32" i="10"/>
  <c r="U32" i="10"/>
  <c r="T32" i="10"/>
  <c r="S32" i="10"/>
  <c r="R32" i="10"/>
  <c r="Q32" i="10"/>
  <c r="P32" i="10"/>
  <c r="O32" i="10"/>
  <c r="N32" i="10"/>
  <c r="M32" i="10"/>
  <c r="L32" i="10"/>
  <c r="K32" i="10"/>
  <c r="J32" i="10"/>
  <c r="I32" i="10"/>
  <c r="H32" i="10"/>
  <c r="G32" i="10"/>
  <c r="F32" i="10"/>
  <c r="E32" i="10"/>
  <c r="D32" i="10"/>
  <c r="C32" i="10"/>
  <c r="AK31" i="10"/>
  <c r="AF31" i="10"/>
  <c r="AE31" i="10"/>
  <c r="AD31" i="10"/>
  <c r="AC31" i="10"/>
  <c r="AB31" i="10"/>
  <c r="AA31" i="10"/>
  <c r="Z31" i="10"/>
  <c r="Y31" i="10"/>
  <c r="X31" i="10"/>
  <c r="W31" i="10"/>
  <c r="V31" i="10"/>
  <c r="U31" i="10"/>
  <c r="T31" i="10"/>
  <c r="S31" i="10"/>
  <c r="R31" i="10"/>
  <c r="Q31" i="10"/>
  <c r="P31" i="10"/>
  <c r="O31" i="10"/>
  <c r="N31" i="10"/>
  <c r="M31" i="10"/>
  <c r="L31" i="10"/>
  <c r="K31" i="10"/>
  <c r="J31" i="10"/>
  <c r="I31" i="10"/>
  <c r="H31" i="10"/>
  <c r="G31" i="10"/>
  <c r="F31" i="10"/>
  <c r="E31" i="10"/>
  <c r="D31" i="10"/>
  <c r="C31" i="10"/>
  <c r="AK30" i="10"/>
  <c r="AF30" i="10"/>
  <c r="AE30" i="10"/>
  <c r="AD30" i="10"/>
  <c r="AC30" i="10"/>
  <c r="AB30" i="10"/>
  <c r="AA30" i="10"/>
  <c r="Z30" i="10"/>
  <c r="Y30" i="10"/>
  <c r="X30" i="10"/>
  <c r="W30" i="10"/>
  <c r="V30" i="10"/>
  <c r="U30" i="10"/>
  <c r="T30" i="10"/>
  <c r="S30" i="10"/>
  <c r="R30" i="10"/>
  <c r="Q30" i="10"/>
  <c r="P30" i="10"/>
  <c r="O30" i="10"/>
  <c r="N30" i="10"/>
  <c r="M30" i="10"/>
  <c r="L30" i="10"/>
  <c r="K30" i="10"/>
  <c r="J30" i="10"/>
  <c r="I30" i="10"/>
  <c r="H30" i="10"/>
  <c r="G30" i="10"/>
  <c r="F30" i="10"/>
  <c r="E30" i="10"/>
  <c r="D30" i="10"/>
  <c r="C30" i="10"/>
  <c r="AK29" i="10"/>
  <c r="AF29" i="10"/>
  <c r="AE29" i="10"/>
  <c r="AD29" i="10"/>
  <c r="AC29" i="10"/>
  <c r="AB29" i="10"/>
  <c r="AA29" i="10"/>
  <c r="Z29" i="10"/>
  <c r="Y29" i="10"/>
  <c r="X29" i="10"/>
  <c r="W29" i="10"/>
  <c r="V29" i="10"/>
  <c r="U29" i="10"/>
  <c r="T29" i="10"/>
  <c r="S29" i="10"/>
  <c r="R29" i="10"/>
  <c r="Q29" i="10"/>
  <c r="P29" i="10"/>
  <c r="O29" i="10"/>
  <c r="N29" i="10"/>
  <c r="M29" i="10"/>
  <c r="L29" i="10"/>
  <c r="K29" i="10"/>
  <c r="J29" i="10"/>
  <c r="I29" i="10"/>
  <c r="H29" i="10"/>
  <c r="G29" i="10"/>
  <c r="F29" i="10"/>
  <c r="E29" i="10"/>
  <c r="D29" i="10"/>
  <c r="C29" i="10"/>
  <c r="AK28" i="10"/>
  <c r="AF28" i="10"/>
  <c r="AE28" i="10"/>
  <c r="AD28" i="10"/>
  <c r="AC28" i="10"/>
  <c r="AB28" i="10"/>
  <c r="AA28" i="10"/>
  <c r="Z28" i="10"/>
  <c r="Y28" i="10"/>
  <c r="X28" i="10"/>
  <c r="W28" i="10"/>
  <c r="V28" i="10"/>
  <c r="U28" i="10"/>
  <c r="T28" i="10"/>
  <c r="S28" i="10"/>
  <c r="R28" i="10"/>
  <c r="Q28" i="10"/>
  <c r="P28" i="10"/>
  <c r="O28" i="10"/>
  <c r="N28" i="10"/>
  <c r="M28" i="10"/>
  <c r="L28" i="10"/>
  <c r="K28" i="10"/>
  <c r="J28" i="10"/>
  <c r="I28" i="10"/>
  <c r="H28" i="10"/>
  <c r="G28" i="10"/>
  <c r="F28" i="10"/>
  <c r="E28" i="10"/>
  <c r="D28" i="10"/>
  <c r="C28" i="10"/>
  <c r="AK27" i="10"/>
  <c r="AF27" i="10"/>
  <c r="AE27" i="10"/>
  <c r="AD27" i="10"/>
  <c r="AC27" i="10"/>
  <c r="AB27" i="10"/>
  <c r="AA27" i="10"/>
  <c r="Z27" i="10"/>
  <c r="Y27" i="10"/>
  <c r="X27" i="10"/>
  <c r="W27" i="10"/>
  <c r="V27" i="10"/>
  <c r="U27" i="10"/>
  <c r="T27" i="10"/>
  <c r="S27" i="10"/>
  <c r="R27" i="10"/>
  <c r="Q27" i="10"/>
  <c r="P27" i="10"/>
  <c r="O27" i="10"/>
  <c r="N27" i="10"/>
  <c r="M27" i="10"/>
  <c r="L27" i="10"/>
  <c r="K27" i="10"/>
  <c r="J27" i="10"/>
  <c r="I27" i="10"/>
  <c r="H27" i="10"/>
  <c r="G27" i="10"/>
  <c r="F27" i="10"/>
  <c r="E27" i="10"/>
  <c r="D27" i="10"/>
  <c r="C27" i="10"/>
  <c r="AK26" i="10"/>
  <c r="AF26" i="10"/>
  <c r="AE26" i="10"/>
  <c r="AD26" i="10"/>
  <c r="AC26" i="10"/>
  <c r="AB26" i="10"/>
  <c r="AA26" i="10"/>
  <c r="Z26" i="10"/>
  <c r="Y26" i="10"/>
  <c r="X26" i="10"/>
  <c r="W26" i="10"/>
  <c r="V26" i="10"/>
  <c r="U26" i="10"/>
  <c r="T26" i="10"/>
  <c r="S26" i="10"/>
  <c r="R26" i="10"/>
  <c r="Q26" i="10"/>
  <c r="P26" i="10"/>
  <c r="O26" i="10"/>
  <c r="N26" i="10"/>
  <c r="M26" i="10"/>
  <c r="L26" i="10"/>
  <c r="K26" i="10"/>
  <c r="J26" i="10"/>
  <c r="I26" i="10"/>
  <c r="H26" i="10"/>
  <c r="G26" i="10"/>
  <c r="F26" i="10"/>
  <c r="E26" i="10"/>
  <c r="D26" i="10"/>
  <c r="C26" i="10"/>
  <c r="AK25" i="10"/>
  <c r="AF25" i="10"/>
  <c r="AE25" i="10"/>
  <c r="AD25" i="10"/>
  <c r="AC25" i="10"/>
  <c r="AB25" i="10"/>
  <c r="AA25" i="10"/>
  <c r="Z25" i="10"/>
  <c r="Y25" i="10"/>
  <c r="X25" i="10"/>
  <c r="W25" i="10"/>
  <c r="V25" i="10"/>
  <c r="U25" i="10"/>
  <c r="T25" i="10"/>
  <c r="S25" i="10"/>
  <c r="R25" i="10"/>
  <c r="Q25" i="10"/>
  <c r="P25" i="10"/>
  <c r="O25" i="10"/>
  <c r="N25" i="10"/>
  <c r="M25" i="10"/>
  <c r="L25" i="10"/>
  <c r="K25" i="10"/>
  <c r="J25" i="10"/>
  <c r="I25" i="10"/>
  <c r="H25" i="10"/>
  <c r="G25" i="10"/>
  <c r="F25" i="10"/>
  <c r="E25" i="10"/>
  <c r="D25" i="10"/>
  <c r="C25" i="10"/>
  <c r="AK24" i="10"/>
  <c r="AF24" i="10"/>
  <c r="AE24" i="10"/>
  <c r="AD24" i="10"/>
  <c r="AC24" i="10"/>
  <c r="AB24" i="10"/>
  <c r="AA24" i="10"/>
  <c r="Z24" i="10"/>
  <c r="Y24" i="10"/>
  <c r="X24" i="10"/>
  <c r="W24" i="10"/>
  <c r="V24" i="10"/>
  <c r="U24" i="10"/>
  <c r="T24" i="10"/>
  <c r="S24" i="10"/>
  <c r="R24" i="10"/>
  <c r="Q24" i="10"/>
  <c r="P24" i="10"/>
  <c r="O24" i="10"/>
  <c r="N24" i="10"/>
  <c r="M24" i="10"/>
  <c r="L24" i="10"/>
  <c r="K24" i="10"/>
  <c r="J24" i="10"/>
  <c r="I24" i="10"/>
  <c r="H24" i="10"/>
  <c r="G24" i="10"/>
  <c r="F24" i="10"/>
  <c r="E24" i="10"/>
  <c r="D24" i="10"/>
  <c r="C24" i="10"/>
  <c r="AK23" i="10"/>
  <c r="AF23" i="10"/>
  <c r="AE23" i="10"/>
  <c r="AD23" i="10"/>
  <c r="AC23" i="10"/>
  <c r="AB23" i="10"/>
  <c r="AA23" i="10"/>
  <c r="Z23" i="10"/>
  <c r="Y23" i="10"/>
  <c r="X23" i="10"/>
  <c r="W23" i="10"/>
  <c r="V23" i="10"/>
  <c r="U23" i="10"/>
  <c r="T23" i="10"/>
  <c r="S23" i="10"/>
  <c r="R23" i="10"/>
  <c r="Q23" i="10"/>
  <c r="P23" i="10"/>
  <c r="O23" i="10"/>
  <c r="N23" i="10"/>
  <c r="M23" i="10"/>
  <c r="L23" i="10"/>
  <c r="K23" i="10"/>
  <c r="J23" i="10"/>
  <c r="I23" i="10"/>
  <c r="H23" i="10"/>
  <c r="G23" i="10"/>
  <c r="F23" i="10"/>
  <c r="E23" i="10"/>
  <c r="D23" i="10"/>
  <c r="C23" i="10"/>
  <c r="AK22" i="10"/>
  <c r="AF22" i="10"/>
  <c r="AE22" i="10"/>
  <c r="AD22" i="10"/>
  <c r="AC22" i="10"/>
  <c r="AB22" i="10"/>
  <c r="AA22" i="10"/>
  <c r="Z22" i="10"/>
  <c r="Y22" i="10"/>
  <c r="X22" i="10"/>
  <c r="W22" i="10"/>
  <c r="V22" i="10"/>
  <c r="U22" i="10"/>
  <c r="T22" i="10"/>
  <c r="S22" i="10"/>
  <c r="R22" i="10"/>
  <c r="Q22" i="10"/>
  <c r="P22" i="10"/>
  <c r="O22" i="10"/>
  <c r="N22" i="10"/>
  <c r="M22" i="10"/>
  <c r="L22" i="10"/>
  <c r="K22" i="10"/>
  <c r="J22" i="10"/>
  <c r="I22" i="10"/>
  <c r="H22" i="10"/>
  <c r="G22" i="10"/>
  <c r="F22" i="10"/>
  <c r="E22" i="10"/>
  <c r="D22" i="10"/>
  <c r="C22" i="10"/>
  <c r="AK21" i="10"/>
  <c r="AF21" i="10"/>
  <c r="AE21" i="10"/>
  <c r="AD21" i="10"/>
  <c r="AC21" i="10"/>
  <c r="AB21" i="10"/>
  <c r="AA21" i="10"/>
  <c r="Z21" i="10"/>
  <c r="Y21" i="10"/>
  <c r="X21" i="10"/>
  <c r="W21" i="10"/>
  <c r="V21" i="10"/>
  <c r="U21" i="10"/>
  <c r="T21" i="10"/>
  <c r="S21" i="10"/>
  <c r="R21" i="10"/>
  <c r="Q21" i="10"/>
  <c r="P21" i="10"/>
  <c r="O21" i="10"/>
  <c r="N21" i="10"/>
  <c r="M21" i="10"/>
  <c r="L21" i="10"/>
  <c r="K21" i="10"/>
  <c r="J21" i="10"/>
  <c r="I21" i="10"/>
  <c r="H21" i="10"/>
  <c r="G21" i="10"/>
  <c r="F21" i="10"/>
  <c r="E21" i="10"/>
  <c r="D21" i="10"/>
  <c r="C21" i="10"/>
  <c r="AK20" i="10"/>
  <c r="AF20" i="10"/>
  <c r="AE20" i="10"/>
  <c r="AD20" i="10"/>
  <c r="AC20" i="10"/>
  <c r="AB20" i="10"/>
  <c r="AA20" i="10"/>
  <c r="Z20" i="10"/>
  <c r="Y20" i="10"/>
  <c r="X20" i="10"/>
  <c r="W20" i="10"/>
  <c r="V20" i="10"/>
  <c r="U20" i="10"/>
  <c r="T20" i="10"/>
  <c r="S20" i="10"/>
  <c r="R20" i="10"/>
  <c r="Q20" i="10"/>
  <c r="P20" i="10"/>
  <c r="O20" i="10"/>
  <c r="N20" i="10"/>
  <c r="M20" i="10"/>
  <c r="L20" i="10"/>
  <c r="K20" i="10"/>
  <c r="J20" i="10"/>
  <c r="I20" i="10"/>
  <c r="H20" i="10"/>
  <c r="G20" i="10"/>
  <c r="F20" i="10"/>
  <c r="E20" i="10"/>
  <c r="D20" i="10"/>
  <c r="C20" i="10"/>
  <c r="AK19" i="10"/>
  <c r="AF19" i="10"/>
  <c r="AE19" i="10"/>
  <c r="AD19" i="10"/>
  <c r="AC19" i="10"/>
  <c r="AB19" i="10"/>
  <c r="AA19" i="10"/>
  <c r="Z19" i="10"/>
  <c r="Y19" i="10"/>
  <c r="X19" i="10"/>
  <c r="W19" i="10"/>
  <c r="V19" i="10"/>
  <c r="U19" i="10"/>
  <c r="T19" i="10"/>
  <c r="S19" i="10"/>
  <c r="R19" i="10"/>
  <c r="Q19" i="10"/>
  <c r="P19" i="10"/>
  <c r="O19" i="10"/>
  <c r="N19" i="10"/>
  <c r="M19" i="10"/>
  <c r="L19" i="10"/>
  <c r="K19" i="10"/>
  <c r="J19" i="10"/>
  <c r="I19" i="10"/>
  <c r="H19" i="10"/>
  <c r="G19" i="10"/>
  <c r="F19" i="10"/>
  <c r="E19" i="10"/>
  <c r="D19" i="10"/>
  <c r="C19" i="10"/>
  <c r="AK18" i="10"/>
  <c r="AF18" i="10"/>
  <c r="AE18" i="10"/>
  <c r="AD18" i="10"/>
  <c r="AC18" i="10"/>
  <c r="AB18" i="10"/>
  <c r="AA18" i="10"/>
  <c r="Z18" i="10"/>
  <c r="Y18" i="10"/>
  <c r="X18" i="10"/>
  <c r="W18" i="10"/>
  <c r="V18" i="10"/>
  <c r="U18" i="10"/>
  <c r="T18" i="10"/>
  <c r="S18" i="10"/>
  <c r="R18" i="10"/>
  <c r="Q18" i="10"/>
  <c r="P18" i="10"/>
  <c r="O18" i="10"/>
  <c r="N18" i="10"/>
  <c r="M18" i="10"/>
  <c r="L18" i="10"/>
  <c r="K18" i="10"/>
  <c r="J18" i="10"/>
  <c r="I18" i="10"/>
  <c r="H18" i="10"/>
  <c r="G18" i="10"/>
  <c r="F18" i="10"/>
  <c r="E18" i="10"/>
  <c r="D18" i="10"/>
  <c r="C18" i="10"/>
  <c r="AK17" i="10"/>
  <c r="AF17" i="10"/>
  <c r="AE17" i="10"/>
  <c r="AD17" i="10"/>
  <c r="AC17" i="10"/>
  <c r="AB17" i="10"/>
  <c r="AA17" i="10"/>
  <c r="Z17" i="10"/>
  <c r="Y17" i="10"/>
  <c r="X17" i="10"/>
  <c r="W17" i="10"/>
  <c r="V17" i="10"/>
  <c r="U17" i="10"/>
  <c r="T17" i="10"/>
  <c r="S17" i="10"/>
  <c r="R17" i="10"/>
  <c r="Q17" i="10"/>
  <c r="P17" i="10"/>
  <c r="O17" i="10"/>
  <c r="N17" i="10"/>
  <c r="M17" i="10"/>
  <c r="L17" i="10"/>
  <c r="K17" i="10"/>
  <c r="J17" i="10"/>
  <c r="I17" i="10"/>
  <c r="H17" i="10"/>
  <c r="G17" i="10"/>
  <c r="F17" i="10"/>
  <c r="E17" i="10"/>
  <c r="D17" i="10"/>
  <c r="C17" i="10"/>
  <c r="AK16" i="10"/>
  <c r="AF16" i="10"/>
  <c r="AE16" i="10"/>
  <c r="AD16" i="10"/>
  <c r="AC16" i="10"/>
  <c r="AB16" i="10"/>
  <c r="AA16" i="10"/>
  <c r="Z16" i="10"/>
  <c r="Y16" i="10"/>
  <c r="X16" i="10"/>
  <c r="W16" i="10"/>
  <c r="V16" i="10"/>
  <c r="U16" i="10"/>
  <c r="T16" i="10"/>
  <c r="S16" i="10"/>
  <c r="R16" i="10"/>
  <c r="Q16" i="10"/>
  <c r="P16" i="10"/>
  <c r="O16" i="10"/>
  <c r="N16" i="10"/>
  <c r="M16" i="10"/>
  <c r="L16" i="10"/>
  <c r="K16" i="10"/>
  <c r="J16" i="10"/>
  <c r="I16" i="10"/>
  <c r="H16" i="10"/>
  <c r="G16" i="10"/>
  <c r="F16" i="10"/>
  <c r="E16" i="10"/>
  <c r="D16" i="10"/>
  <c r="C16" i="10"/>
  <c r="AK15" i="10"/>
  <c r="AF15" i="10"/>
  <c r="AE15" i="10"/>
  <c r="AD15" i="10"/>
  <c r="AC15" i="10"/>
  <c r="AB15" i="10"/>
  <c r="AA15" i="10"/>
  <c r="Z15" i="10"/>
  <c r="Y15" i="10"/>
  <c r="X15" i="10"/>
  <c r="W15" i="10"/>
  <c r="V15" i="10"/>
  <c r="U15" i="10"/>
  <c r="T15" i="10"/>
  <c r="S15" i="10"/>
  <c r="R15" i="10"/>
  <c r="Q15" i="10"/>
  <c r="P15" i="10"/>
  <c r="O15" i="10"/>
  <c r="N15" i="10"/>
  <c r="M15" i="10"/>
  <c r="L15" i="10"/>
  <c r="K15" i="10"/>
  <c r="J15" i="10"/>
  <c r="I15" i="10"/>
  <c r="H15" i="10"/>
  <c r="G15" i="10"/>
  <c r="F15" i="10"/>
  <c r="E15" i="10"/>
  <c r="D15" i="10"/>
  <c r="C15" i="10"/>
  <c r="AK14" i="10"/>
  <c r="AF14" i="10"/>
  <c r="AE14" i="10"/>
  <c r="AD14" i="10"/>
  <c r="AC14" i="10"/>
  <c r="AB14" i="10"/>
  <c r="AA14" i="10"/>
  <c r="Z14" i="10"/>
  <c r="Y14" i="10"/>
  <c r="X14" i="10"/>
  <c r="W14" i="10"/>
  <c r="V14" i="10"/>
  <c r="U14" i="10"/>
  <c r="T14" i="10"/>
  <c r="S14" i="10"/>
  <c r="R14" i="10"/>
  <c r="Q14" i="10"/>
  <c r="P14" i="10"/>
  <c r="O14" i="10"/>
  <c r="N14" i="10"/>
  <c r="M14" i="10"/>
  <c r="L14" i="10"/>
  <c r="K14" i="10"/>
  <c r="J14" i="10"/>
  <c r="I14" i="10"/>
  <c r="H14" i="10"/>
  <c r="G14" i="10"/>
  <c r="F14" i="10"/>
  <c r="E14" i="10"/>
  <c r="D14" i="10"/>
  <c r="C14" i="10"/>
  <c r="AK13" i="10"/>
  <c r="AF13" i="10"/>
  <c r="AE13" i="10"/>
  <c r="AD13" i="10"/>
  <c r="AC13" i="10"/>
  <c r="AB13" i="10"/>
  <c r="AA13" i="10"/>
  <c r="Z13" i="10"/>
  <c r="Y13" i="10"/>
  <c r="X13" i="10"/>
  <c r="W13" i="10"/>
  <c r="V13" i="10"/>
  <c r="U13" i="10"/>
  <c r="T13" i="10"/>
  <c r="S13" i="10"/>
  <c r="R13" i="10"/>
  <c r="Q13" i="10"/>
  <c r="P13" i="10"/>
  <c r="O13" i="10"/>
  <c r="N13" i="10"/>
  <c r="M13" i="10"/>
  <c r="L13" i="10"/>
  <c r="K13" i="10"/>
  <c r="J13" i="10"/>
  <c r="I13" i="10"/>
  <c r="H13" i="10"/>
  <c r="G13" i="10"/>
  <c r="F13" i="10"/>
  <c r="E13" i="10"/>
  <c r="D13" i="10"/>
  <c r="C13" i="10"/>
  <c r="AK12" i="10"/>
  <c r="AF12" i="10"/>
  <c r="AE12" i="10"/>
  <c r="AD12" i="10"/>
  <c r="AC12" i="10"/>
  <c r="AB12" i="10"/>
  <c r="AA12" i="10"/>
  <c r="Z12" i="10"/>
  <c r="Y12" i="10"/>
  <c r="X12" i="10"/>
  <c r="W12" i="10"/>
  <c r="V12" i="10"/>
  <c r="U12" i="10"/>
  <c r="T12" i="10"/>
  <c r="S12" i="10"/>
  <c r="R12" i="10"/>
  <c r="Q12" i="10"/>
  <c r="P12" i="10"/>
  <c r="O12" i="10"/>
  <c r="N12" i="10"/>
  <c r="M12" i="10"/>
  <c r="L12" i="10"/>
  <c r="K12" i="10"/>
  <c r="J12" i="10"/>
  <c r="I12" i="10"/>
  <c r="H12" i="10"/>
  <c r="G12" i="10"/>
  <c r="F12" i="10"/>
  <c r="E12" i="10"/>
  <c r="D12" i="10"/>
  <c r="C12" i="10"/>
  <c r="AK11" i="10"/>
  <c r="AF11" i="10"/>
  <c r="AE11" i="10"/>
  <c r="AD11" i="10"/>
  <c r="AC11" i="10"/>
  <c r="AB11" i="10"/>
  <c r="AA11" i="10"/>
  <c r="Z11" i="10"/>
  <c r="Y11" i="10"/>
  <c r="X11" i="10"/>
  <c r="W11" i="10"/>
  <c r="V11" i="10"/>
  <c r="U11" i="10"/>
  <c r="T11" i="10"/>
  <c r="S11" i="10"/>
  <c r="R11" i="10"/>
  <c r="Q11" i="10"/>
  <c r="P11" i="10"/>
  <c r="O11" i="10"/>
  <c r="N11" i="10"/>
  <c r="M11" i="10"/>
  <c r="L11" i="10"/>
  <c r="K11" i="10"/>
  <c r="J11" i="10"/>
  <c r="I11" i="10"/>
  <c r="H11" i="10"/>
  <c r="G11" i="10"/>
  <c r="F11" i="10"/>
  <c r="E11" i="10"/>
  <c r="D11" i="10"/>
  <c r="C11" i="10"/>
  <c r="AK10" i="10"/>
  <c r="AF10" i="10"/>
  <c r="AE10" i="10"/>
  <c r="AD10" i="10"/>
  <c r="AC10" i="10"/>
  <c r="AB10" i="10"/>
  <c r="AA10" i="10"/>
  <c r="Z10" i="10"/>
  <c r="Y10" i="10"/>
  <c r="X10" i="10"/>
  <c r="W10" i="10"/>
  <c r="V10" i="10"/>
  <c r="U10" i="10"/>
  <c r="T10" i="10"/>
  <c r="S10" i="10"/>
  <c r="R10" i="10"/>
  <c r="Q10" i="10"/>
  <c r="P10" i="10"/>
  <c r="O10" i="10"/>
  <c r="N10" i="10"/>
  <c r="M10" i="10"/>
  <c r="L10" i="10"/>
  <c r="K10" i="10"/>
  <c r="J10" i="10"/>
  <c r="I10" i="10"/>
  <c r="H10" i="10"/>
  <c r="G10" i="10"/>
  <c r="F10" i="10"/>
  <c r="E10" i="10"/>
  <c r="D10" i="10"/>
  <c r="C10" i="10"/>
  <c r="AK9" i="10"/>
  <c r="AF9" i="10"/>
  <c r="AE9" i="10"/>
  <c r="AD9" i="10"/>
  <c r="AC9" i="10"/>
  <c r="AB9" i="10"/>
  <c r="AA9" i="10"/>
  <c r="Z9" i="10"/>
  <c r="Y9" i="10"/>
  <c r="X9" i="10"/>
  <c r="W9" i="10"/>
  <c r="V9" i="10"/>
  <c r="U9" i="10"/>
  <c r="T9" i="10"/>
  <c r="S9" i="10"/>
  <c r="R9" i="10"/>
  <c r="Q9" i="10"/>
  <c r="P9" i="10"/>
  <c r="O9" i="10"/>
  <c r="N9" i="10"/>
  <c r="M9" i="10"/>
  <c r="L9" i="10"/>
  <c r="K9" i="10"/>
  <c r="J9" i="10"/>
  <c r="I9" i="10"/>
  <c r="H9" i="10"/>
  <c r="G9" i="10"/>
  <c r="F9" i="10"/>
  <c r="E9" i="10"/>
  <c r="D9" i="10"/>
  <c r="C9" i="10"/>
  <c r="AK8" i="10"/>
  <c r="AF8" i="10"/>
  <c r="AE8" i="10"/>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AK7" i="10"/>
  <c r="AF7" i="10"/>
  <c r="AE7" i="10"/>
  <c r="AD7" i="10"/>
  <c r="AC7" i="10"/>
  <c r="AB7" i="10"/>
  <c r="AA7" i="10"/>
  <c r="Z7" i="10"/>
  <c r="Y7" i="10"/>
  <c r="X7" i="10"/>
  <c r="W7" i="10"/>
  <c r="V7" i="10"/>
  <c r="U7" i="10"/>
  <c r="T7" i="10"/>
  <c r="S7" i="10"/>
  <c r="R7" i="10"/>
  <c r="Q7" i="10"/>
  <c r="P7" i="10"/>
  <c r="O7" i="10"/>
  <c r="N7" i="10"/>
  <c r="M7" i="10"/>
  <c r="L7" i="10"/>
  <c r="K7" i="10"/>
  <c r="J7" i="10"/>
  <c r="I7" i="10"/>
  <c r="H7" i="10"/>
  <c r="G7" i="10"/>
  <c r="F7" i="10"/>
  <c r="E7" i="10"/>
  <c r="D7" i="10"/>
  <c r="C7" i="10"/>
  <c r="AK6" i="10"/>
  <c r="AF6" i="10"/>
  <c r="AE6" i="10"/>
  <c r="AD6" i="10"/>
  <c r="AC6" i="10"/>
  <c r="AB6" i="10"/>
  <c r="AA6" i="10"/>
  <c r="Z6" i="10"/>
  <c r="Y6" i="10"/>
  <c r="X6" i="10"/>
  <c r="W6" i="10"/>
  <c r="V6" i="10"/>
  <c r="U6" i="10"/>
  <c r="T6" i="10"/>
  <c r="S6" i="10"/>
  <c r="R6" i="10"/>
  <c r="Q6" i="10"/>
  <c r="P6" i="10"/>
  <c r="O6" i="10"/>
  <c r="N6" i="10"/>
  <c r="M6" i="10"/>
  <c r="L6" i="10"/>
  <c r="K6" i="10"/>
  <c r="J6" i="10"/>
  <c r="I6" i="10"/>
  <c r="H6" i="10"/>
  <c r="G6" i="10"/>
  <c r="F6" i="10"/>
  <c r="E6" i="10"/>
  <c r="D6" i="10"/>
  <c r="C6" i="10"/>
  <c r="AK5" i="10"/>
  <c r="AF5" i="10"/>
  <c r="AE5" i="10"/>
  <c r="AD5" i="10"/>
  <c r="AC5" i="10"/>
  <c r="AB5" i="10"/>
  <c r="AA5" i="10"/>
  <c r="Z5" i="10"/>
  <c r="Y5" i="10"/>
  <c r="X5" i="10"/>
  <c r="W5" i="10"/>
  <c r="V5" i="10"/>
  <c r="U5" i="10"/>
  <c r="T5" i="10"/>
  <c r="S5" i="10"/>
  <c r="R5" i="10"/>
  <c r="Q5" i="10"/>
  <c r="P5" i="10"/>
  <c r="O5" i="10"/>
  <c r="N5" i="10"/>
  <c r="M5" i="10"/>
  <c r="L5" i="10"/>
  <c r="K5" i="10"/>
  <c r="J5" i="10"/>
  <c r="I5" i="10"/>
  <c r="H5" i="10"/>
  <c r="G5" i="10"/>
  <c r="F5" i="10"/>
  <c r="E5" i="10"/>
  <c r="D5" i="10"/>
  <c r="C5" i="10"/>
  <c r="AK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E4" i="10"/>
  <c r="D4" i="10"/>
  <c r="C4" i="10"/>
  <c r="AP3" i="10"/>
  <c r="AP4" i="10" s="1"/>
  <c r="AK3" i="10"/>
  <c r="AF3" i="10"/>
  <c r="AE3" i="10"/>
  <c r="AD3" i="10"/>
  <c r="AC3" i="10"/>
  <c r="AB3" i="10"/>
  <c r="AA3" i="10"/>
  <c r="Z3" i="10"/>
  <c r="Y3" i="10"/>
  <c r="X3" i="10"/>
  <c r="W3" i="10"/>
  <c r="V3" i="10"/>
  <c r="U3" i="10"/>
  <c r="T3" i="10"/>
  <c r="S3" i="10"/>
  <c r="R3" i="10"/>
  <c r="Q3" i="10"/>
  <c r="P3" i="10"/>
  <c r="O3" i="10"/>
  <c r="N3" i="10"/>
  <c r="M3" i="10"/>
  <c r="L3" i="10"/>
  <c r="K3" i="10"/>
  <c r="J3" i="10"/>
  <c r="I3" i="10"/>
  <c r="H3" i="10"/>
  <c r="G3" i="10"/>
  <c r="F3" i="10"/>
  <c r="E3" i="10"/>
  <c r="D3" i="10"/>
  <c r="C3" i="10"/>
  <c r="AK57" i="9"/>
  <c r="AK56" i="9"/>
  <c r="AK55" i="9"/>
  <c r="AK54" i="9"/>
  <c r="AK53" i="9"/>
  <c r="AK52" i="9"/>
  <c r="AK51" i="9"/>
  <c r="AK50" i="9"/>
  <c r="AK49" i="9"/>
  <c r="AK48" i="9"/>
  <c r="AK47" i="9"/>
  <c r="AK46" i="9"/>
  <c r="AK45" i="9"/>
  <c r="AK44" i="9"/>
  <c r="AK43" i="9"/>
  <c r="AK42" i="9"/>
  <c r="AK41" i="9"/>
  <c r="AK40" i="9"/>
  <c r="AK39" i="9"/>
  <c r="AK38" i="9"/>
  <c r="AK37" i="9"/>
  <c r="AK36" i="9"/>
  <c r="AK35" i="9"/>
  <c r="AK34" i="9"/>
  <c r="AK33" i="9"/>
  <c r="AK32" i="9"/>
  <c r="AK31" i="9"/>
  <c r="AK30" i="9"/>
  <c r="AK29" i="9"/>
  <c r="AK28" i="9"/>
  <c r="AK27" i="9"/>
  <c r="AK26" i="9"/>
  <c r="AK25" i="9"/>
  <c r="AK24" i="9"/>
  <c r="AK23" i="9"/>
  <c r="AK22" i="9"/>
  <c r="AK21" i="9"/>
  <c r="AK20" i="9"/>
  <c r="AK19" i="9"/>
  <c r="AK18" i="9"/>
  <c r="AK17" i="9"/>
  <c r="AK16" i="9"/>
  <c r="AK15" i="9"/>
  <c r="AK14" i="9"/>
  <c r="AK13" i="9"/>
  <c r="AK12" i="9"/>
  <c r="AK11" i="9"/>
  <c r="AK10" i="9"/>
  <c r="AK9" i="9"/>
  <c r="AK8" i="9"/>
  <c r="AK7" i="9"/>
  <c r="AK6" i="9"/>
  <c r="AK5" i="9"/>
  <c r="AK4" i="9"/>
  <c r="AP3" i="9"/>
  <c r="AP4" i="9" s="1"/>
  <c r="AK3" i="9"/>
  <c r="AK57" i="8"/>
  <c r="AG57" i="8"/>
  <c r="AF57" i="8"/>
  <c r="AE57" i="8"/>
  <c r="AD57" i="8"/>
  <c r="AC57" i="8"/>
  <c r="AB57" i="8"/>
  <c r="AA57" i="8"/>
  <c r="Z57" i="8"/>
  <c r="Y57" i="8"/>
  <c r="X57" i="8"/>
  <c r="W57" i="8"/>
  <c r="V57" i="8"/>
  <c r="U57" i="8"/>
  <c r="T57" i="8"/>
  <c r="S57" i="8"/>
  <c r="R57" i="8"/>
  <c r="Q57" i="8"/>
  <c r="P57" i="8"/>
  <c r="O57" i="8"/>
  <c r="N57" i="8"/>
  <c r="M57" i="8"/>
  <c r="L57" i="8"/>
  <c r="K57" i="8"/>
  <c r="J57" i="8"/>
  <c r="I57" i="8"/>
  <c r="H57" i="8"/>
  <c r="G57" i="8"/>
  <c r="F57" i="8"/>
  <c r="E57" i="8"/>
  <c r="D57" i="8"/>
  <c r="C57" i="8"/>
  <c r="AK56" i="8"/>
  <c r="AG56" i="8"/>
  <c r="AF56" i="8"/>
  <c r="AE56" i="8"/>
  <c r="AD56" i="8"/>
  <c r="AC56" i="8"/>
  <c r="AB56" i="8"/>
  <c r="AA56" i="8"/>
  <c r="Z56" i="8"/>
  <c r="Y56" i="8"/>
  <c r="X56" i="8"/>
  <c r="W56" i="8"/>
  <c r="V56" i="8"/>
  <c r="U56" i="8"/>
  <c r="T56" i="8"/>
  <c r="S56" i="8"/>
  <c r="R56" i="8"/>
  <c r="Q56" i="8"/>
  <c r="P56" i="8"/>
  <c r="O56" i="8"/>
  <c r="N56" i="8"/>
  <c r="M56" i="8"/>
  <c r="L56" i="8"/>
  <c r="K56" i="8"/>
  <c r="J56" i="8"/>
  <c r="I56" i="8"/>
  <c r="H56" i="8"/>
  <c r="G56" i="8"/>
  <c r="F56" i="8"/>
  <c r="E56" i="8"/>
  <c r="D56" i="8"/>
  <c r="C56" i="8"/>
  <c r="AK55" i="8"/>
  <c r="AG55" i="8"/>
  <c r="AF55" i="8"/>
  <c r="AE55" i="8"/>
  <c r="AD55" i="8"/>
  <c r="AC55" i="8"/>
  <c r="AB55" i="8"/>
  <c r="AA55" i="8"/>
  <c r="Z55" i="8"/>
  <c r="Y55" i="8"/>
  <c r="X55" i="8"/>
  <c r="W55" i="8"/>
  <c r="V55" i="8"/>
  <c r="U55" i="8"/>
  <c r="T55" i="8"/>
  <c r="S55" i="8"/>
  <c r="R55" i="8"/>
  <c r="Q55" i="8"/>
  <c r="P55" i="8"/>
  <c r="O55" i="8"/>
  <c r="N55" i="8"/>
  <c r="M55" i="8"/>
  <c r="L55" i="8"/>
  <c r="K55" i="8"/>
  <c r="J55" i="8"/>
  <c r="I55" i="8"/>
  <c r="H55" i="8"/>
  <c r="G55" i="8"/>
  <c r="F55" i="8"/>
  <c r="E55" i="8"/>
  <c r="D55" i="8"/>
  <c r="C55" i="8"/>
  <c r="AK54" i="8"/>
  <c r="AG54" i="8"/>
  <c r="AF54" i="8"/>
  <c r="AE54" i="8"/>
  <c r="AD54" i="8"/>
  <c r="AC54" i="8"/>
  <c r="AB54" i="8"/>
  <c r="AA54" i="8"/>
  <c r="Z54" i="8"/>
  <c r="Y54" i="8"/>
  <c r="X54" i="8"/>
  <c r="W54" i="8"/>
  <c r="V54" i="8"/>
  <c r="U54" i="8"/>
  <c r="T54" i="8"/>
  <c r="S54" i="8"/>
  <c r="R54" i="8"/>
  <c r="Q54" i="8"/>
  <c r="P54" i="8"/>
  <c r="O54" i="8"/>
  <c r="N54" i="8"/>
  <c r="M54" i="8"/>
  <c r="L54" i="8"/>
  <c r="K54" i="8"/>
  <c r="J54" i="8"/>
  <c r="I54" i="8"/>
  <c r="H54" i="8"/>
  <c r="G54" i="8"/>
  <c r="F54" i="8"/>
  <c r="E54" i="8"/>
  <c r="D54" i="8"/>
  <c r="C54" i="8"/>
  <c r="AK53" i="8"/>
  <c r="AG53" i="8"/>
  <c r="AF53" i="8"/>
  <c r="AE53" i="8"/>
  <c r="AD53" i="8"/>
  <c r="AC53" i="8"/>
  <c r="AB53" i="8"/>
  <c r="AA53" i="8"/>
  <c r="Z53" i="8"/>
  <c r="Y53" i="8"/>
  <c r="X53" i="8"/>
  <c r="W53" i="8"/>
  <c r="V53" i="8"/>
  <c r="U53" i="8"/>
  <c r="T53" i="8"/>
  <c r="S53" i="8"/>
  <c r="R53" i="8"/>
  <c r="Q53" i="8"/>
  <c r="P53" i="8"/>
  <c r="O53" i="8"/>
  <c r="N53" i="8"/>
  <c r="M53" i="8"/>
  <c r="L53" i="8"/>
  <c r="K53" i="8"/>
  <c r="J53" i="8"/>
  <c r="I53" i="8"/>
  <c r="H53" i="8"/>
  <c r="G53" i="8"/>
  <c r="F53" i="8"/>
  <c r="E53" i="8"/>
  <c r="D53" i="8"/>
  <c r="C53" i="8"/>
  <c r="AK52" i="8"/>
  <c r="AG52" i="8"/>
  <c r="AF52" i="8"/>
  <c r="AE52" i="8"/>
  <c r="AD52" i="8"/>
  <c r="AC52" i="8"/>
  <c r="AB52" i="8"/>
  <c r="AA52" i="8"/>
  <c r="Z52" i="8"/>
  <c r="Y52" i="8"/>
  <c r="X52" i="8"/>
  <c r="W52" i="8"/>
  <c r="V52" i="8"/>
  <c r="U52" i="8"/>
  <c r="T52" i="8"/>
  <c r="S52" i="8"/>
  <c r="R52" i="8"/>
  <c r="Q52" i="8"/>
  <c r="P52" i="8"/>
  <c r="O52" i="8"/>
  <c r="N52" i="8"/>
  <c r="M52" i="8"/>
  <c r="L52" i="8"/>
  <c r="K52" i="8"/>
  <c r="J52" i="8"/>
  <c r="I52" i="8"/>
  <c r="H52" i="8"/>
  <c r="G52" i="8"/>
  <c r="F52" i="8"/>
  <c r="E52" i="8"/>
  <c r="D52" i="8"/>
  <c r="C52" i="8"/>
  <c r="AK51" i="8"/>
  <c r="AG51" i="8"/>
  <c r="AF51" i="8"/>
  <c r="AE51" i="8"/>
  <c r="AD51" i="8"/>
  <c r="AC51" i="8"/>
  <c r="AB51" i="8"/>
  <c r="AA51" i="8"/>
  <c r="Z51" i="8"/>
  <c r="Y51" i="8"/>
  <c r="X51" i="8"/>
  <c r="W51" i="8"/>
  <c r="V51" i="8"/>
  <c r="U51" i="8"/>
  <c r="T51" i="8"/>
  <c r="S51" i="8"/>
  <c r="R51" i="8"/>
  <c r="Q51" i="8"/>
  <c r="P51" i="8"/>
  <c r="O51" i="8"/>
  <c r="N51" i="8"/>
  <c r="M51" i="8"/>
  <c r="L51" i="8"/>
  <c r="K51" i="8"/>
  <c r="J51" i="8"/>
  <c r="I51" i="8"/>
  <c r="H51" i="8"/>
  <c r="G51" i="8"/>
  <c r="F51" i="8"/>
  <c r="E51" i="8"/>
  <c r="D51" i="8"/>
  <c r="C51" i="8"/>
  <c r="AK50" i="8"/>
  <c r="AG50" i="8"/>
  <c r="AF50" i="8"/>
  <c r="AE50" i="8"/>
  <c r="AD50" i="8"/>
  <c r="AC50" i="8"/>
  <c r="AB50" i="8"/>
  <c r="AA50" i="8"/>
  <c r="Z50" i="8"/>
  <c r="Y50" i="8"/>
  <c r="X50" i="8"/>
  <c r="W50" i="8"/>
  <c r="V50" i="8"/>
  <c r="U50" i="8"/>
  <c r="T50" i="8"/>
  <c r="S50" i="8"/>
  <c r="R50" i="8"/>
  <c r="Q50" i="8"/>
  <c r="P50" i="8"/>
  <c r="O50" i="8"/>
  <c r="N50" i="8"/>
  <c r="M50" i="8"/>
  <c r="L50" i="8"/>
  <c r="K50" i="8"/>
  <c r="J50" i="8"/>
  <c r="I50" i="8"/>
  <c r="H50" i="8"/>
  <c r="G50" i="8"/>
  <c r="F50" i="8"/>
  <c r="E50" i="8"/>
  <c r="D50" i="8"/>
  <c r="C50" i="8"/>
  <c r="AK49" i="8"/>
  <c r="AG49" i="8"/>
  <c r="AF49" i="8"/>
  <c r="AE49" i="8"/>
  <c r="AD49" i="8"/>
  <c r="AC49" i="8"/>
  <c r="AB49" i="8"/>
  <c r="AA49" i="8"/>
  <c r="Z49" i="8"/>
  <c r="Y49" i="8"/>
  <c r="X49" i="8"/>
  <c r="W49" i="8"/>
  <c r="V49" i="8"/>
  <c r="U49" i="8"/>
  <c r="T49" i="8"/>
  <c r="S49" i="8"/>
  <c r="R49" i="8"/>
  <c r="Q49" i="8"/>
  <c r="P49" i="8"/>
  <c r="O49" i="8"/>
  <c r="N49" i="8"/>
  <c r="M49" i="8"/>
  <c r="L49" i="8"/>
  <c r="K49" i="8"/>
  <c r="J49" i="8"/>
  <c r="I49" i="8"/>
  <c r="H49" i="8"/>
  <c r="G49" i="8"/>
  <c r="F49" i="8"/>
  <c r="E49" i="8"/>
  <c r="D49" i="8"/>
  <c r="C49" i="8"/>
  <c r="AK48" i="8"/>
  <c r="AG48" i="8"/>
  <c r="AF48" i="8"/>
  <c r="AE48" i="8"/>
  <c r="AD48" i="8"/>
  <c r="AC48" i="8"/>
  <c r="AB48" i="8"/>
  <c r="AA48" i="8"/>
  <c r="Z48" i="8"/>
  <c r="Y48" i="8"/>
  <c r="X48" i="8"/>
  <c r="W48" i="8"/>
  <c r="V48" i="8"/>
  <c r="U48" i="8"/>
  <c r="T48" i="8"/>
  <c r="S48" i="8"/>
  <c r="R48" i="8"/>
  <c r="Q48" i="8"/>
  <c r="P48" i="8"/>
  <c r="O48" i="8"/>
  <c r="N48" i="8"/>
  <c r="M48" i="8"/>
  <c r="L48" i="8"/>
  <c r="K48" i="8"/>
  <c r="J48" i="8"/>
  <c r="I48" i="8"/>
  <c r="H48" i="8"/>
  <c r="G48" i="8"/>
  <c r="F48" i="8"/>
  <c r="E48" i="8"/>
  <c r="D48" i="8"/>
  <c r="C48" i="8"/>
  <c r="AK47" i="8"/>
  <c r="AG47" i="8"/>
  <c r="AF47" i="8"/>
  <c r="AE47" i="8"/>
  <c r="AD47" i="8"/>
  <c r="AC47" i="8"/>
  <c r="AB47" i="8"/>
  <c r="AA47" i="8"/>
  <c r="Z47" i="8"/>
  <c r="Y47" i="8"/>
  <c r="X47" i="8"/>
  <c r="W47" i="8"/>
  <c r="V47" i="8"/>
  <c r="U47" i="8"/>
  <c r="T47" i="8"/>
  <c r="S47" i="8"/>
  <c r="R47" i="8"/>
  <c r="Q47" i="8"/>
  <c r="P47" i="8"/>
  <c r="O47" i="8"/>
  <c r="N47" i="8"/>
  <c r="M47" i="8"/>
  <c r="L47" i="8"/>
  <c r="K47" i="8"/>
  <c r="J47" i="8"/>
  <c r="I47" i="8"/>
  <c r="H47" i="8"/>
  <c r="G47" i="8"/>
  <c r="F47" i="8"/>
  <c r="E47" i="8"/>
  <c r="D47" i="8"/>
  <c r="C47" i="8"/>
  <c r="AK46" i="8"/>
  <c r="AG46" i="8"/>
  <c r="AF46" i="8"/>
  <c r="AE46" i="8"/>
  <c r="AD46" i="8"/>
  <c r="AC46" i="8"/>
  <c r="AB46" i="8"/>
  <c r="AA46" i="8"/>
  <c r="Z46" i="8"/>
  <c r="Y46" i="8"/>
  <c r="X46" i="8"/>
  <c r="W46" i="8"/>
  <c r="V46" i="8"/>
  <c r="U46" i="8"/>
  <c r="T46" i="8"/>
  <c r="S46" i="8"/>
  <c r="R46" i="8"/>
  <c r="Q46" i="8"/>
  <c r="P46" i="8"/>
  <c r="O46" i="8"/>
  <c r="N46" i="8"/>
  <c r="M46" i="8"/>
  <c r="L46" i="8"/>
  <c r="K46" i="8"/>
  <c r="J46" i="8"/>
  <c r="I46" i="8"/>
  <c r="H46" i="8"/>
  <c r="G46" i="8"/>
  <c r="F46" i="8"/>
  <c r="E46" i="8"/>
  <c r="D46" i="8"/>
  <c r="C46" i="8"/>
  <c r="AK45" i="8"/>
  <c r="AG45" i="8"/>
  <c r="AF45" i="8"/>
  <c r="AE45" i="8"/>
  <c r="AD45" i="8"/>
  <c r="AC45" i="8"/>
  <c r="AB45" i="8"/>
  <c r="AA45" i="8"/>
  <c r="Z45" i="8"/>
  <c r="Y45" i="8"/>
  <c r="X45" i="8"/>
  <c r="W45" i="8"/>
  <c r="V45" i="8"/>
  <c r="U45" i="8"/>
  <c r="T45" i="8"/>
  <c r="S45" i="8"/>
  <c r="R45" i="8"/>
  <c r="Q45" i="8"/>
  <c r="P45" i="8"/>
  <c r="O45" i="8"/>
  <c r="N45" i="8"/>
  <c r="M45" i="8"/>
  <c r="L45" i="8"/>
  <c r="K45" i="8"/>
  <c r="J45" i="8"/>
  <c r="I45" i="8"/>
  <c r="H45" i="8"/>
  <c r="G45" i="8"/>
  <c r="F45" i="8"/>
  <c r="E45" i="8"/>
  <c r="D45" i="8"/>
  <c r="C45" i="8"/>
  <c r="AK44" i="8"/>
  <c r="AG44" i="8"/>
  <c r="AF44" i="8"/>
  <c r="AE44" i="8"/>
  <c r="AD44" i="8"/>
  <c r="AC44" i="8"/>
  <c r="AB44" i="8"/>
  <c r="AA44" i="8"/>
  <c r="Z44" i="8"/>
  <c r="Y44" i="8"/>
  <c r="X44" i="8"/>
  <c r="W44" i="8"/>
  <c r="V44" i="8"/>
  <c r="U44" i="8"/>
  <c r="T44" i="8"/>
  <c r="S44" i="8"/>
  <c r="R44" i="8"/>
  <c r="Q44" i="8"/>
  <c r="P44" i="8"/>
  <c r="O44" i="8"/>
  <c r="N44" i="8"/>
  <c r="M44" i="8"/>
  <c r="L44" i="8"/>
  <c r="K44" i="8"/>
  <c r="J44" i="8"/>
  <c r="I44" i="8"/>
  <c r="H44" i="8"/>
  <c r="G44" i="8"/>
  <c r="F44" i="8"/>
  <c r="E44" i="8"/>
  <c r="D44" i="8"/>
  <c r="C44" i="8"/>
  <c r="AK43" i="8"/>
  <c r="AG43" i="8"/>
  <c r="AF43" i="8"/>
  <c r="AE43" i="8"/>
  <c r="AD43" i="8"/>
  <c r="AC43" i="8"/>
  <c r="AB43" i="8"/>
  <c r="AA43" i="8"/>
  <c r="Z43" i="8"/>
  <c r="Y43" i="8"/>
  <c r="X43" i="8"/>
  <c r="W43" i="8"/>
  <c r="V43" i="8"/>
  <c r="U43" i="8"/>
  <c r="T43" i="8"/>
  <c r="S43" i="8"/>
  <c r="R43" i="8"/>
  <c r="Q43" i="8"/>
  <c r="P43" i="8"/>
  <c r="O43" i="8"/>
  <c r="N43" i="8"/>
  <c r="M43" i="8"/>
  <c r="L43" i="8"/>
  <c r="K43" i="8"/>
  <c r="J43" i="8"/>
  <c r="I43" i="8"/>
  <c r="H43" i="8"/>
  <c r="G43" i="8"/>
  <c r="F43" i="8"/>
  <c r="E43" i="8"/>
  <c r="D43" i="8"/>
  <c r="C43" i="8"/>
  <c r="AK42" i="8"/>
  <c r="AG42" i="8"/>
  <c r="AF42" i="8"/>
  <c r="AE42" i="8"/>
  <c r="AD42" i="8"/>
  <c r="AC42" i="8"/>
  <c r="AB42" i="8"/>
  <c r="AA42" i="8"/>
  <c r="Z42" i="8"/>
  <c r="Y42" i="8"/>
  <c r="X42" i="8"/>
  <c r="W42" i="8"/>
  <c r="V42" i="8"/>
  <c r="U42" i="8"/>
  <c r="T42" i="8"/>
  <c r="S42" i="8"/>
  <c r="R42" i="8"/>
  <c r="Q42" i="8"/>
  <c r="P42" i="8"/>
  <c r="O42" i="8"/>
  <c r="N42" i="8"/>
  <c r="M42" i="8"/>
  <c r="L42" i="8"/>
  <c r="K42" i="8"/>
  <c r="J42" i="8"/>
  <c r="I42" i="8"/>
  <c r="H42" i="8"/>
  <c r="G42" i="8"/>
  <c r="F42" i="8"/>
  <c r="E42" i="8"/>
  <c r="D42" i="8"/>
  <c r="C42" i="8"/>
  <c r="AK41" i="8"/>
  <c r="AG41" i="8"/>
  <c r="AF41" i="8"/>
  <c r="AE41" i="8"/>
  <c r="AD41" i="8"/>
  <c r="AC41" i="8"/>
  <c r="AB41" i="8"/>
  <c r="AA41" i="8"/>
  <c r="Z41" i="8"/>
  <c r="Y41" i="8"/>
  <c r="X41" i="8"/>
  <c r="W41" i="8"/>
  <c r="V41" i="8"/>
  <c r="U41" i="8"/>
  <c r="T41" i="8"/>
  <c r="S41" i="8"/>
  <c r="R41" i="8"/>
  <c r="Q41" i="8"/>
  <c r="P41" i="8"/>
  <c r="O41" i="8"/>
  <c r="N41" i="8"/>
  <c r="M41" i="8"/>
  <c r="L41" i="8"/>
  <c r="K41" i="8"/>
  <c r="J41" i="8"/>
  <c r="I41" i="8"/>
  <c r="H41" i="8"/>
  <c r="G41" i="8"/>
  <c r="F41" i="8"/>
  <c r="E41" i="8"/>
  <c r="D41" i="8"/>
  <c r="C41" i="8"/>
  <c r="AK40" i="8"/>
  <c r="AG40" i="8"/>
  <c r="AF40" i="8"/>
  <c r="AE40" i="8"/>
  <c r="AD40" i="8"/>
  <c r="AC40" i="8"/>
  <c r="AB40" i="8"/>
  <c r="AA40" i="8"/>
  <c r="Z40" i="8"/>
  <c r="Y40" i="8"/>
  <c r="X40" i="8"/>
  <c r="W40" i="8"/>
  <c r="V40" i="8"/>
  <c r="U40" i="8"/>
  <c r="T40" i="8"/>
  <c r="S40" i="8"/>
  <c r="R40" i="8"/>
  <c r="Q40" i="8"/>
  <c r="P40" i="8"/>
  <c r="O40" i="8"/>
  <c r="N40" i="8"/>
  <c r="M40" i="8"/>
  <c r="L40" i="8"/>
  <c r="K40" i="8"/>
  <c r="J40" i="8"/>
  <c r="I40" i="8"/>
  <c r="H40" i="8"/>
  <c r="G40" i="8"/>
  <c r="F40" i="8"/>
  <c r="E40" i="8"/>
  <c r="D40" i="8"/>
  <c r="C40" i="8"/>
  <c r="AK39" i="8"/>
  <c r="AG39" i="8"/>
  <c r="AF39" i="8"/>
  <c r="AE39" i="8"/>
  <c r="AD39" i="8"/>
  <c r="AC39" i="8"/>
  <c r="AB39" i="8"/>
  <c r="AA39" i="8"/>
  <c r="Z39" i="8"/>
  <c r="Y39" i="8"/>
  <c r="X39" i="8"/>
  <c r="W39" i="8"/>
  <c r="V39" i="8"/>
  <c r="U39" i="8"/>
  <c r="T39" i="8"/>
  <c r="S39" i="8"/>
  <c r="R39" i="8"/>
  <c r="Q39" i="8"/>
  <c r="P39" i="8"/>
  <c r="O39" i="8"/>
  <c r="N39" i="8"/>
  <c r="M39" i="8"/>
  <c r="L39" i="8"/>
  <c r="K39" i="8"/>
  <c r="J39" i="8"/>
  <c r="I39" i="8"/>
  <c r="H39" i="8"/>
  <c r="G39" i="8"/>
  <c r="F39" i="8"/>
  <c r="E39" i="8"/>
  <c r="D39" i="8"/>
  <c r="C39" i="8"/>
  <c r="AK38" i="8"/>
  <c r="AG38" i="8"/>
  <c r="AF38" i="8"/>
  <c r="AE38" i="8"/>
  <c r="AD38" i="8"/>
  <c r="AC38" i="8"/>
  <c r="AB38" i="8"/>
  <c r="AA38" i="8"/>
  <c r="Z38" i="8"/>
  <c r="Y38" i="8"/>
  <c r="X38" i="8"/>
  <c r="W38" i="8"/>
  <c r="V38" i="8"/>
  <c r="U38" i="8"/>
  <c r="T38" i="8"/>
  <c r="S38" i="8"/>
  <c r="R38" i="8"/>
  <c r="Q38" i="8"/>
  <c r="P38" i="8"/>
  <c r="O38" i="8"/>
  <c r="N38" i="8"/>
  <c r="M38" i="8"/>
  <c r="L38" i="8"/>
  <c r="K38" i="8"/>
  <c r="J38" i="8"/>
  <c r="I38" i="8"/>
  <c r="H38" i="8"/>
  <c r="G38" i="8"/>
  <c r="F38" i="8"/>
  <c r="E38" i="8"/>
  <c r="D38" i="8"/>
  <c r="C38" i="8"/>
  <c r="AK37" i="8"/>
  <c r="AG37" i="8"/>
  <c r="AF37" i="8"/>
  <c r="AE37" i="8"/>
  <c r="AD37" i="8"/>
  <c r="AC37" i="8"/>
  <c r="AB37" i="8"/>
  <c r="AA37" i="8"/>
  <c r="Z37" i="8"/>
  <c r="Y37" i="8"/>
  <c r="X37" i="8"/>
  <c r="W37" i="8"/>
  <c r="V37" i="8"/>
  <c r="U37" i="8"/>
  <c r="T37" i="8"/>
  <c r="S37" i="8"/>
  <c r="R37" i="8"/>
  <c r="Q37" i="8"/>
  <c r="P37" i="8"/>
  <c r="O37" i="8"/>
  <c r="N37" i="8"/>
  <c r="M37" i="8"/>
  <c r="L37" i="8"/>
  <c r="K37" i="8"/>
  <c r="J37" i="8"/>
  <c r="I37" i="8"/>
  <c r="H37" i="8"/>
  <c r="G37" i="8"/>
  <c r="F37" i="8"/>
  <c r="E37" i="8"/>
  <c r="D37" i="8"/>
  <c r="C37" i="8"/>
  <c r="AK36" i="8"/>
  <c r="AG36" i="8"/>
  <c r="AF36" i="8"/>
  <c r="AE36" i="8"/>
  <c r="AD36" i="8"/>
  <c r="AC36" i="8"/>
  <c r="AB36" i="8"/>
  <c r="AA36" i="8"/>
  <c r="Z36" i="8"/>
  <c r="Y36" i="8"/>
  <c r="X36" i="8"/>
  <c r="W36" i="8"/>
  <c r="V36" i="8"/>
  <c r="U36" i="8"/>
  <c r="T36" i="8"/>
  <c r="S36" i="8"/>
  <c r="R36" i="8"/>
  <c r="Q36" i="8"/>
  <c r="P36" i="8"/>
  <c r="O36" i="8"/>
  <c r="N36" i="8"/>
  <c r="M36" i="8"/>
  <c r="L36" i="8"/>
  <c r="K36" i="8"/>
  <c r="J36" i="8"/>
  <c r="I36" i="8"/>
  <c r="H36" i="8"/>
  <c r="G36" i="8"/>
  <c r="F36" i="8"/>
  <c r="E36" i="8"/>
  <c r="D36" i="8"/>
  <c r="C36" i="8"/>
  <c r="AK35" i="8"/>
  <c r="AG35" i="8"/>
  <c r="AF35" i="8"/>
  <c r="AE35" i="8"/>
  <c r="AD35" i="8"/>
  <c r="AC35" i="8"/>
  <c r="AB35" i="8"/>
  <c r="AA35" i="8"/>
  <c r="Z35" i="8"/>
  <c r="Y35" i="8"/>
  <c r="X35" i="8"/>
  <c r="W35" i="8"/>
  <c r="V35" i="8"/>
  <c r="U35" i="8"/>
  <c r="T35" i="8"/>
  <c r="S35" i="8"/>
  <c r="R35" i="8"/>
  <c r="Q35" i="8"/>
  <c r="P35" i="8"/>
  <c r="O35" i="8"/>
  <c r="N35" i="8"/>
  <c r="M35" i="8"/>
  <c r="L35" i="8"/>
  <c r="K35" i="8"/>
  <c r="J35" i="8"/>
  <c r="I35" i="8"/>
  <c r="H35" i="8"/>
  <c r="G35" i="8"/>
  <c r="F35" i="8"/>
  <c r="E35" i="8"/>
  <c r="D35" i="8"/>
  <c r="C35" i="8"/>
  <c r="AK34" i="8"/>
  <c r="AG34" i="8"/>
  <c r="AF34" i="8"/>
  <c r="AE34" i="8"/>
  <c r="AD34" i="8"/>
  <c r="AC34" i="8"/>
  <c r="AB34" i="8"/>
  <c r="AA34" i="8"/>
  <c r="Z34" i="8"/>
  <c r="Y34" i="8"/>
  <c r="X34" i="8"/>
  <c r="W34" i="8"/>
  <c r="V34" i="8"/>
  <c r="U34" i="8"/>
  <c r="T34" i="8"/>
  <c r="S34" i="8"/>
  <c r="R34" i="8"/>
  <c r="Q34" i="8"/>
  <c r="P34" i="8"/>
  <c r="O34" i="8"/>
  <c r="N34" i="8"/>
  <c r="M34" i="8"/>
  <c r="L34" i="8"/>
  <c r="K34" i="8"/>
  <c r="J34" i="8"/>
  <c r="I34" i="8"/>
  <c r="H34" i="8"/>
  <c r="G34" i="8"/>
  <c r="F34" i="8"/>
  <c r="E34" i="8"/>
  <c r="D34" i="8"/>
  <c r="C34" i="8"/>
  <c r="AK33" i="8"/>
  <c r="AG33" i="8"/>
  <c r="AF33" i="8"/>
  <c r="AE33" i="8"/>
  <c r="AD33" i="8"/>
  <c r="AC33" i="8"/>
  <c r="AB33" i="8"/>
  <c r="AA33" i="8"/>
  <c r="Z33" i="8"/>
  <c r="Y33" i="8"/>
  <c r="X33" i="8"/>
  <c r="W33" i="8"/>
  <c r="V33" i="8"/>
  <c r="U33" i="8"/>
  <c r="T33" i="8"/>
  <c r="S33" i="8"/>
  <c r="R33" i="8"/>
  <c r="Q33" i="8"/>
  <c r="P33" i="8"/>
  <c r="O33" i="8"/>
  <c r="N33" i="8"/>
  <c r="M33" i="8"/>
  <c r="L33" i="8"/>
  <c r="K33" i="8"/>
  <c r="J33" i="8"/>
  <c r="I33" i="8"/>
  <c r="H33" i="8"/>
  <c r="G33" i="8"/>
  <c r="F33" i="8"/>
  <c r="E33" i="8"/>
  <c r="D33" i="8"/>
  <c r="C33" i="8"/>
  <c r="AK32" i="8"/>
  <c r="AG32" i="8"/>
  <c r="AF32" i="8"/>
  <c r="AE32" i="8"/>
  <c r="AD32" i="8"/>
  <c r="AC32" i="8"/>
  <c r="AB32" i="8"/>
  <c r="AA32" i="8"/>
  <c r="Z32" i="8"/>
  <c r="Y32" i="8"/>
  <c r="X32" i="8"/>
  <c r="W32" i="8"/>
  <c r="V32" i="8"/>
  <c r="U32" i="8"/>
  <c r="T32" i="8"/>
  <c r="S32" i="8"/>
  <c r="R32" i="8"/>
  <c r="Q32" i="8"/>
  <c r="P32" i="8"/>
  <c r="O32" i="8"/>
  <c r="N32" i="8"/>
  <c r="M32" i="8"/>
  <c r="L32" i="8"/>
  <c r="K32" i="8"/>
  <c r="J32" i="8"/>
  <c r="I32" i="8"/>
  <c r="H32" i="8"/>
  <c r="G32" i="8"/>
  <c r="F32" i="8"/>
  <c r="E32" i="8"/>
  <c r="D32" i="8"/>
  <c r="C32" i="8"/>
  <c r="AK31" i="8"/>
  <c r="AG31" i="8"/>
  <c r="AF31" i="8"/>
  <c r="AE31" i="8"/>
  <c r="AD31" i="8"/>
  <c r="AC31" i="8"/>
  <c r="AB31" i="8"/>
  <c r="AA31" i="8"/>
  <c r="Z31" i="8"/>
  <c r="Y31" i="8"/>
  <c r="X31" i="8"/>
  <c r="W31" i="8"/>
  <c r="V31" i="8"/>
  <c r="U31" i="8"/>
  <c r="T31" i="8"/>
  <c r="S31" i="8"/>
  <c r="R31" i="8"/>
  <c r="Q31" i="8"/>
  <c r="P31" i="8"/>
  <c r="O31" i="8"/>
  <c r="N31" i="8"/>
  <c r="M31" i="8"/>
  <c r="L31" i="8"/>
  <c r="K31" i="8"/>
  <c r="J31" i="8"/>
  <c r="I31" i="8"/>
  <c r="H31" i="8"/>
  <c r="G31" i="8"/>
  <c r="F31" i="8"/>
  <c r="E31" i="8"/>
  <c r="D31" i="8"/>
  <c r="C31" i="8"/>
  <c r="AK30" i="8"/>
  <c r="AG30" i="8"/>
  <c r="AF30" i="8"/>
  <c r="AE30" i="8"/>
  <c r="AD30" i="8"/>
  <c r="AC30" i="8"/>
  <c r="AB30" i="8"/>
  <c r="AA30" i="8"/>
  <c r="Z30" i="8"/>
  <c r="Y30" i="8"/>
  <c r="X30" i="8"/>
  <c r="W30" i="8"/>
  <c r="V30" i="8"/>
  <c r="U30" i="8"/>
  <c r="T30" i="8"/>
  <c r="S30" i="8"/>
  <c r="R30" i="8"/>
  <c r="Q30" i="8"/>
  <c r="P30" i="8"/>
  <c r="O30" i="8"/>
  <c r="N30" i="8"/>
  <c r="M30" i="8"/>
  <c r="L30" i="8"/>
  <c r="K30" i="8"/>
  <c r="J30" i="8"/>
  <c r="I30" i="8"/>
  <c r="H30" i="8"/>
  <c r="G30" i="8"/>
  <c r="F30" i="8"/>
  <c r="E30" i="8"/>
  <c r="D30" i="8"/>
  <c r="C30" i="8"/>
  <c r="AK29" i="8"/>
  <c r="AG29" i="8"/>
  <c r="AF29" i="8"/>
  <c r="AE29" i="8"/>
  <c r="AD29" i="8"/>
  <c r="AC29" i="8"/>
  <c r="AB29" i="8"/>
  <c r="AA29" i="8"/>
  <c r="Z29" i="8"/>
  <c r="Y29" i="8"/>
  <c r="X29" i="8"/>
  <c r="W29" i="8"/>
  <c r="V29" i="8"/>
  <c r="U29" i="8"/>
  <c r="T29" i="8"/>
  <c r="S29" i="8"/>
  <c r="R29" i="8"/>
  <c r="Q29" i="8"/>
  <c r="P29" i="8"/>
  <c r="O29" i="8"/>
  <c r="N29" i="8"/>
  <c r="M29" i="8"/>
  <c r="L29" i="8"/>
  <c r="K29" i="8"/>
  <c r="J29" i="8"/>
  <c r="I29" i="8"/>
  <c r="H29" i="8"/>
  <c r="G29" i="8"/>
  <c r="F29" i="8"/>
  <c r="E29" i="8"/>
  <c r="D29" i="8"/>
  <c r="C29" i="8"/>
  <c r="AK28" i="8"/>
  <c r="AG28" i="8"/>
  <c r="AF28" i="8"/>
  <c r="AE28" i="8"/>
  <c r="AD28" i="8"/>
  <c r="AC28" i="8"/>
  <c r="AB28" i="8"/>
  <c r="AA28" i="8"/>
  <c r="Z28" i="8"/>
  <c r="Y28" i="8"/>
  <c r="X28" i="8"/>
  <c r="W28" i="8"/>
  <c r="V28" i="8"/>
  <c r="U28" i="8"/>
  <c r="T28" i="8"/>
  <c r="S28" i="8"/>
  <c r="R28" i="8"/>
  <c r="Q28" i="8"/>
  <c r="P28" i="8"/>
  <c r="O28" i="8"/>
  <c r="N28" i="8"/>
  <c r="M28" i="8"/>
  <c r="L28" i="8"/>
  <c r="K28" i="8"/>
  <c r="J28" i="8"/>
  <c r="I28" i="8"/>
  <c r="H28" i="8"/>
  <c r="G28" i="8"/>
  <c r="F28" i="8"/>
  <c r="E28" i="8"/>
  <c r="D28" i="8"/>
  <c r="C28" i="8"/>
  <c r="AK27" i="8"/>
  <c r="AG27" i="8"/>
  <c r="AF27" i="8"/>
  <c r="AE27" i="8"/>
  <c r="AD27" i="8"/>
  <c r="AC27" i="8"/>
  <c r="AB27" i="8"/>
  <c r="AA27" i="8"/>
  <c r="Z27" i="8"/>
  <c r="Y27" i="8"/>
  <c r="X27" i="8"/>
  <c r="W27" i="8"/>
  <c r="V27" i="8"/>
  <c r="U27" i="8"/>
  <c r="T27" i="8"/>
  <c r="S27" i="8"/>
  <c r="R27" i="8"/>
  <c r="Q27" i="8"/>
  <c r="P27" i="8"/>
  <c r="O27" i="8"/>
  <c r="N27" i="8"/>
  <c r="M27" i="8"/>
  <c r="L27" i="8"/>
  <c r="K27" i="8"/>
  <c r="J27" i="8"/>
  <c r="I27" i="8"/>
  <c r="H27" i="8"/>
  <c r="G27" i="8"/>
  <c r="F27" i="8"/>
  <c r="E27" i="8"/>
  <c r="D27" i="8"/>
  <c r="C27" i="8"/>
  <c r="AK26" i="8"/>
  <c r="AG26" i="8"/>
  <c r="AF26" i="8"/>
  <c r="AE26" i="8"/>
  <c r="AD26" i="8"/>
  <c r="AC26" i="8"/>
  <c r="AB26" i="8"/>
  <c r="AA26" i="8"/>
  <c r="Z26" i="8"/>
  <c r="Y26" i="8"/>
  <c r="X26" i="8"/>
  <c r="W26" i="8"/>
  <c r="V26" i="8"/>
  <c r="U26" i="8"/>
  <c r="T26" i="8"/>
  <c r="S26" i="8"/>
  <c r="R26" i="8"/>
  <c r="Q26" i="8"/>
  <c r="P26" i="8"/>
  <c r="O26" i="8"/>
  <c r="N26" i="8"/>
  <c r="M26" i="8"/>
  <c r="L26" i="8"/>
  <c r="K26" i="8"/>
  <c r="J26" i="8"/>
  <c r="I26" i="8"/>
  <c r="H26" i="8"/>
  <c r="G26" i="8"/>
  <c r="F26" i="8"/>
  <c r="E26" i="8"/>
  <c r="D26" i="8"/>
  <c r="C26" i="8"/>
  <c r="AK25" i="8"/>
  <c r="AG25" i="8"/>
  <c r="AF25" i="8"/>
  <c r="AE25" i="8"/>
  <c r="AD25" i="8"/>
  <c r="AC25" i="8"/>
  <c r="AB25" i="8"/>
  <c r="AA25" i="8"/>
  <c r="Z25" i="8"/>
  <c r="Y25" i="8"/>
  <c r="X25" i="8"/>
  <c r="W25" i="8"/>
  <c r="V25" i="8"/>
  <c r="U25" i="8"/>
  <c r="T25" i="8"/>
  <c r="S25" i="8"/>
  <c r="R25" i="8"/>
  <c r="Q25" i="8"/>
  <c r="P25" i="8"/>
  <c r="O25" i="8"/>
  <c r="N25" i="8"/>
  <c r="M25" i="8"/>
  <c r="L25" i="8"/>
  <c r="K25" i="8"/>
  <c r="J25" i="8"/>
  <c r="I25" i="8"/>
  <c r="H25" i="8"/>
  <c r="G25" i="8"/>
  <c r="F25" i="8"/>
  <c r="E25" i="8"/>
  <c r="D25" i="8"/>
  <c r="C25" i="8"/>
  <c r="AK24" i="8"/>
  <c r="AG24" i="8"/>
  <c r="AF24" i="8"/>
  <c r="AE24" i="8"/>
  <c r="AD24" i="8"/>
  <c r="AC24" i="8"/>
  <c r="AB24" i="8"/>
  <c r="AA24" i="8"/>
  <c r="Z24" i="8"/>
  <c r="Y24" i="8"/>
  <c r="X24" i="8"/>
  <c r="W24" i="8"/>
  <c r="V24" i="8"/>
  <c r="U24" i="8"/>
  <c r="T24" i="8"/>
  <c r="S24" i="8"/>
  <c r="R24" i="8"/>
  <c r="Q24" i="8"/>
  <c r="P24" i="8"/>
  <c r="O24" i="8"/>
  <c r="N24" i="8"/>
  <c r="M24" i="8"/>
  <c r="L24" i="8"/>
  <c r="K24" i="8"/>
  <c r="J24" i="8"/>
  <c r="I24" i="8"/>
  <c r="H24" i="8"/>
  <c r="G24" i="8"/>
  <c r="F24" i="8"/>
  <c r="E24" i="8"/>
  <c r="D24" i="8"/>
  <c r="C24" i="8"/>
  <c r="AK23" i="8"/>
  <c r="AG23" i="8"/>
  <c r="AF23" i="8"/>
  <c r="AE23" i="8"/>
  <c r="AD23" i="8"/>
  <c r="AC23" i="8"/>
  <c r="AB23" i="8"/>
  <c r="AA23" i="8"/>
  <c r="Z23" i="8"/>
  <c r="Y23" i="8"/>
  <c r="X23" i="8"/>
  <c r="W23" i="8"/>
  <c r="V23" i="8"/>
  <c r="U23" i="8"/>
  <c r="T23" i="8"/>
  <c r="S23" i="8"/>
  <c r="R23" i="8"/>
  <c r="Q23" i="8"/>
  <c r="P23" i="8"/>
  <c r="O23" i="8"/>
  <c r="N23" i="8"/>
  <c r="M23" i="8"/>
  <c r="L23" i="8"/>
  <c r="K23" i="8"/>
  <c r="J23" i="8"/>
  <c r="I23" i="8"/>
  <c r="H23" i="8"/>
  <c r="G23" i="8"/>
  <c r="F23" i="8"/>
  <c r="E23" i="8"/>
  <c r="D23" i="8"/>
  <c r="C23" i="8"/>
  <c r="AK22" i="8"/>
  <c r="AG22" i="8"/>
  <c r="AF22" i="8"/>
  <c r="AE22" i="8"/>
  <c r="AD22" i="8"/>
  <c r="AC22" i="8"/>
  <c r="AB22" i="8"/>
  <c r="AA22" i="8"/>
  <c r="Z22" i="8"/>
  <c r="Y22" i="8"/>
  <c r="X22" i="8"/>
  <c r="W22" i="8"/>
  <c r="V22" i="8"/>
  <c r="U22" i="8"/>
  <c r="T22" i="8"/>
  <c r="S22" i="8"/>
  <c r="R22" i="8"/>
  <c r="Q22" i="8"/>
  <c r="P22" i="8"/>
  <c r="O22" i="8"/>
  <c r="N22" i="8"/>
  <c r="M22" i="8"/>
  <c r="L22" i="8"/>
  <c r="K22" i="8"/>
  <c r="J22" i="8"/>
  <c r="I22" i="8"/>
  <c r="H22" i="8"/>
  <c r="G22" i="8"/>
  <c r="F22" i="8"/>
  <c r="E22" i="8"/>
  <c r="D22" i="8"/>
  <c r="C22" i="8"/>
  <c r="AK21" i="8"/>
  <c r="AG21" i="8"/>
  <c r="AF21" i="8"/>
  <c r="AE21" i="8"/>
  <c r="AD21" i="8"/>
  <c r="AC21" i="8"/>
  <c r="AB21" i="8"/>
  <c r="AA21" i="8"/>
  <c r="Z21" i="8"/>
  <c r="Y21" i="8"/>
  <c r="X21" i="8"/>
  <c r="W21" i="8"/>
  <c r="V21" i="8"/>
  <c r="U21" i="8"/>
  <c r="T21" i="8"/>
  <c r="S21" i="8"/>
  <c r="R21" i="8"/>
  <c r="Q21" i="8"/>
  <c r="P21" i="8"/>
  <c r="O21" i="8"/>
  <c r="N21" i="8"/>
  <c r="M21" i="8"/>
  <c r="L21" i="8"/>
  <c r="K21" i="8"/>
  <c r="J21" i="8"/>
  <c r="I21" i="8"/>
  <c r="H21" i="8"/>
  <c r="G21" i="8"/>
  <c r="F21" i="8"/>
  <c r="E21" i="8"/>
  <c r="D21" i="8"/>
  <c r="C21" i="8"/>
  <c r="AK20" i="8"/>
  <c r="AG20" i="8"/>
  <c r="AF20" i="8"/>
  <c r="AE20" i="8"/>
  <c r="AD20" i="8"/>
  <c r="AC20" i="8"/>
  <c r="AB20" i="8"/>
  <c r="AA20" i="8"/>
  <c r="Z20" i="8"/>
  <c r="Y20" i="8"/>
  <c r="X20" i="8"/>
  <c r="W20" i="8"/>
  <c r="V20" i="8"/>
  <c r="U20" i="8"/>
  <c r="T20" i="8"/>
  <c r="S20" i="8"/>
  <c r="R20" i="8"/>
  <c r="Q20" i="8"/>
  <c r="P20" i="8"/>
  <c r="O20" i="8"/>
  <c r="N20" i="8"/>
  <c r="M20" i="8"/>
  <c r="L20" i="8"/>
  <c r="K20" i="8"/>
  <c r="J20" i="8"/>
  <c r="I20" i="8"/>
  <c r="H20" i="8"/>
  <c r="G20" i="8"/>
  <c r="F20" i="8"/>
  <c r="E20" i="8"/>
  <c r="D20" i="8"/>
  <c r="C20" i="8"/>
  <c r="AK19" i="8"/>
  <c r="AG19" i="8"/>
  <c r="AF19" i="8"/>
  <c r="AE19" i="8"/>
  <c r="AD19" i="8"/>
  <c r="AC19" i="8"/>
  <c r="AB19" i="8"/>
  <c r="AA19" i="8"/>
  <c r="Z19" i="8"/>
  <c r="Y19" i="8"/>
  <c r="X19" i="8"/>
  <c r="W19" i="8"/>
  <c r="V19" i="8"/>
  <c r="U19" i="8"/>
  <c r="T19" i="8"/>
  <c r="S19" i="8"/>
  <c r="R19" i="8"/>
  <c r="Q19" i="8"/>
  <c r="P19" i="8"/>
  <c r="O19" i="8"/>
  <c r="N19" i="8"/>
  <c r="M19" i="8"/>
  <c r="L19" i="8"/>
  <c r="K19" i="8"/>
  <c r="J19" i="8"/>
  <c r="I19" i="8"/>
  <c r="H19" i="8"/>
  <c r="G19" i="8"/>
  <c r="F19" i="8"/>
  <c r="E19" i="8"/>
  <c r="D19" i="8"/>
  <c r="C19" i="8"/>
  <c r="AK18" i="8"/>
  <c r="AG18" i="8"/>
  <c r="AF18" i="8"/>
  <c r="AE18" i="8"/>
  <c r="AD18" i="8"/>
  <c r="AC18" i="8"/>
  <c r="AB18" i="8"/>
  <c r="AA18" i="8"/>
  <c r="Z18" i="8"/>
  <c r="Y18" i="8"/>
  <c r="X18" i="8"/>
  <c r="W18" i="8"/>
  <c r="V18" i="8"/>
  <c r="U18" i="8"/>
  <c r="T18" i="8"/>
  <c r="S18" i="8"/>
  <c r="R18" i="8"/>
  <c r="Q18" i="8"/>
  <c r="P18" i="8"/>
  <c r="O18" i="8"/>
  <c r="N18" i="8"/>
  <c r="M18" i="8"/>
  <c r="L18" i="8"/>
  <c r="K18" i="8"/>
  <c r="J18" i="8"/>
  <c r="I18" i="8"/>
  <c r="H18" i="8"/>
  <c r="G18" i="8"/>
  <c r="F18" i="8"/>
  <c r="E18" i="8"/>
  <c r="D18" i="8"/>
  <c r="C18" i="8"/>
  <c r="AK17" i="8"/>
  <c r="AG17" i="8"/>
  <c r="AF17" i="8"/>
  <c r="AE17" i="8"/>
  <c r="AD17" i="8"/>
  <c r="AC17" i="8"/>
  <c r="AB17" i="8"/>
  <c r="AA17" i="8"/>
  <c r="Z17" i="8"/>
  <c r="Y17" i="8"/>
  <c r="X17" i="8"/>
  <c r="W17" i="8"/>
  <c r="V17" i="8"/>
  <c r="U17" i="8"/>
  <c r="T17" i="8"/>
  <c r="S17" i="8"/>
  <c r="R17" i="8"/>
  <c r="Q17" i="8"/>
  <c r="P17" i="8"/>
  <c r="O17" i="8"/>
  <c r="N17" i="8"/>
  <c r="M17" i="8"/>
  <c r="L17" i="8"/>
  <c r="K17" i="8"/>
  <c r="J17" i="8"/>
  <c r="I17" i="8"/>
  <c r="H17" i="8"/>
  <c r="G17" i="8"/>
  <c r="F17" i="8"/>
  <c r="E17" i="8"/>
  <c r="D17" i="8"/>
  <c r="C17" i="8"/>
  <c r="AK16" i="8"/>
  <c r="AG16" i="8"/>
  <c r="AF16" i="8"/>
  <c r="AE16" i="8"/>
  <c r="AD16" i="8"/>
  <c r="AC16" i="8"/>
  <c r="AB16" i="8"/>
  <c r="AA16" i="8"/>
  <c r="Z16" i="8"/>
  <c r="Y16" i="8"/>
  <c r="X16" i="8"/>
  <c r="W16" i="8"/>
  <c r="V16" i="8"/>
  <c r="U16" i="8"/>
  <c r="T16" i="8"/>
  <c r="S16" i="8"/>
  <c r="R16" i="8"/>
  <c r="Q16" i="8"/>
  <c r="P16" i="8"/>
  <c r="O16" i="8"/>
  <c r="N16" i="8"/>
  <c r="M16" i="8"/>
  <c r="L16" i="8"/>
  <c r="K16" i="8"/>
  <c r="J16" i="8"/>
  <c r="I16" i="8"/>
  <c r="H16" i="8"/>
  <c r="G16" i="8"/>
  <c r="F16" i="8"/>
  <c r="E16" i="8"/>
  <c r="D16" i="8"/>
  <c r="C16" i="8"/>
  <c r="AK15" i="8"/>
  <c r="AG15" i="8"/>
  <c r="AF15" i="8"/>
  <c r="AE15" i="8"/>
  <c r="AD15" i="8"/>
  <c r="AC15" i="8"/>
  <c r="AB15" i="8"/>
  <c r="AA15" i="8"/>
  <c r="Z15" i="8"/>
  <c r="Y15" i="8"/>
  <c r="X15" i="8"/>
  <c r="W15" i="8"/>
  <c r="V15" i="8"/>
  <c r="U15" i="8"/>
  <c r="T15" i="8"/>
  <c r="S15" i="8"/>
  <c r="R15" i="8"/>
  <c r="Q15" i="8"/>
  <c r="P15" i="8"/>
  <c r="O15" i="8"/>
  <c r="N15" i="8"/>
  <c r="M15" i="8"/>
  <c r="L15" i="8"/>
  <c r="K15" i="8"/>
  <c r="J15" i="8"/>
  <c r="I15" i="8"/>
  <c r="H15" i="8"/>
  <c r="G15" i="8"/>
  <c r="F15" i="8"/>
  <c r="E15" i="8"/>
  <c r="D15" i="8"/>
  <c r="C15" i="8"/>
  <c r="AK14" i="8"/>
  <c r="AG14" i="8"/>
  <c r="AF14" i="8"/>
  <c r="AE14" i="8"/>
  <c r="AD14" i="8"/>
  <c r="AC14" i="8"/>
  <c r="AB14" i="8"/>
  <c r="AA14" i="8"/>
  <c r="Z14" i="8"/>
  <c r="Y14" i="8"/>
  <c r="X14" i="8"/>
  <c r="W14" i="8"/>
  <c r="V14" i="8"/>
  <c r="U14" i="8"/>
  <c r="T14" i="8"/>
  <c r="S14" i="8"/>
  <c r="R14" i="8"/>
  <c r="Q14" i="8"/>
  <c r="P14" i="8"/>
  <c r="O14" i="8"/>
  <c r="N14" i="8"/>
  <c r="M14" i="8"/>
  <c r="L14" i="8"/>
  <c r="K14" i="8"/>
  <c r="J14" i="8"/>
  <c r="I14" i="8"/>
  <c r="H14" i="8"/>
  <c r="G14" i="8"/>
  <c r="F14" i="8"/>
  <c r="E14" i="8"/>
  <c r="D14" i="8"/>
  <c r="C14" i="8"/>
  <c r="AK13" i="8"/>
  <c r="AG13" i="8"/>
  <c r="AF13" i="8"/>
  <c r="AE13" i="8"/>
  <c r="AD13" i="8"/>
  <c r="AC13" i="8"/>
  <c r="AB13" i="8"/>
  <c r="AA13" i="8"/>
  <c r="Z13" i="8"/>
  <c r="Y13" i="8"/>
  <c r="X13" i="8"/>
  <c r="W13" i="8"/>
  <c r="V13" i="8"/>
  <c r="U13" i="8"/>
  <c r="T13" i="8"/>
  <c r="S13" i="8"/>
  <c r="R13" i="8"/>
  <c r="Q13" i="8"/>
  <c r="P13" i="8"/>
  <c r="O13" i="8"/>
  <c r="N13" i="8"/>
  <c r="M13" i="8"/>
  <c r="L13" i="8"/>
  <c r="K13" i="8"/>
  <c r="J13" i="8"/>
  <c r="I13" i="8"/>
  <c r="H13" i="8"/>
  <c r="G13" i="8"/>
  <c r="F13" i="8"/>
  <c r="E13" i="8"/>
  <c r="D13" i="8"/>
  <c r="C13" i="8"/>
  <c r="AK12" i="8"/>
  <c r="AG12" i="8"/>
  <c r="AF12" i="8"/>
  <c r="AE12" i="8"/>
  <c r="AD12" i="8"/>
  <c r="AC12" i="8"/>
  <c r="AB12" i="8"/>
  <c r="AA12" i="8"/>
  <c r="Z12" i="8"/>
  <c r="Y12" i="8"/>
  <c r="X12" i="8"/>
  <c r="W12" i="8"/>
  <c r="V12" i="8"/>
  <c r="U12" i="8"/>
  <c r="T12" i="8"/>
  <c r="S12" i="8"/>
  <c r="R12" i="8"/>
  <c r="Q12" i="8"/>
  <c r="P12" i="8"/>
  <c r="O12" i="8"/>
  <c r="N12" i="8"/>
  <c r="M12" i="8"/>
  <c r="L12" i="8"/>
  <c r="K12" i="8"/>
  <c r="J12" i="8"/>
  <c r="I12" i="8"/>
  <c r="H12" i="8"/>
  <c r="G12" i="8"/>
  <c r="F12" i="8"/>
  <c r="E12" i="8"/>
  <c r="D12" i="8"/>
  <c r="C12" i="8"/>
  <c r="AK11" i="8"/>
  <c r="AG11" i="8"/>
  <c r="AF11" i="8"/>
  <c r="AE11" i="8"/>
  <c r="AD11" i="8"/>
  <c r="AC11" i="8"/>
  <c r="AB11" i="8"/>
  <c r="AA11" i="8"/>
  <c r="Z11" i="8"/>
  <c r="Y11" i="8"/>
  <c r="X11" i="8"/>
  <c r="W11" i="8"/>
  <c r="V11" i="8"/>
  <c r="U11" i="8"/>
  <c r="T11" i="8"/>
  <c r="S11" i="8"/>
  <c r="R11" i="8"/>
  <c r="Q11" i="8"/>
  <c r="P11" i="8"/>
  <c r="O11" i="8"/>
  <c r="N11" i="8"/>
  <c r="M11" i="8"/>
  <c r="L11" i="8"/>
  <c r="K11" i="8"/>
  <c r="J11" i="8"/>
  <c r="I11" i="8"/>
  <c r="H11" i="8"/>
  <c r="G11" i="8"/>
  <c r="F11" i="8"/>
  <c r="E11" i="8"/>
  <c r="D11" i="8"/>
  <c r="C11" i="8"/>
  <c r="AK10" i="8"/>
  <c r="AG10" i="8"/>
  <c r="AF10" i="8"/>
  <c r="AE10" i="8"/>
  <c r="AD10" i="8"/>
  <c r="AC10" i="8"/>
  <c r="AB10" i="8"/>
  <c r="AA10" i="8"/>
  <c r="Z10" i="8"/>
  <c r="Y10" i="8"/>
  <c r="X10" i="8"/>
  <c r="W10" i="8"/>
  <c r="V10" i="8"/>
  <c r="U10" i="8"/>
  <c r="T10" i="8"/>
  <c r="S10" i="8"/>
  <c r="R10" i="8"/>
  <c r="Q10" i="8"/>
  <c r="P10" i="8"/>
  <c r="O10" i="8"/>
  <c r="N10" i="8"/>
  <c r="M10" i="8"/>
  <c r="L10" i="8"/>
  <c r="K10" i="8"/>
  <c r="J10" i="8"/>
  <c r="I10" i="8"/>
  <c r="H10" i="8"/>
  <c r="G10" i="8"/>
  <c r="F10" i="8"/>
  <c r="E10" i="8"/>
  <c r="D10" i="8"/>
  <c r="C10" i="8"/>
  <c r="AK9" i="8"/>
  <c r="AG9" i="8"/>
  <c r="AF9" i="8"/>
  <c r="AE9" i="8"/>
  <c r="AD9" i="8"/>
  <c r="AC9" i="8"/>
  <c r="AB9" i="8"/>
  <c r="AA9" i="8"/>
  <c r="Z9" i="8"/>
  <c r="Y9" i="8"/>
  <c r="X9" i="8"/>
  <c r="W9" i="8"/>
  <c r="V9" i="8"/>
  <c r="U9" i="8"/>
  <c r="T9" i="8"/>
  <c r="S9" i="8"/>
  <c r="R9" i="8"/>
  <c r="Q9" i="8"/>
  <c r="P9" i="8"/>
  <c r="O9" i="8"/>
  <c r="N9" i="8"/>
  <c r="M9" i="8"/>
  <c r="L9" i="8"/>
  <c r="K9" i="8"/>
  <c r="J9" i="8"/>
  <c r="I9" i="8"/>
  <c r="H9" i="8"/>
  <c r="G9" i="8"/>
  <c r="F9" i="8"/>
  <c r="E9" i="8"/>
  <c r="D9" i="8"/>
  <c r="C9" i="8"/>
  <c r="AK8" i="8"/>
  <c r="AG8" i="8"/>
  <c r="AF8" i="8"/>
  <c r="AE8" i="8"/>
  <c r="AD8" i="8"/>
  <c r="AC8" i="8"/>
  <c r="AB8" i="8"/>
  <c r="AA8" i="8"/>
  <c r="Z8" i="8"/>
  <c r="Y8" i="8"/>
  <c r="X8" i="8"/>
  <c r="W8" i="8"/>
  <c r="V8" i="8"/>
  <c r="U8" i="8"/>
  <c r="T8" i="8"/>
  <c r="S8" i="8"/>
  <c r="R8" i="8"/>
  <c r="Q8" i="8"/>
  <c r="P8" i="8"/>
  <c r="O8" i="8"/>
  <c r="N8" i="8"/>
  <c r="M8" i="8"/>
  <c r="L8" i="8"/>
  <c r="K8" i="8"/>
  <c r="J8" i="8"/>
  <c r="I8" i="8"/>
  <c r="H8" i="8"/>
  <c r="G8" i="8"/>
  <c r="F8" i="8"/>
  <c r="E8" i="8"/>
  <c r="D8" i="8"/>
  <c r="C8" i="8"/>
  <c r="AK7" i="8"/>
  <c r="AG7" i="8"/>
  <c r="AF7" i="8"/>
  <c r="AE7" i="8"/>
  <c r="AD7" i="8"/>
  <c r="AC7" i="8"/>
  <c r="AB7" i="8"/>
  <c r="AA7" i="8"/>
  <c r="Z7" i="8"/>
  <c r="Y7" i="8"/>
  <c r="X7" i="8"/>
  <c r="W7" i="8"/>
  <c r="V7" i="8"/>
  <c r="U7" i="8"/>
  <c r="T7" i="8"/>
  <c r="S7" i="8"/>
  <c r="R7" i="8"/>
  <c r="Q7" i="8"/>
  <c r="P7" i="8"/>
  <c r="O7" i="8"/>
  <c r="N7" i="8"/>
  <c r="M7" i="8"/>
  <c r="L7" i="8"/>
  <c r="K7" i="8"/>
  <c r="J7" i="8"/>
  <c r="I7" i="8"/>
  <c r="H7" i="8"/>
  <c r="G7" i="8"/>
  <c r="F7" i="8"/>
  <c r="E7" i="8"/>
  <c r="D7" i="8"/>
  <c r="C7" i="8"/>
  <c r="AK6" i="8"/>
  <c r="AG6" i="8"/>
  <c r="AF6" i="8"/>
  <c r="AE6" i="8"/>
  <c r="AD6" i="8"/>
  <c r="AC6" i="8"/>
  <c r="AB6" i="8"/>
  <c r="AA6" i="8"/>
  <c r="Z6" i="8"/>
  <c r="Y6" i="8"/>
  <c r="X6" i="8"/>
  <c r="W6" i="8"/>
  <c r="V6" i="8"/>
  <c r="U6" i="8"/>
  <c r="T6" i="8"/>
  <c r="S6" i="8"/>
  <c r="R6" i="8"/>
  <c r="Q6" i="8"/>
  <c r="P6" i="8"/>
  <c r="O6" i="8"/>
  <c r="N6" i="8"/>
  <c r="M6" i="8"/>
  <c r="L6" i="8"/>
  <c r="K6" i="8"/>
  <c r="J6" i="8"/>
  <c r="I6" i="8"/>
  <c r="H6" i="8"/>
  <c r="G6" i="8"/>
  <c r="F6" i="8"/>
  <c r="E6" i="8"/>
  <c r="D6" i="8"/>
  <c r="C6" i="8"/>
  <c r="AK5" i="8"/>
  <c r="AG5" i="8"/>
  <c r="AF5" i="8"/>
  <c r="AE5" i="8"/>
  <c r="AD5" i="8"/>
  <c r="AC5" i="8"/>
  <c r="AB5" i="8"/>
  <c r="AA5" i="8"/>
  <c r="Z5" i="8"/>
  <c r="Y5" i="8"/>
  <c r="X5" i="8"/>
  <c r="W5" i="8"/>
  <c r="V5" i="8"/>
  <c r="U5" i="8"/>
  <c r="T5" i="8"/>
  <c r="S5" i="8"/>
  <c r="R5" i="8"/>
  <c r="Q5" i="8"/>
  <c r="P5" i="8"/>
  <c r="O5" i="8"/>
  <c r="N5" i="8"/>
  <c r="M5" i="8"/>
  <c r="L5" i="8"/>
  <c r="K5" i="8"/>
  <c r="J5" i="8"/>
  <c r="I5" i="8"/>
  <c r="H5" i="8"/>
  <c r="G5" i="8"/>
  <c r="F5" i="8"/>
  <c r="E5" i="8"/>
  <c r="D5" i="8"/>
  <c r="C5" i="8"/>
  <c r="AK4" i="8"/>
  <c r="AG4" i="8"/>
  <c r="AF4" i="8"/>
  <c r="AE4" i="8"/>
  <c r="AD4" i="8"/>
  <c r="AC4" i="8"/>
  <c r="AB4" i="8"/>
  <c r="AA4" i="8"/>
  <c r="Z4" i="8"/>
  <c r="Y4" i="8"/>
  <c r="X4" i="8"/>
  <c r="W4" i="8"/>
  <c r="V4" i="8"/>
  <c r="U4" i="8"/>
  <c r="T4" i="8"/>
  <c r="S4" i="8"/>
  <c r="R4" i="8"/>
  <c r="Q4" i="8"/>
  <c r="P4" i="8"/>
  <c r="O4" i="8"/>
  <c r="N4" i="8"/>
  <c r="M4" i="8"/>
  <c r="L4" i="8"/>
  <c r="K4" i="8"/>
  <c r="J4" i="8"/>
  <c r="I4" i="8"/>
  <c r="H4" i="8"/>
  <c r="G4" i="8"/>
  <c r="F4" i="8"/>
  <c r="E4" i="8"/>
  <c r="D4" i="8"/>
  <c r="C4" i="8"/>
  <c r="AP3" i="8"/>
  <c r="AP4" i="8" s="1"/>
  <c r="AK3" i="8"/>
  <c r="AG3" i="8"/>
  <c r="AF3" i="8"/>
  <c r="AE3" i="8"/>
  <c r="AD3" i="8"/>
  <c r="AC3" i="8"/>
  <c r="AB3" i="8"/>
  <c r="AA3" i="8"/>
  <c r="Z3" i="8"/>
  <c r="Y3" i="8"/>
  <c r="X3" i="8"/>
  <c r="W3" i="8"/>
  <c r="V3" i="8"/>
  <c r="U3" i="8"/>
  <c r="T3" i="8"/>
  <c r="S3" i="8"/>
  <c r="R3" i="8"/>
  <c r="Q3" i="8"/>
  <c r="P3" i="8"/>
  <c r="O3" i="8"/>
  <c r="N3" i="8"/>
  <c r="M3" i="8"/>
  <c r="L3" i="8"/>
  <c r="K3" i="8"/>
  <c r="J3" i="8"/>
  <c r="I3" i="8"/>
  <c r="H3" i="8"/>
  <c r="G3" i="8"/>
  <c r="F3" i="8"/>
  <c r="E3" i="8"/>
  <c r="D3" i="8"/>
  <c r="C3" i="8"/>
  <c r="AK57" i="7"/>
  <c r="AF57" i="7"/>
  <c r="AE57" i="7"/>
  <c r="AD57" i="7"/>
  <c r="AC57" i="7"/>
  <c r="AB57" i="7"/>
  <c r="AA57" i="7"/>
  <c r="Z57" i="7"/>
  <c r="Y57" i="7"/>
  <c r="X57" i="7"/>
  <c r="W57" i="7"/>
  <c r="V57" i="7"/>
  <c r="U57" i="7"/>
  <c r="T57" i="7"/>
  <c r="S57" i="7"/>
  <c r="R57" i="7"/>
  <c r="Q57" i="7"/>
  <c r="P57" i="7"/>
  <c r="O57" i="7"/>
  <c r="N57" i="7"/>
  <c r="M57" i="7"/>
  <c r="L57" i="7"/>
  <c r="K57" i="7"/>
  <c r="J57" i="7"/>
  <c r="I57" i="7"/>
  <c r="H57" i="7"/>
  <c r="G57" i="7"/>
  <c r="F57" i="7"/>
  <c r="E57" i="7"/>
  <c r="D57" i="7"/>
  <c r="C57" i="7"/>
  <c r="AK56" i="7"/>
  <c r="AF56" i="7"/>
  <c r="AE56" i="7"/>
  <c r="AD56" i="7"/>
  <c r="AC56" i="7"/>
  <c r="AB56" i="7"/>
  <c r="AA56" i="7"/>
  <c r="Z56" i="7"/>
  <c r="Y56" i="7"/>
  <c r="X56" i="7"/>
  <c r="W56" i="7"/>
  <c r="V56" i="7"/>
  <c r="U56" i="7"/>
  <c r="T56" i="7"/>
  <c r="S56" i="7"/>
  <c r="R56" i="7"/>
  <c r="Q56" i="7"/>
  <c r="P56" i="7"/>
  <c r="O56" i="7"/>
  <c r="N56" i="7"/>
  <c r="M56" i="7"/>
  <c r="L56" i="7"/>
  <c r="K56" i="7"/>
  <c r="J56" i="7"/>
  <c r="I56" i="7"/>
  <c r="H56" i="7"/>
  <c r="G56" i="7"/>
  <c r="F56" i="7"/>
  <c r="E56" i="7"/>
  <c r="D56" i="7"/>
  <c r="C56" i="7"/>
  <c r="AK55" i="7"/>
  <c r="AF55" i="7"/>
  <c r="AE55" i="7"/>
  <c r="AD55" i="7"/>
  <c r="AC55" i="7"/>
  <c r="AB55" i="7"/>
  <c r="AA55" i="7"/>
  <c r="Z55" i="7"/>
  <c r="Y55" i="7"/>
  <c r="X55" i="7"/>
  <c r="W55" i="7"/>
  <c r="V55" i="7"/>
  <c r="U55" i="7"/>
  <c r="T55" i="7"/>
  <c r="S55" i="7"/>
  <c r="R55" i="7"/>
  <c r="Q55" i="7"/>
  <c r="P55" i="7"/>
  <c r="O55" i="7"/>
  <c r="N55" i="7"/>
  <c r="M55" i="7"/>
  <c r="L55" i="7"/>
  <c r="K55" i="7"/>
  <c r="J55" i="7"/>
  <c r="I55" i="7"/>
  <c r="H55" i="7"/>
  <c r="G55" i="7"/>
  <c r="F55" i="7"/>
  <c r="E55" i="7"/>
  <c r="D55" i="7"/>
  <c r="C55" i="7"/>
  <c r="AK54" i="7"/>
  <c r="AF54" i="7"/>
  <c r="AE54" i="7"/>
  <c r="AD54" i="7"/>
  <c r="AC54" i="7"/>
  <c r="AB54" i="7"/>
  <c r="AA54" i="7"/>
  <c r="Z54" i="7"/>
  <c r="Y54" i="7"/>
  <c r="X54" i="7"/>
  <c r="W54" i="7"/>
  <c r="V54" i="7"/>
  <c r="U54" i="7"/>
  <c r="T54" i="7"/>
  <c r="S54" i="7"/>
  <c r="R54" i="7"/>
  <c r="Q54" i="7"/>
  <c r="P54" i="7"/>
  <c r="O54" i="7"/>
  <c r="N54" i="7"/>
  <c r="M54" i="7"/>
  <c r="L54" i="7"/>
  <c r="K54" i="7"/>
  <c r="J54" i="7"/>
  <c r="I54" i="7"/>
  <c r="H54" i="7"/>
  <c r="G54" i="7"/>
  <c r="F54" i="7"/>
  <c r="E54" i="7"/>
  <c r="D54" i="7"/>
  <c r="C54" i="7"/>
  <c r="AK53" i="7"/>
  <c r="AF53" i="7"/>
  <c r="AE53" i="7"/>
  <c r="AD53" i="7"/>
  <c r="AC53" i="7"/>
  <c r="AB53" i="7"/>
  <c r="AA53" i="7"/>
  <c r="Z53" i="7"/>
  <c r="Y53" i="7"/>
  <c r="X53" i="7"/>
  <c r="W53" i="7"/>
  <c r="V53" i="7"/>
  <c r="U53" i="7"/>
  <c r="T53" i="7"/>
  <c r="S53" i="7"/>
  <c r="R53" i="7"/>
  <c r="Q53" i="7"/>
  <c r="P53" i="7"/>
  <c r="O53" i="7"/>
  <c r="N53" i="7"/>
  <c r="M53" i="7"/>
  <c r="L53" i="7"/>
  <c r="K53" i="7"/>
  <c r="J53" i="7"/>
  <c r="I53" i="7"/>
  <c r="H53" i="7"/>
  <c r="G53" i="7"/>
  <c r="F53" i="7"/>
  <c r="E53" i="7"/>
  <c r="D53" i="7"/>
  <c r="C53" i="7"/>
  <c r="AK52" i="7"/>
  <c r="AF52" i="7"/>
  <c r="AE52" i="7"/>
  <c r="AD52" i="7"/>
  <c r="AC52" i="7"/>
  <c r="AB52" i="7"/>
  <c r="AA52" i="7"/>
  <c r="Z52" i="7"/>
  <c r="Y52" i="7"/>
  <c r="X52" i="7"/>
  <c r="W52" i="7"/>
  <c r="V52" i="7"/>
  <c r="U52" i="7"/>
  <c r="T52" i="7"/>
  <c r="S52" i="7"/>
  <c r="R52" i="7"/>
  <c r="Q52" i="7"/>
  <c r="P52" i="7"/>
  <c r="O52" i="7"/>
  <c r="N52" i="7"/>
  <c r="M52" i="7"/>
  <c r="L52" i="7"/>
  <c r="K52" i="7"/>
  <c r="J52" i="7"/>
  <c r="I52" i="7"/>
  <c r="H52" i="7"/>
  <c r="G52" i="7"/>
  <c r="F52" i="7"/>
  <c r="E52" i="7"/>
  <c r="D52" i="7"/>
  <c r="C52" i="7"/>
  <c r="AK51" i="7"/>
  <c r="AF51" i="7"/>
  <c r="AE51" i="7"/>
  <c r="AD51" i="7"/>
  <c r="AC51" i="7"/>
  <c r="AB51" i="7"/>
  <c r="AA51" i="7"/>
  <c r="Z51" i="7"/>
  <c r="Y51" i="7"/>
  <c r="X51" i="7"/>
  <c r="W51" i="7"/>
  <c r="V51" i="7"/>
  <c r="U51" i="7"/>
  <c r="T51" i="7"/>
  <c r="S51" i="7"/>
  <c r="R51" i="7"/>
  <c r="Q51" i="7"/>
  <c r="P51" i="7"/>
  <c r="O51" i="7"/>
  <c r="N51" i="7"/>
  <c r="M51" i="7"/>
  <c r="L51" i="7"/>
  <c r="K51" i="7"/>
  <c r="J51" i="7"/>
  <c r="I51" i="7"/>
  <c r="H51" i="7"/>
  <c r="G51" i="7"/>
  <c r="F51" i="7"/>
  <c r="E51" i="7"/>
  <c r="D51" i="7"/>
  <c r="C51" i="7"/>
  <c r="AK50" i="7"/>
  <c r="AF50" i="7"/>
  <c r="AE50" i="7"/>
  <c r="AD50" i="7"/>
  <c r="AC50" i="7"/>
  <c r="AB50" i="7"/>
  <c r="AA50" i="7"/>
  <c r="Z50" i="7"/>
  <c r="Y50" i="7"/>
  <c r="X50" i="7"/>
  <c r="W50" i="7"/>
  <c r="V50" i="7"/>
  <c r="U50" i="7"/>
  <c r="T50" i="7"/>
  <c r="S50" i="7"/>
  <c r="R50" i="7"/>
  <c r="Q50" i="7"/>
  <c r="P50" i="7"/>
  <c r="O50" i="7"/>
  <c r="N50" i="7"/>
  <c r="M50" i="7"/>
  <c r="L50" i="7"/>
  <c r="K50" i="7"/>
  <c r="J50" i="7"/>
  <c r="I50" i="7"/>
  <c r="H50" i="7"/>
  <c r="G50" i="7"/>
  <c r="F50" i="7"/>
  <c r="E50" i="7"/>
  <c r="D50" i="7"/>
  <c r="C50" i="7"/>
  <c r="AK49" i="7"/>
  <c r="AF49" i="7"/>
  <c r="AE49" i="7"/>
  <c r="AD49" i="7"/>
  <c r="AC49" i="7"/>
  <c r="AB49" i="7"/>
  <c r="AA49" i="7"/>
  <c r="Z49" i="7"/>
  <c r="Y49" i="7"/>
  <c r="X49" i="7"/>
  <c r="W49" i="7"/>
  <c r="V49" i="7"/>
  <c r="U49" i="7"/>
  <c r="T49" i="7"/>
  <c r="S49" i="7"/>
  <c r="R49" i="7"/>
  <c r="Q49" i="7"/>
  <c r="P49" i="7"/>
  <c r="O49" i="7"/>
  <c r="N49" i="7"/>
  <c r="M49" i="7"/>
  <c r="L49" i="7"/>
  <c r="K49" i="7"/>
  <c r="J49" i="7"/>
  <c r="I49" i="7"/>
  <c r="H49" i="7"/>
  <c r="G49" i="7"/>
  <c r="F49" i="7"/>
  <c r="E49" i="7"/>
  <c r="D49" i="7"/>
  <c r="C49" i="7"/>
  <c r="AK48" i="7"/>
  <c r="AF48" i="7"/>
  <c r="AE48" i="7"/>
  <c r="AD48" i="7"/>
  <c r="AC48" i="7"/>
  <c r="AB48" i="7"/>
  <c r="AA48" i="7"/>
  <c r="Z48" i="7"/>
  <c r="Y48" i="7"/>
  <c r="X48" i="7"/>
  <c r="W48" i="7"/>
  <c r="V48" i="7"/>
  <c r="U48" i="7"/>
  <c r="T48" i="7"/>
  <c r="S48" i="7"/>
  <c r="R48" i="7"/>
  <c r="Q48" i="7"/>
  <c r="P48" i="7"/>
  <c r="O48" i="7"/>
  <c r="N48" i="7"/>
  <c r="M48" i="7"/>
  <c r="L48" i="7"/>
  <c r="K48" i="7"/>
  <c r="J48" i="7"/>
  <c r="I48" i="7"/>
  <c r="H48" i="7"/>
  <c r="G48" i="7"/>
  <c r="F48" i="7"/>
  <c r="E48" i="7"/>
  <c r="D48" i="7"/>
  <c r="C48" i="7"/>
  <c r="AK47" i="7"/>
  <c r="AF47" i="7"/>
  <c r="AE47" i="7"/>
  <c r="AD47" i="7"/>
  <c r="AC47" i="7"/>
  <c r="AB47" i="7"/>
  <c r="AA47" i="7"/>
  <c r="Z47" i="7"/>
  <c r="Y47" i="7"/>
  <c r="X47" i="7"/>
  <c r="W47" i="7"/>
  <c r="V47" i="7"/>
  <c r="U47" i="7"/>
  <c r="T47" i="7"/>
  <c r="S47" i="7"/>
  <c r="R47" i="7"/>
  <c r="Q47" i="7"/>
  <c r="P47" i="7"/>
  <c r="O47" i="7"/>
  <c r="N47" i="7"/>
  <c r="M47" i="7"/>
  <c r="L47" i="7"/>
  <c r="K47" i="7"/>
  <c r="J47" i="7"/>
  <c r="I47" i="7"/>
  <c r="H47" i="7"/>
  <c r="G47" i="7"/>
  <c r="F47" i="7"/>
  <c r="E47" i="7"/>
  <c r="D47" i="7"/>
  <c r="C47" i="7"/>
  <c r="AK46" i="7"/>
  <c r="AF46" i="7"/>
  <c r="AE46" i="7"/>
  <c r="AD46" i="7"/>
  <c r="AC46" i="7"/>
  <c r="AB46" i="7"/>
  <c r="AA46" i="7"/>
  <c r="Z46" i="7"/>
  <c r="Y46" i="7"/>
  <c r="X46" i="7"/>
  <c r="W46" i="7"/>
  <c r="V46" i="7"/>
  <c r="U46" i="7"/>
  <c r="T46" i="7"/>
  <c r="S46" i="7"/>
  <c r="R46" i="7"/>
  <c r="Q46" i="7"/>
  <c r="P46" i="7"/>
  <c r="O46" i="7"/>
  <c r="N46" i="7"/>
  <c r="M46" i="7"/>
  <c r="L46" i="7"/>
  <c r="K46" i="7"/>
  <c r="J46" i="7"/>
  <c r="I46" i="7"/>
  <c r="H46" i="7"/>
  <c r="G46" i="7"/>
  <c r="F46" i="7"/>
  <c r="E46" i="7"/>
  <c r="D46" i="7"/>
  <c r="C46" i="7"/>
  <c r="AK45" i="7"/>
  <c r="AF45" i="7"/>
  <c r="AE45" i="7"/>
  <c r="AD45" i="7"/>
  <c r="AC45" i="7"/>
  <c r="AB45" i="7"/>
  <c r="AA45" i="7"/>
  <c r="Z45" i="7"/>
  <c r="Y45" i="7"/>
  <c r="X45" i="7"/>
  <c r="W45" i="7"/>
  <c r="V45" i="7"/>
  <c r="U45" i="7"/>
  <c r="T45" i="7"/>
  <c r="S45" i="7"/>
  <c r="R45" i="7"/>
  <c r="Q45" i="7"/>
  <c r="P45" i="7"/>
  <c r="O45" i="7"/>
  <c r="N45" i="7"/>
  <c r="M45" i="7"/>
  <c r="L45" i="7"/>
  <c r="K45" i="7"/>
  <c r="J45" i="7"/>
  <c r="I45" i="7"/>
  <c r="H45" i="7"/>
  <c r="G45" i="7"/>
  <c r="F45" i="7"/>
  <c r="E45" i="7"/>
  <c r="D45" i="7"/>
  <c r="C45" i="7"/>
  <c r="AK44" i="7"/>
  <c r="AF44" i="7"/>
  <c r="AE44" i="7"/>
  <c r="AD44" i="7"/>
  <c r="AC44" i="7"/>
  <c r="AB44" i="7"/>
  <c r="AA44" i="7"/>
  <c r="Z44" i="7"/>
  <c r="Y44" i="7"/>
  <c r="X44" i="7"/>
  <c r="W44" i="7"/>
  <c r="V44" i="7"/>
  <c r="U44" i="7"/>
  <c r="T44" i="7"/>
  <c r="S44" i="7"/>
  <c r="R44" i="7"/>
  <c r="Q44" i="7"/>
  <c r="P44" i="7"/>
  <c r="O44" i="7"/>
  <c r="N44" i="7"/>
  <c r="M44" i="7"/>
  <c r="L44" i="7"/>
  <c r="K44" i="7"/>
  <c r="J44" i="7"/>
  <c r="I44" i="7"/>
  <c r="H44" i="7"/>
  <c r="G44" i="7"/>
  <c r="F44" i="7"/>
  <c r="E44" i="7"/>
  <c r="D44" i="7"/>
  <c r="C44" i="7"/>
  <c r="AK43" i="7"/>
  <c r="AF43" i="7"/>
  <c r="AE43" i="7"/>
  <c r="AD43" i="7"/>
  <c r="AC43" i="7"/>
  <c r="AB43" i="7"/>
  <c r="AA43" i="7"/>
  <c r="Z43" i="7"/>
  <c r="Y43" i="7"/>
  <c r="X43" i="7"/>
  <c r="W43" i="7"/>
  <c r="V43" i="7"/>
  <c r="U43" i="7"/>
  <c r="T43" i="7"/>
  <c r="S43" i="7"/>
  <c r="R43" i="7"/>
  <c r="Q43" i="7"/>
  <c r="P43" i="7"/>
  <c r="O43" i="7"/>
  <c r="N43" i="7"/>
  <c r="M43" i="7"/>
  <c r="L43" i="7"/>
  <c r="K43" i="7"/>
  <c r="J43" i="7"/>
  <c r="I43" i="7"/>
  <c r="H43" i="7"/>
  <c r="G43" i="7"/>
  <c r="F43" i="7"/>
  <c r="E43" i="7"/>
  <c r="D43" i="7"/>
  <c r="C43" i="7"/>
  <c r="AK42" i="7"/>
  <c r="AF42" i="7"/>
  <c r="AE42" i="7"/>
  <c r="AD42" i="7"/>
  <c r="AC42" i="7"/>
  <c r="AB42" i="7"/>
  <c r="AA42" i="7"/>
  <c r="Z42" i="7"/>
  <c r="Y42" i="7"/>
  <c r="X42" i="7"/>
  <c r="W42" i="7"/>
  <c r="V42" i="7"/>
  <c r="U42" i="7"/>
  <c r="T42" i="7"/>
  <c r="S42" i="7"/>
  <c r="R42" i="7"/>
  <c r="Q42" i="7"/>
  <c r="P42" i="7"/>
  <c r="O42" i="7"/>
  <c r="N42" i="7"/>
  <c r="M42" i="7"/>
  <c r="L42" i="7"/>
  <c r="K42" i="7"/>
  <c r="J42" i="7"/>
  <c r="I42" i="7"/>
  <c r="H42" i="7"/>
  <c r="G42" i="7"/>
  <c r="F42" i="7"/>
  <c r="E42" i="7"/>
  <c r="D42" i="7"/>
  <c r="C42" i="7"/>
  <c r="AK41" i="7"/>
  <c r="AF41" i="7"/>
  <c r="AE41" i="7"/>
  <c r="AD41" i="7"/>
  <c r="AC41" i="7"/>
  <c r="AB41" i="7"/>
  <c r="AA41" i="7"/>
  <c r="Z41" i="7"/>
  <c r="Y41" i="7"/>
  <c r="X41" i="7"/>
  <c r="W41" i="7"/>
  <c r="V41" i="7"/>
  <c r="U41" i="7"/>
  <c r="T41" i="7"/>
  <c r="S41" i="7"/>
  <c r="R41" i="7"/>
  <c r="Q41" i="7"/>
  <c r="P41" i="7"/>
  <c r="O41" i="7"/>
  <c r="N41" i="7"/>
  <c r="M41" i="7"/>
  <c r="L41" i="7"/>
  <c r="K41" i="7"/>
  <c r="J41" i="7"/>
  <c r="I41" i="7"/>
  <c r="H41" i="7"/>
  <c r="G41" i="7"/>
  <c r="F41" i="7"/>
  <c r="E41" i="7"/>
  <c r="D41" i="7"/>
  <c r="C41" i="7"/>
  <c r="AK40" i="7"/>
  <c r="AF40" i="7"/>
  <c r="AE40" i="7"/>
  <c r="AD40" i="7"/>
  <c r="AC40" i="7"/>
  <c r="AB40" i="7"/>
  <c r="AA40" i="7"/>
  <c r="Z40" i="7"/>
  <c r="Y40" i="7"/>
  <c r="X40" i="7"/>
  <c r="W40" i="7"/>
  <c r="V40" i="7"/>
  <c r="U40" i="7"/>
  <c r="T40" i="7"/>
  <c r="S40" i="7"/>
  <c r="R40" i="7"/>
  <c r="Q40" i="7"/>
  <c r="P40" i="7"/>
  <c r="O40" i="7"/>
  <c r="N40" i="7"/>
  <c r="M40" i="7"/>
  <c r="L40" i="7"/>
  <c r="K40" i="7"/>
  <c r="J40" i="7"/>
  <c r="I40" i="7"/>
  <c r="H40" i="7"/>
  <c r="G40" i="7"/>
  <c r="F40" i="7"/>
  <c r="E40" i="7"/>
  <c r="D40" i="7"/>
  <c r="C40" i="7"/>
  <c r="AK39" i="7"/>
  <c r="AF39" i="7"/>
  <c r="AE39" i="7"/>
  <c r="AD39" i="7"/>
  <c r="AC39" i="7"/>
  <c r="AB39" i="7"/>
  <c r="AA39" i="7"/>
  <c r="Z39" i="7"/>
  <c r="Y39" i="7"/>
  <c r="X39" i="7"/>
  <c r="W39" i="7"/>
  <c r="V39" i="7"/>
  <c r="U39" i="7"/>
  <c r="T39" i="7"/>
  <c r="S39" i="7"/>
  <c r="R39" i="7"/>
  <c r="Q39" i="7"/>
  <c r="P39" i="7"/>
  <c r="O39" i="7"/>
  <c r="N39" i="7"/>
  <c r="M39" i="7"/>
  <c r="L39" i="7"/>
  <c r="K39" i="7"/>
  <c r="J39" i="7"/>
  <c r="I39" i="7"/>
  <c r="H39" i="7"/>
  <c r="G39" i="7"/>
  <c r="F39" i="7"/>
  <c r="E39" i="7"/>
  <c r="D39" i="7"/>
  <c r="C39" i="7"/>
  <c r="AK38" i="7"/>
  <c r="AF38" i="7"/>
  <c r="AE38" i="7"/>
  <c r="AD38" i="7"/>
  <c r="AC38" i="7"/>
  <c r="AB38" i="7"/>
  <c r="AA38" i="7"/>
  <c r="Z38" i="7"/>
  <c r="Y38" i="7"/>
  <c r="X38" i="7"/>
  <c r="W38" i="7"/>
  <c r="V38" i="7"/>
  <c r="U38" i="7"/>
  <c r="T38" i="7"/>
  <c r="S38" i="7"/>
  <c r="R38" i="7"/>
  <c r="Q38" i="7"/>
  <c r="P38" i="7"/>
  <c r="O38" i="7"/>
  <c r="N38" i="7"/>
  <c r="M38" i="7"/>
  <c r="L38" i="7"/>
  <c r="K38" i="7"/>
  <c r="J38" i="7"/>
  <c r="I38" i="7"/>
  <c r="H38" i="7"/>
  <c r="G38" i="7"/>
  <c r="F38" i="7"/>
  <c r="E38" i="7"/>
  <c r="D38" i="7"/>
  <c r="C38" i="7"/>
  <c r="AK37" i="7"/>
  <c r="AF37" i="7"/>
  <c r="AE37" i="7"/>
  <c r="AD37" i="7"/>
  <c r="AC37" i="7"/>
  <c r="AB37" i="7"/>
  <c r="AA37" i="7"/>
  <c r="Z37" i="7"/>
  <c r="Y37" i="7"/>
  <c r="X37" i="7"/>
  <c r="W37" i="7"/>
  <c r="V37" i="7"/>
  <c r="U37" i="7"/>
  <c r="T37" i="7"/>
  <c r="S37" i="7"/>
  <c r="R37" i="7"/>
  <c r="Q37" i="7"/>
  <c r="P37" i="7"/>
  <c r="O37" i="7"/>
  <c r="N37" i="7"/>
  <c r="M37" i="7"/>
  <c r="L37" i="7"/>
  <c r="K37" i="7"/>
  <c r="J37" i="7"/>
  <c r="I37" i="7"/>
  <c r="H37" i="7"/>
  <c r="G37" i="7"/>
  <c r="F37" i="7"/>
  <c r="E37" i="7"/>
  <c r="D37" i="7"/>
  <c r="C37" i="7"/>
  <c r="AK36" i="7"/>
  <c r="AF36" i="7"/>
  <c r="AE36" i="7"/>
  <c r="AD36" i="7"/>
  <c r="AC36" i="7"/>
  <c r="AB36" i="7"/>
  <c r="AA36" i="7"/>
  <c r="Z36" i="7"/>
  <c r="Y36" i="7"/>
  <c r="X36" i="7"/>
  <c r="W36" i="7"/>
  <c r="V36" i="7"/>
  <c r="U36" i="7"/>
  <c r="T36" i="7"/>
  <c r="S36" i="7"/>
  <c r="R36" i="7"/>
  <c r="Q36" i="7"/>
  <c r="P36" i="7"/>
  <c r="O36" i="7"/>
  <c r="N36" i="7"/>
  <c r="M36" i="7"/>
  <c r="L36" i="7"/>
  <c r="K36" i="7"/>
  <c r="J36" i="7"/>
  <c r="I36" i="7"/>
  <c r="H36" i="7"/>
  <c r="G36" i="7"/>
  <c r="F36" i="7"/>
  <c r="E36" i="7"/>
  <c r="D36" i="7"/>
  <c r="C36" i="7"/>
  <c r="AK35" i="7"/>
  <c r="AF35" i="7"/>
  <c r="AE35" i="7"/>
  <c r="AD35" i="7"/>
  <c r="AC35" i="7"/>
  <c r="AB35" i="7"/>
  <c r="AA35" i="7"/>
  <c r="Z35" i="7"/>
  <c r="Y35" i="7"/>
  <c r="X35" i="7"/>
  <c r="W35" i="7"/>
  <c r="V35" i="7"/>
  <c r="U35" i="7"/>
  <c r="T35" i="7"/>
  <c r="S35" i="7"/>
  <c r="R35" i="7"/>
  <c r="Q35" i="7"/>
  <c r="P35" i="7"/>
  <c r="O35" i="7"/>
  <c r="N35" i="7"/>
  <c r="M35" i="7"/>
  <c r="L35" i="7"/>
  <c r="K35" i="7"/>
  <c r="J35" i="7"/>
  <c r="I35" i="7"/>
  <c r="H35" i="7"/>
  <c r="G35" i="7"/>
  <c r="F35" i="7"/>
  <c r="E35" i="7"/>
  <c r="D35" i="7"/>
  <c r="C35" i="7"/>
  <c r="AK34" i="7"/>
  <c r="AF34" i="7"/>
  <c r="AE34" i="7"/>
  <c r="AD34" i="7"/>
  <c r="AC34" i="7"/>
  <c r="AB34" i="7"/>
  <c r="AA34" i="7"/>
  <c r="Z34" i="7"/>
  <c r="Y34" i="7"/>
  <c r="X34" i="7"/>
  <c r="W34" i="7"/>
  <c r="V34" i="7"/>
  <c r="U34" i="7"/>
  <c r="T34" i="7"/>
  <c r="S34" i="7"/>
  <c r="R34" i="7"/>
  <c r="Q34" i="7"/>
  <c r="P34" i="7"/>
  <c r="O34" i="7"/>
  <c r="N34" i="7"/>
  <c r="M34" i="7"/>
  <c r="L34" i="7"/>
  <c r="K34" i="7"/>
  <c r="J34" i="7"/>
  <c r="I34" i="7"/>
  <c r="H34" i="7"/>
  <c r="G34" i="7"/>
  <c r="F34" i="7"/>
  <c r="E34" i="7"/>
  <c r="D34" i="7"/>
  <c r="C34" i="7"/>
  <c r="AK33" i="7"/>
  <c r="AF33" i="7"/>
  <c r="AE33" i="7"/>
  <c r="AD33" i="7"/>
  <c r="AC33" i="7"/>
  <c r="AB33" i="7"/>
  <c r="AA33" i="7"/>
  <c r="Z33" i="7"/>
  <c r="Y33" i="7"/>
  <c r="X33" i="7"/>
  <c r="W33" i="7"/>
  <c r="V33" i="7"/>
  <c r="U33" i="7"/>
  <c r="T33" i="7"/>
  <c r="S33" i="7"/>
  <c r="R33" i="7"/>
  <c r="Q33" i="7"/>
  <c r="P33" i="7"/>
  <c r="O33" i="7"/>
  <c r="N33" i="7"/>
  <c r="M33" i="7"/>
  <c r="L33" i="7"/>
  <c r="K33" i="7"/>
  <c r="J33" i="7"/>
  <c r="I33" i="7"/>
  <c r="H33" i="7"/>
  <c r="G33" i="7"/>
  <c r="F33" i="7"/>
  <c r="E33" i="7"/>
  <c r="D33" i="7"/>
  <c r="C33" i="7"/>
  <c r="AK32" i="7"/>
  <c r="AF32" i="7"/>
  <c r="AE32" i="7"/>
  <c r="AD32" i="7"/>
  <c r="AC32" i="7"/>
  <c r="AB32" i="7"/>
  <c r="AA32" i="7"/>
  <c r="Z32" i="7"/>
  <c r="Y32" i="7"/>
  <c r="X32" i="7"/>
  <c r="W32" i="7"/>
  <c r="V32" i="7"/>
  <c r="U32" i="7"/>
  <c r="T32" i="7"/>
  <c r="S32" i="7"/>
  <c r="R32" i="7"/>
  <c r="Q32" i="7"/>
  <c r="P32" i="7"/>
  <c r="O32" i="7"/>
  <c r="N32" i="7"/>
  <c r="M32" i="7"/>
  <c r="L32" i="7"/>
  <c r="K32" i="7"/>
  <c r="J32" i="7"/>
  <c r="I32" i="7"/>
  <c r="H32" i="7"/>
  <c r="G32" i="7"/>
  <c r="F32" i="7"/>
  <c r="E32" i="7"/>
  <c r="D32" i="7"/>
  <c r="C32" i="7"/>
  <c r="AK31" i="7"/>
  <c r="AF31" i="7"/>
  <c r="AE31" i="7"/>
  <c r="AD31" i="7"/>
  <c r="AC31" i="7"/>
  <c r="AB31" i="7"/>
  <c r="AA31" i="7"/>
  <c r="Z31" i="7"/>
  <c r="Y31" i="7"/>
  <c r="X31" i="7"/>
  <c r="W31" i="7"/>
  <c r="V31" i="7"/>
  <c r="U31" i="7"/>
  <c r="T31" i="7"/>
  <c r="S31" i="7"/>
  <c r="R31" i="7"/>
  <c r="Q31" i="7"/>
  <c r="P31" i="7"/>
  <c r="O31" i="7"/>
  <c r="N31" i="7"/>
  <c r="M31" i="7"/>
  <c r="L31" i="7"/>
  <c r="K31" i="7"/>
  <c r="J31" i="7"/>
  <c r="I31" i="7"/>
  <c r="H31" i="7"/>
  <c r="G31" i="7"/>
  <c r="F31" i="7"/>
  <c r="E31" i="7"/>
  <c r="D31" i="7"/>
  <c r="C31" i="7"/>
  <c r="AK30" i="7"/>
  <c r="AF30" i="7"/>
  <c r="AE30" i="7"/>
  <c r="AD30" i="7"/>
  <c r="AC30" i="7"/>
  <c r="AB30" i="7"/>
  <c r="AA30" i="7"/>
  <c r="Z30" i="7"/>
  <c r="Y30" i="7"/>
  <c r="X30" i="7"/>
  <c r="W30" i="7"/>
  <c r="V30" i="7"/>
  <c r="U30" i="7"/>
  <c r="T30" i="7"/>
  <c r="S30" i="7"/>
  <c r="R30" i="7"/>
  <c r="Q30" i="7"/>
  <c r="P30" i="7"/>
  <c r="O30" i="7"/>
  <c r="N30" i="7"/>
  <c r="M30" i="7"/>
  <c r="L30" i="7"/>
  <c r="K30" i="7"/>
  <c r="J30" i="7"/>
  <c r="I30" i="7"/>
  <c r="H30" i="7"/>
  <c r="G30" i="7"/>
  <c r="F30" i="7"/>
  <c r="E30" i="7"/>
  <c r="D30" i="7"/>
  <c r="C30" i="7"/>
  <c r="AK29" i="7"/>
  <c r="AF29" i="7"/>
  <c r="AE29" i="7"/>
  <c r="AD29" i="7"/>
  <c r="AC29" i="7"/>
  <c r="AB29" i="7"/>
  <c r="AA29" i="7"/>
  <c r="Z29" i="7"/>
  <c r="Y29" i="7"/>
  <c r="X29" i="7"/>
  <c r="W29" i="7"/>
  <c r="V29" i="7"/>
  <c r="U29" i="7"/>
  <c r="T29" i="7"/>
  <c r="S29" i="7"/>
  <c r="R29" i="7"/>
  <c r="Q29" i="7"/>
  <c r="P29" i="7"/>
  <c r="O29" i="7"/>
  <c r="N29" i="7"/>
  <c r="M29" i="7"/>
  <c r="L29" i="7"/>
  <c r="K29" i="7"/>
  <c r="J29" i="7"/>
  <c r="I29" i="7"/>
  <c r="H29" i="7"/>
  <c r="G29" i="7"/>
  <c r="F29" i="7"/>
  <c r="E29" i="7"/>
  <c r="D29" i="7"/>
  <c r="C29" i="7"/>
  <c r="AK28" i="7"/>
  <c r="AF28" i="7"/>
  <c r="AE28" i="7"/>
  <c r="AD28" i="7"/>
  <c r="AC28" i="7"/>
  <c r="AB28" i="7"/>
  <c r="AA28" i="7"/>
  <c r="Z28" i="7"/>
  <c r="Y28" i="7"/>
  <c r="X28" i="7"/>
  <c r="W28" i="7"/>
  <c r="V28" i="7"/>
  <c r="U28" i="7"/>
  <c r="T28" i="7"/>
  <c r="S28" i="7"/>
  <c r="R28" i="7"/>
  <c r="Q28" i="7"/>
  <c r="P28" i="7"/>
  <c r="O28" i="7"/>
  <c r="N28" i="7"/>
  <c r="M28" i="7"/>
  <c r="L28" i="7"/>
  <c r="K28" i="7"/>
  <c r="J28" i="7"/>
  <c r="I28" i="7"/>
  <c r="H28" i="7"/>
  <c r="G28" i="7"/>
  <c r="F28" i="7"/>
  <c r="E28" i="7"/>
  <c r="D28" i="7"/>
  <c r="C28" i="7"/>
  <c r="AK27" i="7"/>
  <c r="AF27" i="7"/>
  <c r="AE27" i="7"/>
  <c r="AD27" i="7"/>
  <c r="AC27" i="7"/>
  <c r="AB27" i="7"/>
  <c r="AA27" i="7"/>
  <c r="Z27" i="7"/>
  <c r="Y27" i="7"/>
  <c r="X27" i="7"/>
  <c r="W27" i="7"/>
  <c r="V27" i="7"/>
  <c r="U27" i="7"/>
  <c r="T27" i="7"/>
  <c r="S27" i="7"/>
  <c r="R27" i="7"/>
  <c r="Q27" i="7"/>
  <c r="P27" i="7"/>
  <c r="O27" i="7"/>
  <c r="N27" i="7"/>
  <c r="M27" i="7"/>
  <c r="L27" i="7"/>
  <c r="K27" i="7"/>
  <c r="J27" i="7"/>
  <c r="I27" i="7"/>
  <c r="H27" i="7"/>
  <c r="G27" i="7"/>
  <c r="F27" i="7"/>
  <c r="E27" i="7"/>
  <c r="D27" i="7"/>
  <c r="C27" i="7"/>
  <c r="AK26" i="7"/>
  <c r="AF26" i="7"/>
  <c r="AE26" i="7"/>
  <c r="AD26" i="7"/>
  <c r="AC26" i="7"/>
  <c r="AB26" i="7"/>
  <c r="AA26" i="7"/>
  <c r="Z26" i="7"/>
  <c r="Y26" i="7"/>
  <c r="X26" i="7"/>
  <c r="W26" i="7"/>
  <c r="V26" i="7"/>
  <c r="U26" i="7"/>
  <c r="T26" i="7"/>
  <c r="S26" i="7"/>
  <c r="R26" i="7"/>
  <c r="Q26" i="7"/>
  <c r="P26" i="7"/>
  <c r="O26" i="7"/>
  <c r="N26" i="7"/>
  <c r="M26" i="7"/>
  <c r="L26" i="7"/>
  <c r="K26" i="7"/>
  <c r="J26" i="7"/>
  <c r="I26" i="7"/>
  <c r="H26" i="7"/>
  <c r="G26" i="7"/>
  <c r="F26" i="7"/>
  <c r="E26" i="7"/>
  <c r="D26" i="7"/>
  <c r="C26" i="7"/>
  <c r="AK25" i="7"/>
  <c r="AF25" i="7"/>
  <c r="AE25" i="7"/>
  <c r="AD25" i="7"/>
  <c r="AC25" i="7"/>
  <c r="AB25" i="7"/>
  <c r="AA25" i="7"/>
  <c r="Z25" i="7"/>
  <c r="Y25" i="7"/>
  <c r="X25" i="7"/>
  <c r="W25" i="7"/>
  <c r="V25" i="7"/>
  <c r="U25" i="7"/>
  <c r="T25" i="7"/>
  <c r="S25" i="7"/>
  <c r="R25" i="7"/>
  <c r="Q25" i="7"/>
  <c r="P25" i="7"/>
  <c r="O25" i="7"/>
  <c r="N25" i="7"/>
  <c r="M25" i="7"/>
  <c r="L25" i="7"/>
  <c r="K25" i="7"/>
  <c r="J25" i="7"/>
  <c r="I25" i="7"/>
  <c r="H25" i="7"/>
  <c r="G25" i="7"/>
  <c r="F25" i="7"/>
  <c r="E25" i="7"/>
  <c r="D25" i="7"/>
  <c r="C25" i="7"/>
  <c r="AK24" i="7"/>
  <c r="AF24" i="7"/>
  <c r="AE24" i="7"/>
  <c r="AD24" i="7"/>
  <c r="AC24" i="7"/>
  <c r="AB24" i="7"/>
  <c r="AA24" i="7"/>
  <c r="Z24" i="7"/>
  <c r="Y24" i="7"/>
  <c r="X24" i="7"/>
  <c r="W24" i="7"/>
  <c r="V24" i="7"/>
  <c r="U24" i="7"/>
  <c r="T24" i="7"/>
  <c r="S24" i="7"/>
  <c r="R24" i="7"/>
  <c r="Q24" i="7"/>
  <c r="P24" i="7"/>
  <c r="O24" i="7"/>
  <c r="N24" i="7"/>
  <c r="M24" i="7"/>
  <c r="L24" i="7"/>
  <c r="K24" i="7"/>
  <c r="J24" i="7"/>
  <c r="I24" i="7"/>
  <c r="H24" i="7"/>
  <c r="G24" i="7"/>
  <c r="F24" i="7"/>
  <c r="E24" i="7"/>
  <c r="D24" i="7"/>
  <c r="C24" i="7"/>
  <c r="AK23" i="7"/>
  <c r="AF23" i="7"/>
  <c r="AE23" i="7"/>
  <c r="AD23" i="7"/>
  <c r="AC23" i="7"/>
  <c r="AB23" i="7"/>
  <c r="AA23" i="7"/>
  <c r="Z23" i="7"/>
  <c r="Y23" i="7"/>
  <c r="X23" i="7"/>
  <c r="W23" i="7"/>
  <c r="V23" i="7"/>
  <c r="U23" i="7"/>
  <c r="T23" i="7"/>
  <c r="S23" i="7"/>
  <c r="R23" i="7"/>
  <c r="Q23" i="7"/>
  <c r="P23" i="7"/>
  <c r="O23" i="7"/>
  <c r="N23" i="7"/>
  <c r="M23" i="7"/>
  <c r="L23" i="7"/>
  <c r="K23" i="7"/>
  <c r="J23" i="7"/>
  <c r="I23" i="7"/>
  <c r="H23" i="7"/>
  <c r="G23" i="7"/>
  <c r="F23" i="7"/>
  <c r="E23" i="7"/>
  <c r="D23" i="7"/>
  <c r="C23" i="7"/>
  <c r="AK22" i="7"/>
  <c r="AF22" i="7"/>
  <c r="AE22" i="7"/>
  <c r="AD22" i="7"/>
  <c r="AC22" i="7"/>
  <c r="AB22" i="7"/>
  <c r="AA22" i="7"/>
  <c r="Z22" i="7"/>
  <c r="Y22" i="7"/>
  <c r="X22" i="7"/>
  <c r="W22" i="7"/>
  <c r="V22" i="7"/>
  <c r="U22" i="7"/>
  <c r="T22" i="7"/>
  <c r="S22" i="7"/>
  <c r="R22" i="7"/>
  <c r="Q22" i="7"/>
  <c r="P22" i="7"/>
  <c r="O22" i="7"/>
  <c r="N22" i="7"/>
  <c r="M22" i="7"/>
  <c r="L22" i="7"/>
  <c r="K22" i="7"/>
  <c r="J22" i="7"/>
  <c r="I22" i="7"/>
  <c r="H22" i="7"/>
  <c r="G22" i="7"/>
  <c r="F22" i="7"/>
  <c r="E22" i="7"/>
  <c r="D22" i="7"/>
  <c r="C22" i="7"/>
  <c r="AK21" i="7"/>
  <c r="AF21" i="7"/>
  <c r="AE21" i="7"/>
  <c r="AD21" i="7"/>
  <c r="AC21" i="7"/>
  <c r="AB21" i="7"/>
  <c r="AA21" i="7"/>
  <c r="Z21" i="7"/>
  <c r="Y21" i="7"/>
  <c r="X21" i="7"/>
  <c r="W21" i="7"/>
  <c r="V21" i="7"/>
  <c r="U21" i="7"/>
  <c r="T21" i="7"/>
  <c r="S21" i="7"/>
  <c r="R21" i="7"/>
  <c r="Q21" i="7"/>
  <c r="P21" i="7"/>
  <c r="O21" i="7"/>
  <c r="N21" i="7"/>
  <c r="M21" i="7"/>
  <c r="L21" i="7"/>
  <c r="K21" i="7"/>
  <c r="J21" i="7"/>
  <c r="I21" i="7"/>
  <c r="H21" i="7"/>
  <c r="G21" i="7"/>
  <c r="F21" i="7"/>
  <c r="E21" i="7"/>
  <c r="D21" i="7"/>
  <c r="C21" i="7"/>
  <c r="AK20" i="7"/>
  <c r="AF20" i="7"/>
  <c r="AE20" i="7"/>
  <c r="AD20" i="7"/>
  <c r="AC20" i="7"/>
  <c r="AB20" i="7"/>
  <c r="AA20" i="7"/>
  <c r="Z20" i="7"/>
  <c r="Y20" i="7"/>
  <c r="X20" i="7"/>
  <c r="W20" i="7"/>
  <c r="V20" i="7"/>
  <c r="U20" i="7"/>
  <c r="T20" i="7"/>
  <c r="S20" i="7"/>
  <c r="R20" i="7"/>
  <c r="Q20" i="7"/>
  <c r="P20" i="7"/>
  <c r="O20" i="7"/>
  <c r="N20" i="7"/>
  <c r="M20" i="7"/>
  <c r="L20" i="7"/>
  <c r="K20" i="7"/>
  <c r="J20" i="7"/>
  <c r="I20" i="7"/>
  <c r="H20" i="7"/>
  <c r="G20" i="7"/>
  <c r="F20" i="7"/>
  <c r="E20" i="7"/>
  <c r="D20" i="7"/>
  <c r="C20" i="7"/>
  <c r="AK19" i="7"/>
  <c r="AF19" i="7"/>
  <c r="AE19" i="7"/>
  <c r="AD19" i="7"/>
  <c r="AC19" i="7"/>
  <c r="AB19" i="7"/>
  <c r="AA19" i="7"/>
  <c r="Z19" i="7"/>
  <c r="Y19" i="7"/>
  <c r="X19" i="7"/>
  <c r="W19" i="7"/>
  <c r="V19" i="7"/>
  <c r="U19" i="7"/>
  <c r="T19" i="7"/>
  <c r="S19" i="7"/>
  <c r="R19" i="7"/>
  <c r="Q19" i="7"/>
  <c r="P19" i="7"/>
  <c r="O19" i="7"/>
  <c r="N19" i="7"/>
  <c r="M19" i="7"/>
  <c r="L19" i="7"/>
  <c r="K19" i="7"/>
  <c r="J19" i="7"/>
  <c r="I19" i="7"/>
  <c r="H19" i="7"/>
  <c r="G19" i="7"/>
  <c r="F19" i="7"/>
  <c r="E19" i="7"/>
  <c r="D19" i="7"/>
  <c r="C19" i="7"/>
  <c r="AK18" i="7"/>
  <c r="AF18" i="7"/>
  <c r="AE18" i="7"/>
  <c r="AD18" i="7"/>
  <c r="AC18" i="7"/>
  <c r="AB18" i="7"/>
  <c r="AA18" i="7"/>
  <c r="Z18" i="7"/>
  <c r="Y18" i="7"/>
  <c r="X18" i="7"/>
  <c r="W18" i="7"/>
  <c r="V18" i="7"/>
  <c r="U18" i="7"/>
  <c r="T18" i="7"/>
  <c r="S18" i="7"/>
  <c r="R18" i="7"/>
  <c r="Q18" i="7"/>
  <c r="P18" i="7"/>
  <c r="O18" i="7"/>
  <c r="N18" i="7"/>
  <c r="M18" i="7"/>
  <c r="L18" i="7"/>
  <c r="K18" i="7"/>
  <c r="J18" i="7"/>
  <c r="I18" i="7"/>
  <c r="H18" i="7"/>
  <c r="G18" i="7"/>
  <c r="F18" i="7"/>
  <c r="E18" i="7"/>
  <c r="D18" i="7"/>
  <c r="C18" i="7"/>
  <c r="AK17" i="7"/>
  <c r="AF17" i="7"/>
  <c r="AE17" i="7"/>
  <c r="AD17" i="7"/>
  <c r="AC17" i="7"/>
  <c r="AB17" i="7"/>
  <c r="AA17" i="7"/>
  <c r="Z17" i="7"/>
  <c r="Y17" i="7"/>
  <c r="X17" i="7"/>
  <c r="W17" i="7"/>
  <c r="V17" i="7"/>
  <c r="U17" i="7"/>
  <c r="T17" i="7"/>
  <c r="S17" i="7"/>
  <c r="R17" i="7"/>
  <c r="Q17" i="7"/>
  <c r="P17" i="7"/>
  <c r="O17" i="7"/>
  <c r="N17" i="7"/>
  <c r="M17" i="7"/>
  <c r="L17" i="7"/>
  <c r="K17" i="7"/>
  <c r="J17" i="7"/>
  <c r="I17" i="7"/>
  <c r="H17" i="7"/>
  <c r="G17" i="7"/>
  <c r="F17" i="7"/>
  <c r="E17" i="7"/>
  <c r="D17" i="7"/>
  <c r="C17" i="7"/>
  <c r="AK16" i="7"/>
  <c r="AF16" i="7"/>
  <c r="AE16" i="7"/>
  <c r="AD16" i="7"/>
  <c r="AC16" i="7"/>
  <c r="AB16" i="7"/>
  <c r="AA16" i="7"/>
  <c r="Z16" i="7"/>
  <c r="Y16" i="7"/>
  <c r="X16" i="7"/>
  <c r="W16" i="7"/>
  <c r="V16" i="7"/>
  <c r="U16" i="7"/>
  <c r="T16" i="7"/>
  <c r="S16" i="7"/>
  <c r="R16" i="7"/>
  <c r="Q16" i="7"/>
  <c r="P16" i="7"/>
  <c r="O16" i="7"/>
  <c r="N16" i="7"/>
  <c r="M16" i="7"/>
  <c r="L16" i="7"/>
  <c r="K16" i="7"/>
  <c r="J16" i="7"/>
  <c r="I16" i="7"/>
  <c r="H16" i="7"/>
  <c r="G16" i="7"/>
  <c r="F16" i="7"/>
  <c r="E16" i="7"/>
  <c r="D16" i="7"/>
  <c r="C16" i="7"/>
  <c r="AK15" i="7"/>
  <c r="AF15" i="7"/>
  <c r="AE15" i="7"/>
  <c r="AD15" i="7"/>
  <c r="AC15" i="7"/>
  <c r="AB15" i="7"/>
  <c r="AA15" i="7"/>
  <c r="Z15" i="7"/>
  <c r="Y15" i="7"/>
  <c r="X15" i="7"/>
  <c r="W15" i="7"/>
  <c r="V15" i="7"/>
  <c r="U15" i="7"/>
  <c r="T15" i="7"/>
  <c r="S15" i="7"/>
  <c r="R15" i="7"/>
  <c r="Q15" i="7"/>
  <c r="P15" i="7"/>
  <c r="O15" i="7"/>
  <c r="N15" i="7"/>
  <c r="M15" i="7"/>
  <c r="L15" i="7"/>
  <c r="K15" i="7"/>
  <c r="J15" i="7"/>
  <c r="I15" i="7"/>
  <c r="H15" i="7"/>
  <c r="G15" i="7"/>
  <c r="F15" i="7"/>
  <c r="E15" i="7"/>
  <c r="D15" i="7"/>
  <c r="C15" i="7"/>
  <c r="AK14" i="7"/>
  <c r="AF14" i="7"/>
  <c r="AE14" i="7"/>
  <c r="AD14" i="7"/>
  <c r="AC14" i="7"/>
  <c r="AB14" i="7"/>
  <c r="AA14" i="7"/>
  <c r="Z14" i="7"/>
  <c r="Y14" i="7"/>
  <c r="X14" i="7"/>
  <c r="W14" i="7"/>
  <c r="V14" i="7"/>
  <c r="U14" i="7"/>
  <c r="T14" i="7"/>
  <c r="S14" i="7"/>
  <c r="R14" i="7"/>
  <c r="Q14" i="7"/>
  <c r="P14" i="7"/>
  <c r="O14" i="7"/>
  <c r="N14" i="7"/>
  <c r="M14" i="7"/>
  <c r="L14" i="7"/>
  <c r="K14" i="7"/>
  <c r="J14" i="7"/>
  <c r="I14" i="7"/>
  <c r="H14" i="7"/>
  <c r="G14" i="7"/>
  <c r="F14" i="7"/>
  <c r="E14" i="7"/>
  <c r="D14" i="7"/>
  <c r="C14" i="7"/>
  <c r="AK13" i="7"/>
  <c r="AF13" i="7"/>
  <c r="AE13" i="7"/>
  <c r="AD13" i="7"/>
  <c r="AC13" i="7"/>
  <c r="AB13" i="7"/>
  <c r="AA13" i="7"/>
  <c r="Z13" i="7"/>
  <c r="Y13" i="7"/>
  <c r="X13" i="7"/>
  <c r="W13" i="7"/>
  <c r="V13" i="7"/>
  <c r="U13" i="7"/>
  <c r="T13" i="7"/>
  <c r="S13" i="7"/>
  <c r="R13" i="7"/>
  <c r="Q13" i="7"/>
  <c r="P13" i="7"/>
  <c r="O13" i="7"/>
  <c r="N13" i="7"/>
  <c r="M13" i="7"/>
  <c r="L13" i="7"/>
  <c r="K13" i="7"/>
  <c r="J13" i="7"/>
  <c r="I13" i="7"/>
  <c r="H13" i="7"/>
  <c r="G13" i="7"/>
  <c r="F13" i="7"/>
  <c r="E13" i="7"/>
  <c r="D13" i="7"/>
  <c r="C13" i="7"/>
  <c r="AK12" i="7"/>
  <c r="AF12" i="7"/>
  <c r="AE12" i="7"/>
  <c r="AD12" i="7"/>
  <c r="AC12" i="7"/>
  <c r="AB12" i="7"/>
  <c r="AA12" i="7"/>
  <c r="Z12" i="7"/>
  <c r="Y12" i="7"/>
  <c r="X12" i="7"/>
  <c r="W12" i="7"/>
  <c r="V12" i="7"/>
  <c r="U12" i="7"/>
  <c r="T12" i="7"/>
  <c r="S12" i="7"/>
  <c r="R12" i="7"/>
  <c r="Q12" i="7"/>
  <c r="P12" i="7"/>
  <c r="O12" i="7"/>
  <c r="N12" i="7"/>
  <c r="M12" i="7"/>
  <c r="L12" i="7"/>
  <c r="K12" i="7"/>
  <c r="J12" i="7"/>
  <c r="I12" i="7"/>
  <c r="H12" i="7"/>
  <c r="G12" i="7"/>
  <c r="F12" i="7"/>
  <c r="E12" i="7"/>
  <c r="D12" i="7"/>
  <c r="C12" i="7"/>
  <c r="AK11" i="7"/>
  <c r="AF11" i="7"/>
  <c r="AE11" i="7"/>
  <c r="AD11" i="7"/>
  <c r="AC11" i="7"/>
  <c r="AB11" i="7"/>
  <c r="AA11" i="7"/>
  <c r="Z11" i="7"/>
  <c r="Y11" i="7"/>
  <c r="X11" i="7"/>
  <c r="W11" i="7"/>
  <c r="V11" i="7"/>
  <c r="U11" i="7"/>
  <c r="T11" i="7"/>
  <c r="S11" i="7"/>
  <c r="R11" i="7"/>
  <c r="Q11" i="7"/>
  <c r="P11" i="7"/>
  <c r="O11" i="7"/>
  <c r="N11" i="7"/>
  <c r="M11" i="7"/>
  <c r="L11" i="7"/>
  <c r="K11" i="7"/>
  <c r="J11" i="7"/>
  <c r="I11" i="7"/>
  <c r="H11" i="7"/>
  <c r="G11" i="7"/>
  <c r="F11" i="7"/>
  <c r="E11" i="7"/>
  <c r="D11" i="7"/>
  <c r="C11" i="7"/>
  <c r="AK10" i="7"/>
  <c r="AF10" i="7"/>
  <c r="AE10" i="7"/>
  <c r="AD10" i="7"/>
  <c r="AC10" i="7"/>
  <c r="AB10" i="7"/>
  <c r="AA10" i="7"/>
  <c r="Z10" i="7"/>
  <c r="Y10" i="7"/>
  <c r="X10" i="7"/>
  <c r="W10" i="7"/>
  <c r="V10" i="7"/>
  <c r="U10" i="7"/>
  <c r="T10" i="7"/>
  <c r="S10" i="7"/>
  <c r="R10" i="7"/>
  <c r="Q10" i="7"/>
  <c r="P10" i="7"/>
  <c r="O10" i="7"/>
  <c r="N10" i="7"/>
  <c r="M10" i="7"/>
  <c r="L10" i="7"/>
  <c r="K10" i="7"/>
  <c r="J10" i="7"/>
  <c r="I10" i="7"/>
  <c r="H10" i="7"/>
  <c r="G10" i="7"/>
  <c r="F10" i="7"/>
  <c r="E10" i="7"/>
  <c r="D10" i="7"/>
  <c r="C10" i="7"/>
  <c r="AK9" i="7"/>
  <c r="AF9" i="7"/>
  <c r="AE9" i="7"/>
  <c r="AD9" i="7"/>
  <c r="AC9" i="7"/>
  <c r="AB9" i="7"/>
  <c r="AA9" i="7"/>
  <c r="Z9" i="7"/>
  <c r="Y9" i="7"/>
  <c r="X9" i="7"/>
  <c r="W9" i="7"/>
  <c r="V9" i="7"/>
  <c r="U9" i="7"/>
  <c r="T9" i="7"/>
  <c r="S9" i="7"/>
  <c r="R9" i="7"/>
  <c r="Q9" i="7"/>
  <c r="P9" i="7"/>
  <c r="O9" i="7"/>
  <c r="N9" i="7"/>
  <c r="M9" i="7"/>
  <c r="L9" i="7"/>
  <c r="K9" i="7"/>
  <c r="J9" i="7"/>
  <c r="I9" i="7"/>
  <c r="H9" i="7"/>
  <c r="G9" i="7"/>
  <c r="F9" i="7"/>
  <c r="E9" i="7"/>
  <c r="D9" i="7"/>
  <c r="C9" i="7"/>
  <c r="AK8" i="7"/>
  <c r="AF8" i="7"/>
  <c r="AE8" i="7"/>
  <c r="AD8" i="7"/>
  <c r="AC8" i="7"/>
  <c r="AB8" i="7"/>
  <c r="AA8" i="7"/>
  <c r="Z8" i="7"/>
  <c r="Y8" i="7"/>
  <c r="X8" i="7"/>
  <c r="W8" i="7"/>
  <c r="V8" i="7"/>
  <c r="U8" i="7"/>
  <c r="T8" i="7"/>
  <c r="S8" i="7"/>
  <c r="R8" i="7"/>
  <c r="Q8" i="7"/>
  <c r="P8" i="7"/>
  <c r="O8" i="7"/>
  <c r="N8" i="7"/>
  <c r="M8" i="7"/>
  <c r="L8" i="7"/>
  <c r="K8" i="7"/>
  <c r="J8" i="7"/>
  <c r="I8" i="7"/>
  <c r="H8" i="7"/>
  <c r="G8" i="7"/>
  <c r="F8" i="7"/>
  <c r="E8" i="7"/>
  <c r="D8" i="7"/>
  <c r="C8" i="7"/>
  <c r="AK7" i="7"/>
  <c r="AF7" i="7"/>
  <c r="AE7" i="7"/>
  <c r="AD7" i="7"/>
  <c r="AC7" i="7"/>
  <c r="AB7" i="7"/>
  <c r="AA7" i="7"/>
  <c r="Z7" i="7"/>
  <c r="Y7" i="7"/>
  <c r="X7" i="7"/>
  <c r="W7" i="7"/>
  <c r="V7" i="7"/>
  <c r="U7" i="7"/>
  <c r="T7" i="7"/>
  <c r="S7" i="7"/>
  <c r="R7" i="7"/>
  <c r="Q7" i="7"/>
  <c r="P7" i="7"/>
  <c r="O7" i="7"/>
  <c r="N7" i="7"/>
  <c r="M7" i="7"/>
  <c r="L7" i="7"/>
  <c r="K7" i="7"/>
  <c r="J7" i="7"/>
  <c r="I7" i="7"/>
  <c r="H7" i="7"/>
  <c r="G7" i="7"/>
  <c r="F7" i="7"/>
  <c r="E7" i="7"/>
  <c r="D7" i="7"/>
  <c r="C7" i="7"/>
  <c r="AK6" i="7"/>
  <c r="AF6" i="7"/>
  <c r="AE6" i="7"/>
  <c r="AD6" i="7"/>
  <c r="AC6" i="7"/>
  <c r="AB6" i="7"/>
  <c r="AA6" i="7"/>
  <c r="Z6" i="7"/>
  <c r="Y6" i="7"/>
  <c r="X6" i="7"/>
  <c r="W6" i="7"/>
  <c r="V6" i="7"/>
  <c r="U6" i="7"/>
  <c r="T6" i="7"/>
  <c r="S6" i="7"/>
  <c r="R6" i="7"/>
  <c r="Q6" i="7"/>
  <c r="P6" i="7"/>
  <c r="O6" i="7"/>
  <c r="N6" i="7"/>
  <c r="M6" i="7"/>
  <c r="L6" i="7"/>
  <c r="K6" i="7"/>
  <c r="J6" i="7"/>
  <c r="I6" i="7"/>
  <c r="H6" i="7"/>
  <c r="G6" i="7"/>
  <c r="F6" i="7"/>
  <c r="E6" i="7"/>
  <c r="D6" i="7"/>
  <c r="C6" i="7"/>
  <c r="AK5" i="7"/>
  <c r="AF5" i="7"/>
  <c r="AE5" i="7"/>
  <c r="AD5" i="7"/>
  <c r="AC5" i="7"/>
  <c r="AB5" i="7"/>
  <c r="AA5" i="7"/>
  <c r="Z5" i="7"/>
  <c r="Y5" i="7"/>
  <c r="X5" i="7"/>
  <c r="W5" i="7"/>
  <c r="V5" i="7"/>
  <c r="U5" i="7"/>
  <c r="T5" i="7"/>
  <c r="S5" i="7"/>
  <c r="R5" i="7"/>
  <c r="Q5" i="7"/>
  <c r="P5" i="7"/>
  <c r="O5" i="7"/>
  <c r="N5" i="7"/>
  <c r="M5" i="7"/>
  <c r="L5" i="7"/>
  <c r="K5" i="7"/>
  <c r="J5" i="7"/>
  <c r="I5" i="7"/>
  <c r="H5" i="7"/>
  <c r="G5" i="7"/>
  <c r="F5" i="7"/>
  <c r="E5" i="7"/>
  <c r="D5" i="7"/>
  <c r="C5" i="7"/>
  <c r="AK4" i="7"/>
  <c r="AF4" i="7"/>
  <c r="AE4" i="7"/>
  <c r="AD4" i="7"/>
  <c r="AC4" i="7"/>
  <c r="AB4" i="7"/>
  <c r="AA4" i="7"/>
  <c r="Z4" i="7"/>
  <c r="Y4" i="7"/>
  <c r="X4" i="7"/>
  <c r="W4" i="7"/>
  <c r="V4" i="7"/>
  <c r="U4" i="7"/>
  <c r="T4" i="7"/>
  <c r="S4" i="7"/>
  <c r="R4" i="7"/>
  <c r="Q4" i="7"/>
  <c r="P4" i="7"/>
  <c r="O4" i="7"/>
  <c r="N4" i="7"/>
  <c r="M4" i="7"/>
  <c r="L4" i="7"/>
  <c r="K4" i="7"/>
  <c r="J4" i="7"/>
  <c r="I4" i="7"/>
  <c r="H4" i="7"/>
  <c r="G4" i="7"/>
  <c r="F4" i="7"/>
  <c r="E4" i="7"/>
  <c r="D4" i="7"/>
  <c r="C4" i="7"/>
  <c r="AP3" i="7"/>
  <c r="AP4" i="7" s="1"/>
  <c r="AK3" i="7"/>
  <c r="AF3" i="7"/>
  <c r="AE3" i="7"/>
  <c r="AD3" i="7"/>
  <c r="AC3" i="7"/>
  <c r="AB3" i="7"/>
  <c r="AA3" i="7"/>
  <c r="Z3" i="7"/>
  <c r="Y3" i="7"/>
  <c r="X3" i="7"/>
  <c r="W3" i="7"/>
  <c r="V3" i="7"/>
  <c r="U3" i="7"/>
  <c r="T3" i="7"/>
  <c r="S3" i="7"/>
  <c r="R3" i="7"/>
  <c r="Q3" i="7"/>
  <c r="P3" i="7"/>
  <c r="O3" i="7"/>
  <c r="N3" i="7"/>
  <c r="M3" i="7"/>
  <c r="L3" i="7"/>
  <c r="K3" i="7"/>
  <c r="J3" i="7"/>
  <c r="I3" i="7"/>
  <c r="H3" i="7"/>
  <c r="G3" i="7"/>
  <c r="F3" i="7"/>
  <c r="E3" i="7"/>
  <c r="D3" i="7"/>
  <c r="C3" i="7"/>
  <c r="AK57" i="6"/>
  <c r="AG57" i="6"/>
  <c r="AF57" i="6"/>
  <c r="AE57" i="6"/>
  <c r="AD57" i="6"/>
  <c r="AC57" i="6"/>
  <c r="AB57" i="6"/>
  <c r="AA57" i="6"/>
  <c r="Z57" i="6"/>
  <c r="Y57" i="6"/>
  <c r="X57" i="6"/>
  <c r="W57" i="6"/>
  <c r="V57" i="6"/>
  <c r="U57" i="6"/>
  <c r="T57" i="6"/>
  <c r="S57" i="6"/>
  <c r="R57" i="6"/>
  <c r="Q57" i="6"/>
  <c r="P57" i="6"/>
  <c r="O57" i="6"/>
  <c r="N57" i="6"/>
  <c r="M57" i="6"/>
  <c r="L57" i="6"/>
  <c r="K57" i="6"/>
  <c r="J57" i="6"/>
  <c r="I57" i="6"/>
  <c r="H57" i="6"/>
  <c r="G57" i="6"/>
  <c r="F57" i="6"/>
  <c r="E57" i="6"/>
  <c r="D57" i="6"/>
  <c r="C57" i="6"/>
  <c r="AK56" i="6"/>
  <c r="AG56" i="6"/>
  <c r="AF56" i="6"/>
  <c r="AE56" i="6"/>
  <c r="AD56" i="6"/>
  <c r="AC56" i="6"/>
  <c r="AB56" i="6"/>
  <c r="AA56" i="6"/>
  <c r="Z56" i="6"/>
  <c r="Y56" i="6"/>
  <c r="X56" i="6"/>
  <c r="W56" i="6"/>
  <c r="V56" i="6"/>
  <c r="U56" i="6"/>
  <c r="T56" i="6"/>
  <c r="S56" i="6"/>
  <c r="R56" i="6"/>
  <c r="Q56" i="6"/>
  <c r="P56" i="6"/>
  <c r="O56" i="6"/>
  <c r="N56" i="6"/>
  <c r="M56" i="6"/>
  <c r="L56" i="6"/>
  <c r="K56" i="6"/>
  <c r="J56" i="6"/>
  <c r="I56" i="6"/>
  <c r="H56" i="6"/>
  <c r="G56" i="6"/>
  <c r="F56" i="6"/>
  <c r="E56" i="6"/>
  <c r="D56" i="6"/>
  <c r="C56" i="6"/>
  <c r="AK55" i="6"/>
  <c r="AG55" i="6"/>
  <c r="AF55" i="6"/>
  <c r="AE55" i="6"/>
  <c r="AD55" i="6"/>
  <c r="AC55" i="6"/>
  <c r="AB55" i="6"/>
  <c r="AA55" i="6"/>
  <c r="Z55" i="6"/>
  <c r="Y55" i="6"/>
  <c r="X55" i="6"/>
  <c r="W55" i="6"/>
  <c r="V55" i="6"/>
  <c r="U55" i="6"/>
  <c r="T55" i="6"/>
  <c r="S55" i="6"/>
  <c r="R55" i="6"/>
  <c r="Q55" i="6"/>
  <c r="P55" i="6"/>
  <c r="O55" i="6"/>
  <c r="N55" i="6"/>
  <c r="M55" i="6"/>
  <c r="L55" i="6"/>
  <c r="K55" i="6"/>
  <c r="J55" i="6"/>
  <c r="I55" i="6"/>
  <c r="H55" i="6"/>
  <c r="G55" i="6"/>
  <c r="F55" i="6"/>
  <c r="E55" i="6"/>
  <c r="D55" i="6"/>
  <c r="C55" i="6"/>
  <c r="AK54" i="6"/>
  <c r="AG54" i="6"/>
  <c r="AF54" i="6"/>
  <c r="AE54" i="6"/>
  <c r="AD54" i="6"/>
  <c r="AC54" i="6"/>
  <c r="AB54" i="6"/>
  <c r="AA54" i="6"/>
  <c r="Z54" i="6"/>
  <c r="Y54" i="6"/>
  <c r="X54" i="6"/>
  <c r="W54" i="6"/>
  <c r="V54" i="6"/>
  <c r="U54" i="6"/>
  <c r="T54" i="6"/>
  <c r="S54" i="6"/>
  <c r="R54" i="6"/>
  <c r="Q54" i="6"/>
  <c r="P54" i="6"/>
  <c r="O54" i="6"/>
  <c r="N54" i="6"/>
  <c r="M54" i="6"/>
  <c r="L54" i="6"/>
  <c r="K54" i="6"/>
  <c r="J54" i="6"/>
  <c r="I54" i="6"/>
  <c r="H54" i="6"/>
  <c r="G54" i="6"/>
  <c r="F54" i="6"/>
  <c r="E54" i="6"/>
  <c r="D54" i="6"/>
  <c r="C54" i="6"/>
  <c r="AK53" i="6"/>
  <c r="AG53" i="6"/>
  <c r="AF53" i="6"/>
  <c r="AE53" i="6"/>
  <c r="AD53" i="6"/>
  <c r="AC53" i="6"/>
  <c r="AB53" i="6"/>
  <c r="AA53" i="6"/>
  <c r="Z53" i="6"/>
  <c r="Y53" i="6"/>
  <c r="X53" i="6"/>
  <c r="W53" i="6"/>
  <c r="V53" i="6"/>
  <c r="U53" i="6"/>
  <c r="T53" i="6"/>
  <c r="S53" i="6"/>
  <c r="R53" i="6"/>
  <c r="Q53" i="6"/>
  <c r="P53" i="6"/>
  <c r="O53" i="6"/>
  <c r="N53" i="6"/>
  <c r="M53" i="6"/>
  <c r="L53" i="6"/>
  <c r="K53" i="6"/>
  <c r="J53" i="6"/>
  <c r="I53" i="6"/>
  <c r="H53" i="6"/>
  <c r="G53" i="6"/>
  <c r="F53" i="6"/>
  <c r="E53" i="6"/>
  <c r="D53" i="6"/>
  <c r="C53" i="6"/>
  <c r="AK52" i="6"/>
  <c r="AG52" i="6"/>
  <c r="AF52" i="6"/>
  <c r="AE52" i="6"/>
  <c r="AD52" i="6"/>
  <c r="AC52" i="6"/>
  <c r="AB52" i="6"/>
  <c r="AA52" i="6"/>
  <c r="Z52" i="6"/>
  <c r="Y52" i="6"/>
  <c r="X52" i="6"/>
  <c r="W52" i="6"/>
  <c r="V52" i="6"/>
  <c r="U52" i="6"/>
  <c r="T52" i="6"/>
  <c r="S52" i="6"/>
  <c r="R52" i="6"/>
  <c r="Q52" i="6"/>
  <c r="P52" i="6"/>
  <c r="O52" i="6"/>
  <c r="N52" i="6"/>
  <c r="M52" i="6"/>
  <c r="L52" i="6"/>
  <c r="K52" i="6"/>
  <c r="J52" i="6"/>
  <c r="I52" i="6"/>
  <c r="H52" i="6"/>
  <c r="G52" i="6"/>
  <c r="F52" i="6"/>
  <c r="E52" i="6"/>
  <c r="D52" i="6"/>
  <c r="C52" i="6"/>
  <c r="AK51" i="6"/>
  <c r="AG51" i="6"/>
  <c r="AF51" i="6"/>
  <c r="AE51" i="6"/>
  <c r="AD51" i="6"/>
  <c r="AC51" i="6"/>
  <c r="AB51" i="6"/>
  <c r="AA51" i="6"/>
  <c r="Z51" i="6"/>
  <c r="Y51" i="6"/>
  <c r="X51" i="6"/>
  <c r="W51" i="6"/>
  <c r="V51" i="6"/>
  <c r="U51" i="6"/>
  <c r="T51" i="6"/>
  <c r="S51" i="6"/>
  <c r="R51" i="6"/>
  <c r="Q51" i="6"/>
  <c r="P51" i="6"/>
  <c r="O51" i="6"/>
  <c r="N51" i="6"/>
  <c r="M51" i="6"/>
  <c r="L51" i="6"/>
  <c r="K51" i="6"/>
  <c r="J51" i="6"/>
  <c r="I51" i="6"/>
  <c r="H51" i="6"/>
  <c r="G51" i="6"/>
  <c r="F51" i="6"/>
  <c r="E51" i="6"/>
  <c r="D51" i="6"/>
  <c r="C51" i="6"/>
  <c r="AK50" i="6"/>
  <c r="AG50" i="6"/>
  <c r="AF50" i="6"/>
  <c r="AE50" i="6"/>
  <c r="AD50" i="6"/>
  <c r="AC50" i="6"/>
  <c r="AB50" i="6"/>
  <c r="AA50" i="6"/>
  <c r="Z50" i="6"/>
  <c r="Y50" i="6"/>
  <c r="X50" i="6"/>
  <c r="W50" i="6"/>
  <c r="V50" i="6"/>
  <c r="U50" i="6"/>
  <c r="T50" i="6"/>
  <c r="S50" i="6"/>
  <c r="R50" i="6"/>
  <c r="Q50" i="6"/>
  <c r="P50" i="6"/>
  <c r="O50" i="6"/>
  <c r="N50" i="6"/>
  <c r="M50" i="6"/>
  <c r="L50" i="6"/>
  <c r="K50" i="6"/>
  <c r="J50" i="6"/>
  <c r="I50" i="6"/>
  <c r="H50" i="6"/>
  <c r="G50" i="6"/>
  <c r="F50" i="6"/>
  <c r="E50" i="6"/>
  <c r="D50" i="6"/>
  <c r="C50" i="6"/>
  <c r="AK49" i="6"/>
  <c r="AG49" i="6"/>
  <c r="AF49" i="6"/>
  <c r="AE49" i="6"/>
  <c r="AD49" i="6"/>
  <c r="AC49" i="6"/>
  <c r="AB49" i="6"/>
  <c r="AA49" i="6"/>
  <c r="Z49" i="6"/>
  <c r="Y49" i="6"/>
  <c r="X49" i="6"/>
  <c r="W49" i="6"/>
  <c r="V49" i="6"/>
  <c r="U49" i="6"/>
  <c r="T49" i="6"/>
  <c r="S49" i="6"/>
  <c r="R49" i="6"/>
  <c r="Q49" i="6"/>
  <c r="P49" i="6"/>
  <c r="O49" i="6"/>
  <c r="N49" i="6"/>
  <c r="M49" i="6"/>
  <c r="L49" i="6"/>
  <c r="K49" i="6"/>
  <c r="J49" i="6"/>
  <c r="I49" i="6"/>
  <c r="H49" i="6"/>
  <c r="G49" i="6"/>
  <c r="F49" i="6"/>
  <c r="E49" i="6"/>
  <c r="D49" i="6"/>
  <c r="C49" i="6"/>
  <c r="AK48" i="6"/>
  <c r="AG48" i="6"/>
  <c r="AF48" i="6"/>
  <c r="AE48" i="6"/>
  <c r="AD48" i="6"/>
  <c r="AC48" i="6"/>
  <c r="AB48" i="6"/>
  <c r="AA48" i="6"/>
  <c r="Z48" i="6"/>
  <c r="Y48" i="6"/>
  <c r="X48" i="6"/>
  <c r="W48" i="6"/>
  <c r="V48" i="6"/>
  <c r="U48" i="6"/>
  <c r="T48" i="6"/>
  <c r="S48" i="6"/>
  <c r="R48" i="6"/>
  <c r="Q48" i="6"/>
  <c r="P48" i="6"/>
  <c r="O48" i="6"/>
  <c r="N48" i="6"/>
  <c r="M48" i="6"/>
  <c r="L48" i="6"/>
  <c r="K48" i="6"/>
  <c r="J48" i="6"/>
  <c r="I48" i="6"/>
  <c r="H48" i="6"/>
  <c r="G48" i="6"/>
  <c r="F48" i="6"/>
  <c r="E48" i="6"/>
  <c r="D48" i="6"/>
  <c r="C48" i="6"/>
  <c r="AK47" i="6"/>
  <c r="AG47" i="6"/>
  <c r="AF47" i="6"/>
  <c r="AE47" i="6"/>
  <c r="AD47" i="6"/>
  <c r="AC47" i="6"/>
  <c r="AB47" i="6"/>
  <c r="AA47" i="6"/>
  <c r="Z47" i="6"/>
  <c r="Y47" i="6"/>
  <c r="X47" i="6"/>
  <c r="W47" i="6"/>
  <c r="V47" i="6"/>
  <c r="U47" i="6"/>
  <c r="T47" i="6"/>
  <c r="S47" i="6"/>
  <c r="R47" i="6"/>
  <c r="Q47" i="6"/>
  <c r="P47" i="6"/>
  <c r="O47" i="6"/>
  <c r="N47" i="6"/>
  <c r="M47" i="6"/>
  <c r="L47" i="6"/>
  <c r="K47" i="6"/>
  <c r="J47" i="6"/>
  <c r="I47" i="6"/>
  <c r="H47" i="6"/>
  <c r="G47" i="6"/>
  <c r="F47" i="6"/>
  <c r="E47" i="6"/>
  <c r="D47" i="6"/>
  <c r="C47" i="6"/>
  <c r="AK46" i="6"/>
  <c r="AG46" i="6"/>
  <c r="AF46" i="6"/>
  <c r="AE46" i="6"/>
  <c r="AD46" i="6"/>
  <c r="AC46" i="6"/>
  <c r="AB46" i="6"/>
  <c r="AA46" i="6"/>
  <c r="Z46" i="6"/>
  <c r="Y46" i="6"/>
  <c r="X46" i="6"/>
  <c r="W46" i="6"/>
  <c r="V46" i="6"/>
  <c r="U46" i="6"/>
  <c r="T46" i="6"/>
  <c r="S46" i="6"/>
  <c r="R46" i="6"/>
  <c r="Q46" i="6"/>
  <c r="P46" i="6"/>
  <c r="O46" i="6"/>
  <c r="N46" i="6"/>
  <c r="M46" i="6"/>
  <c r="L46" i="6"/>
  <c r="K46" i="6"/>
  <c r="J46" i="6"/>
  <c r="I46" i="6"/>
  <c r="H46" i="6"/>
  <c r="G46" i="6"/>
  <c r="F46" i="6"/>
  <c r="E46" i="6"/>
  <c r="D46" i="6"/>
  <c r="C46" i="6"/>
  <c r="AK45" i="6"/>
  <c r="AG45" i="6"/>
  <c r="AF45" i="6"/>
  <c r="AE45" i="6"/>
  <c r="AD45" i="6"/>
  <c r="AC45" i="6"/>
  <c r="AB45" i="6"/>
  <c r="AA45" i="6"/>
  <c r="Z45" i="6"/>
  <c r="Y45" i="6"/>
  <c r="X45" i="6"/>
  <c r="W45" i="6"/>
  <c r="V45" i="6"/>
  <c r="U45" i="6"/>
  <c r="T45" i="6"/>
  <c r="S45" i="6"/>
  <c r="R45" i="6"/>
  <c r="Q45" i="6"/>
  <c r="P45" i="6"/>
  <c r="O45" i="6"/>
  <c r="N45" i="6"/>
  <c r="M45" i="6"/>
  <c r="L45" i="6"/>
  <c r="K45" i="6"/>
  <c r="J45" i="6"/>
  <c r="I45" i="6"/>
  <c r="H45" i="6"/>
  <c r="G45" i="6"/>
  <c r="F45" i="6"/>
  <c r="E45" i="6"/>
  <c r="D45" i="6"/>
  <c r="C45" i="6"/>
  <c r="AK44" i="6"/>
  <c r="AG44" i="6"/>
  <c r="AF44" i="6"/>
  <c r="AE44" i="6"/>
  <c r="AD44" i="6"/>
  <c r="AC44" i="6"/>
  <c r="AB44" i="6"/>
  <c r="AA44" i="6"/>
  <c r="Z44" i="6"/>
  <c r="Y44" i="6"/>
  <c r="X44" i="6"/>
  <c r="W44" i="6"/>
  <c r="V44" i="6"/>
  <c r="U44" i="6"/>
  <c r="T44" i="6"/>
  <c r="S44" i="6"/>
  <c r="R44" i="6"/>
  <c r="Q44" i="6"/>
  <c r="P44" i="6"/>
  <c r="O44" i="6"/>
  <c r="N44" i="6"/>
  <c r="M44" i="6"/>
  <c r="L44" i="6"/>
  <c r="K44" i="6"/>
  <c r="J44" i="6"/>
  <c r="I44" i="6"/>
  <c r="H44" i="6"/>
  <c r="G44" i="6"/>
  <c r="F44" i="6"/>
  <c r="E44" i="6"/>
  <c r="D44" i="6"/>
  <c r="C44" i="6"/>
  <c r="AK43" i="6"/>
  <c r="AG43" i="6"/>
  <c r="AF43" i="6"/>
  <c r="AE43" i="6"/>
  <c r="AD43" i="6"/>
  <c r="AC43" i="6"/>
  <c r="AB43" i="6"/>
  <c r="AA43" i="6"/>
  <c r="Z43" i="6"/>
  <c r="Y43" i="6"/>
  <c r="X43" i="6"/>
  <c r="W43" i="6"/>
  <c r="V43" i="6"/>
  <c r="U43" i="6"/>
  <c r="T43" i="6"/>
  <c r="S43" i="6"/>
  <c r="R43" i="6"/>
  <c r="Q43" i="6"/>
  <c r="P43" i="6"/>
  <c r="O43" i="6"/>
  <c r="N43" i="6"/>
  <c r="M43" i="6"/>
  <c r="L43" i="6"/>
  <c r="K43" i="6"/>
  <c r="J43" i="6"/>
  <c r="I43" i="6"/>
  <c r="H43" i="6"/>
  <c r="G43" i="6"/>
  <c r="F43" i="6"/>
  <c r="E43" i="6"/>
  <c r="D43" i="6"/>
  <c r="C43" i="6"/>
  <c r="AK42" i="6"/>
  <c r="AG42" i="6"/>
  <c r="AF42" i="6"/>
  <c r="AE42" i="6"/>
  <c r="AD42" i="6"/>
  <c r="AC42" i="6"/>
  <c r="AB42" i="6"/>
  <c r="AA42" i="6"/>
  <c r="Z42" i="6"/>
  <c r="Y42" i="6"/>
  <c r="X42" i="6"/>
  <c r="W42" i="6"/>
  <c r="V42" i="6"/>
  <c r="U42" i="6"/>
  <c r="T42" i="6"/>
  <c r="S42" i="6"/>
  <c r="R42" i="6"/>
  <c r="Q42" i="6"/>
  <c r="P42" i="6"/>
  <c r="O42" i="6"/>
  <c r="N42" i="6"/>
  <c r="M42" i="6"/>
  <c r="L42" i="6"/>
  <c r="K42" i="6"/>
  <c r="J42" i="6"/>
  <c r="I42" i="6"/>
  <c r="H42" i="6"/>
  <c r="G42" i="6"/>
  <c r="F42" i="6"/>
  <c r="E42" i="6"/>
  <c r="D42" i="6"/>
  <c r="C42" i="6"/>
  <c r="AK41" i="6"/>
  <c r="AG41" i="6"/>
  <c r="AF41" i="6"/>
  <c r="AE41" i="6"/>
  <c r="AD41" i="6"/>
  <c r="AC41" i="6"/>
  <c r="AB41" i="6"/>
  <c r="AA41" i="6"/>
  <c r="Z41" i="6"/>
  <c r="Y41" i="6"/>
  <c r="X41" i="6"/>
  <c r="W41" i="6"/>
  <c r="V41" i="6"/>
  <c r="U41" i="6"/>
  <c r="T41" i="6"/>
  <c r="S41" i="6"/>
  <c r="R41" i="6"/>
  <c r="Q41" i="6"/>
  <c r="P41" i="6"/>
  <c r="O41" i="6"/>
  <c r="N41" i="6"/>
  <c r="M41" i="6"/>
  <c r="L41" i="6"/>
  <c r="K41" i="6"/>
  <c r="J41" i="6"/>
  <c r="I41" i="6"/>
  <c r="H41" i="6"/>
  <c r="G41" i="6"/>
  <c r="F41" i="6"/>
  <c r="E41" i="6"/>
  <c r="D41" i="6"/>
  <c r="C41" i="6"/>
  <c r="AK40" i="6"/>
  <c r="AG40" i="6"/>
  <c r="AF40" i="6"/>
  <c r="AE40" i="6"/>
  <c r="AD40" i="6"/>
  <c r="AC40" i="6"/>
  <c r="AB40" i="6"/>
  <c r="AA40" i="6"/>
  <c r="Z40" i="6"/>
  <c r="Y40" i="6"/>
  <c r="X40" i="6"/>
  <c r="W40" i="6"/>
  <c r="V40" i="6"/>
  <c r="U40" i="6"/>
  <c r="T40" i="6"/>
  <c r="S40" i="6"/>
  <c r="R40" i="6"/>
  <c r="Q40" i="6"/>
  <c r="P40" i="6"/>
  <c r="O40" i="6"/>
  <c r="N40" i="6"/>
  <c r="M40" i="6"/>
  <c r="L40" i="6"/>
  <c r="K40" i="6"/>
  <c r="J40" i="6"/>
  <c r="I40" i="6"/>
  <c r="H40" i="6"/>
  <c r="G40" i="6"/>
  <c r="F40" i="6"/>
  <c r="E40" i="6"/>
  <c r="D40" i="6"/>
  <c r="C40" i="6"/>
  <c r="AK39" i="6"/>
  <c r="AG39" i="6"/>
  <c r="AF39" i="6"/>
  <c r="AE39" i="6"/>
  <c r="AD39" i="6"/>
  <c r="AC39" i="6"/>
  <c r="AB39" i="6"/>
  <c r="AA39" i="6"/>
  <c r="Z39" i="6"/>
  <c r="Y39" i="6"/>
  <c r="X39" i="6"/>
  <c r="W39" i="6"/>
  <c r="V39" i="6"/>
  <c r="U39" i="6"/>
  <c r="T39" i="6"/>
  <c r="S39" i="6"/>
  <c r="R39" i="6"/>
  <c r="Q39" i="6"/>
  <c r="P39" i="6"/>
  <c r="O39" i="6"/>
  <c r="N39" i="6"/>
  <c r="M39" i="6"/>
  <c r="L39" i="6"/>
  <c r="K39" i="6"/>
  <c r="J39" i="6"/>
  <c r="I39" i="6"/>
  <c r="H39" i="6"/>
  <c r="G39" i="6"/>
  <c r="F39" i="6"/>
  <c r="E39" i="6"/>
  <c r="D39" i="6"/>
  <c r="C39" i="6"/>
  <c r="AK38" i="6"/>
  <c r="AG38" i="6"/>
  <c r="AF38" i="6"/>
  <c r="AE38" i="6"/>
  <c r="AD38" i="6"/>
  <c r="AC38" i="6"/>
  <c r="AB38" i="6"/>
  <c r="AA38" i="6"/>
  <c r="Z38" i="6"/>
  <c r="Y38" i="6"/>
  <c r="X38" i="6"/>
  <c r="W38" i="6"/>
  <c r="V38" i="6"/>
  <c r="U38" i="6"/>
  <c r="T38" i="6"/>
  <c r="S38" i="6"/>
  <c r="R38" i="6"/>
  <c r="Q38" i="6"/>
  <c r="P38" i="6"/>
  <c r="O38" i="6"/>
  <c r="N38" i="6"/>
  <c r="M38" i="6"/>
  <c r="L38" i="6"/>
  <c r="K38" i="6"/>
  <c r="J38" i="6"/>
  <c r="I38" i="6"/>
  <c r="H38" i="6"/>
  <c r="G38" i="6"/>
  <c r="F38" i="6"/>
  <c r="E38" i="6"/>
  <c r="D38" i="6"/>
  <c r="C38" i="6"/>
  <c r="AK37" i="6"/>
  <c r="AG37" i="6"/>
  <c r="AF37" i="6"/>
  <c r="AE37" i="6"/>
  <c r="AD37" i="6"/>
  <c r="AC37" i="6"/>
  <c r="AB37" i="6"/>
  <c r="AA37" i="6"/>
  <c r="Z37" i="6"/>
  <c r="Y37" i="6"/>
  <c r="X37" i="6"/>
  <c r="W37" i="6"/>
  <c r="V37" i="6"/>
  <c r="U37" i="6"/>
  <c r="T37" i="6"/>
  <c r="S37" i="6"/>
  <c r="R37" i="6"/>
  <c r="Q37" i="6"/>
  <c r="P37" i="6"/>
  <c r="O37" i="6"/>
  <c r="N37" i="6"/>
  <c r="M37" i="6"/>
  <c r="L37" i="6"/>
  <c r="K37" i="6"/>
  <c r="J37" i="6"/>
  <c r="I37" i="6"/>
  <c r="H37" i="6"/>
  <c r="G37" i="6"/>
  <c r="F37" i="6"/>
  <c r="E37" i="6"/>
  <c r="D37" i="6"/>
  <c r="C37" i="6"/>
  <c r="AK36" i="6"/>
  <c r="AG36" i="6"/>
  <c r="AF36" i="6"/>
  <c r="AE36" i="6"/>
  <c r="AD36" i="6"/>
  <c r="AC36" i="6"/>
  <c r="AB36" i="6"/>
  <c r="AA36" i="6"/>
  <c r="Z36" i="6"/>
  <c r="Y36" i="6"/>
  <c r="X36" i="6"/>
  <c r="W36" i="6"/>
  <c r="V36" i="6"/>
  <c r="U36" i="6"/>
  <c r="T36" i="6"/>
  <c r="S36" i="6"/>
  <c r="R36" i="6"/>
  <c r="Q36" i="6"/>
  <c r="P36" i="6"/>
  <c r="O36" i="6"/>
  <c r="N36" i="6"/>
  <c r="M36" i="6"/>
  <c r="L36" i="6"/>
  <c r="K36" i="6"/>
  <c r="J36" i="6"/>
  <c r="I36" i="6"/>
  <c r="H36" i="6"/>
  <c r="G36" i="6"/>
  <c r="F36" i="6"/>
  <c r="E36" i="6"/>
  <c r="D36" i="6"/>
  <c r="C36" i="6"/>
  <c r="AK35" i="6"/>
  <c r="AG35" i="6"/>
  <c r="AF35" i="6"/>
  <c r="AE35" i="6"/>
  <c r="AD35" i="6"/>
  <c r="AC35" i="6"/>
  <c r="AB35" i="6"/>
  <c r="AA35" i="6"/>
  <c r="Z35" i="6"/>
  <c r="Y35" i="6"/>
  <c r="X35" i="6"/>
  <c r="W35" i="6"/>
  <c r="V35" i="6"/>
  <c r="U35" i="6"/>
  <c r="T35" i="6"/>
  <c r="S35" i="6"/>
  <c r="R35" i="6"/>
  <c r="Q35" i="6"/>
  <c r="P35" i="6"/>
  <c r="O35" i="6"/>
  <c r="N35" i="6"/>
  <c r="M35" i="6"/>
  <c r="L35" i="6"/>
  <c r="K35" i="6"/>
  <c r="J35" i="6"/>
  <c r="I35" i="6"/>
  <c r="H35" i="6"/>
  <c r="G35" i="6"/>
  <c r="F35" i="6"/>
  <c r="E35" i="6"/>
  <c r="D35" i="6"/>
  <c r="C35" i="6"/>
  <c r="AK34" i="6"/>
  <c r="AG34" i="6"/>
  <c r="AF34" i="6"/>
  <c r="AE34" i="6"/>
  <c r="AD34" i="6"/>
  <c r="AC34" i="6"/>
  <c r="AB34" i="6"/>
  <c r="AA34" i="6"/>
  <c r="Z34" i="6"/>
  <c r="Y34" i="6"/>
  <c r="X34" i="6"/>
  <c r="W34" i="6"/>
  <c r="V34" i="6"/>
  <c r="U34" i="6"/>
  <c r="T34" i="6"/>
  <c r="S34" i="6"/>
  <c r="R34" i="6"/>
  <c r="Q34" i="6"/>
  <c r="P34" i="6"/>
  <c r="O34" i="6"/>
  <c r="N34" i="6"/>
  <c r="M34" i="6"/>
  <c r="L34" i="6"/>
  <c r="K34" i="6"/>
  <c r="J34" i="6"/>
  <c r="I34" i="6"/>
  <c r="H34" i="6"/>
  <c r="G34" i="6"/>
  <c r="F34" i="6"/>
  <c r="E34" i="6"/>
  <c r="D34" i="6"/>
  <c r="C34" i="6"/>
  <c r="AK33" i="6"/>
  <c r="AG33" i="6"/>
  <c r="AF33" i="6"/>
  <c r="AE33" i="6"/>
  <c r="AD33" i="6"/>
  <c r="AC33" i="6"/>
  <c r="AB33" i="6"/>
  <c r="AA33" i="6"/>
  <c r="Z33" i="6"/>
  <c r="Y33" i="6"/>
  <c r="X33" i="6"/>
  <c r="W33" i="6"/>
  <c r="V33" i="6"/>
  <c r="U33" i="6"/>
  <c r="T33" i="6"/>
  <c r="S33" i="6"/>
  <c r="R33" i="6"/>
  <c r="Q33" i="6"/>
  <c r="P33" i="6"/>
  <c r="O33" i="6"/>
  <c r="N33" i="6"/>
  <c r="M33" i="6"/>
  <c r="L33" i="6"/>
  <c r="K33" i="6"/>
  <c r="J33" i="6"/>
  <c r="I33" i="6"/>
  <c r="H33" i="6"/>
  <c r="G33" i="6"/>
  <c r="F33" i="6"/>
  <c r="E33" i="6"/>
  <c r="D33" i="6"/>
  <c r="C33" i="6"/>
  <c r="AK32" i="6"/>
  <c r="AG32" i="6"/>
  <c r="AF32" i="6"/>
  <c r="AE32" i="6"/>
  <c r="AD32" i="6"/>
  <c r="AC32" i="6"/>
  <c r="AB32" i="6"/>
  <c r="AA32" i="6"/>
  <c r="Z32" i="6"/>
  <c r="Y32" i="6"/>
  <c r="X32" i="6"/>
  <c r="W32" i="6"/>
  <c r="V32" i="6"/>
  <c r="U32" i="6"/>
  <c r="T32" i="6"/>
  <c r="S32" i="6"/>
  <c r="R32" i="6"/>
  <c r="Q32" i="6"/>
  <c r="P32" i="6"/>
  <c r="O32" i="6"/>
  <c r="N32" i="6"/>
  <c r="M32" i="6"/>
  <c r="L32" i="6"/>
  <c r="K32" i="6"/>
  <c r="J32" i="6"/>
  <c r="I32" i="6"/>
  <c r="H32" i="6"/>
  <c r="G32" i="6"/>
  <c r="F32" i="6"/>
  <c r="E32" i="6"/>
  <c r="D32" i="6"/>
  <c r="C32" i="6"/>
  <c r="AK31" i="6"/>
  <c r="AG31" i="6"/>
  <c r="AF31" i="6"/>
  <c r="AE31" i="6"/>
  <c r="AD31" i="6"/>
  <c r="AC31" i="6"/>
  <c r="AB31" i="6"/>
  <c r="AA31" i="6"/>
  <c r="Z31" i="6"/>
  <c r="Y31" i="6"/>
  <c r="X31" i="6"/>
  <c r="W31" i="6"/>
  <c r="V31" i="6"/>
  <c r="U31" i="6"/>
  <c r="T31" i="6"/>
  <c r="S31" i="6"/>
  <c r="R31" i="6"/>
  <c r="Q31" i="6"/>
  <c r="P31" i="6"/>
  <c r="O31" i="6"/>
  <c r="N31" i="6"/>
  <c r="M31" i="6"/>
  <c r="L31" i="6"/>
  <c r="K31" i="6"/>
  <c r="J31" i="6"/>
  <c r="I31" i="6"/>
  <c r="H31" i="6"/>
  <c r="G31" i="6"/>
  <c r="F31" i="6"/>
  <c r="E31" i="6"/>
  <c r="D31" i="6"/>
  <c r="C31" i="6"/>
  <c r="AK30" i="6"/>
  <c r="AG30" i="6"/>
  <c r="AF30" i="6"/>
  <c r="AE30" i="6"/>
  <c r="AD30" i="6"/>
  <c r="AC30" i="6"/>
  <c r="AB30" i="6"/>
  <c r="AA30" i="6"/>
  <c r="Z30" i="6"/>
  <c r="Y30" i="6"/>
  <c r="X30" i="6"/>
  <c r="W30" i="6"/>
  <c r="V30" i="6"/>
  <c r="U30" i="6"/>
  <c r="T30" i="6"/>
  <c r="S30" i="6"/>
  <c r="R30" i="6"/>
  <c r="Q30" i="6"/>
  <c r="P30" i="6"/>
  <c r="O30" i="6"/>
  <c r="N30" i="6"/>
  <c r="M30" i="6"/>
  <c r="L30" i="6"/>
  <c r="K30" i="6"/>
  <c r="J30" i="6"/>
  <c r="I30" i="6"/>
  <c r="H30" i="6"/>
  <c r="G30" i="6"/>
  <c r="F30" i="6"/>
  <c r="E30" i="6"/>
  <c r="D30" i="6"/>
  <c r="C30" i="6"/>
  <c r="AK29" i="6"/>
  <c r="AG29" i="6"/>
  <c r="AF29" i="6"/>
  <c r="AE29" i="6"/>
  <c r="AD29" i="6"/>
  <c r="AC29" i="6"/>
  <c r="AB29" i="6"/>
  <c r="AA29" i="6"/>
  <c r="Z29" i="6"/>
  <c r="Y29" i="6"/>
  <c r="X29" i="6"/>
  <c r="W29" i="6"/>
  <c r="V29" i="6"/>
  <c r="U29" i="6"/>
  <c r="T29" i="6"/>
  <c r="S29" i="6"/>
  <c r="R29" i="6"/>
  <c r="Q29" i="6"/>
  <c r="P29" i="6"/>
  <c r="O29" i="6"/>
  <c r="N29" i="6"/>
  <c r="M29" i="6"/>
  <c r="L29" i="6"/>
  <c r="K29" i="6"/>
  <c r="J29" i="6"/>
  <c r="I29" i="6"/>
  <c r="H29" i="6"/>
  <c r="G29" i="6"/>
  <c r="F29" i="6"/>
  <c r="E29" i="6"/>
  <c r="D29" i="6"/>
  <c r="C29" i="6"/>
  <c r="AK28" i="6"/>
  <c r="AG28" i="6"/>
  <c r="AF28" i="6"/>
  <c r="AE28" i="6"/>
  <c r="AD28" i="6"/>
  <c r="AC28" i="6"/>
  <c r="AB28" i="6"/>
  <c r="AA28" i="6"/>
  <c r="Z28" i="6"/>
  <c r="Y28" i="6"/>
  <c r="X28" i="6"/>
  <c r="W28" i="6"/>
  <c r="V28" i="6"/>
  <c r="U28" i="6"/>
  <c r="T28" i="6"/>
  <c r="S28" i="6"/>
  <c r="R28" i="6"/>
  <c r="Q28" i="6"/>
  <c r="P28" i="6"/>
  <c r="O28" i="6"/>
  <c r="N28" i="6"/>
  <c r="M28" i="6"/>
  <c r="L28" i="6"/>
  <c r="K28" i="6"/>
  <c r="J28" i="6"/>
  <c r="I28" i="6"/>
  <c r="H28" i="6"/>
  <c r="G28" i="6"/>
  <c r="F28" i="6"/>
  <c r="E28" i="6"/>
  <c r="D28" i="6"/>
  <c r="C28" i="6"/>
  <c r="AK27" i="6"/>
  <c r="AG27" i="6"/>
  <c r="AF27" i="6"/>
  <c r="AE27" i="6"/>
  <c r="AD27" i="6"/>
  <c r="AC27" i="6"/>
  <c r="AB27" i="6"/>
  <c r="AA27" i="6"/>
  <c r="Z27" i="6"/>
  <c r="Y27" i="6"/>
  <c r="X27" i="6"/>
  <c r="W27" i="6"/>
  <c r="V27" i="6"/>
  <c r="U27" i="6"/>
  <c r="T27" i="6"/>
  <c r="S27" i="6"/>
  <c r="R27" i="6"/>
  <c r="Q27" i="6"/>
  <c r="P27" i="6"/>
  <c r="O27" i="6"/>
  <c r="N27" i="6"/>
  <c r="M27" i="6"/>
  <c r="L27" i="6"/>
  <c r="K27" i="6"/>
  <c r="J27" i="6"/>
  <c r="I27" i="6"/>
  <c r="H27" i="6"/>
  <c r="G27" i="6"/>
  <c r="F27" i="6"/>
  <c r="E27" i="6"/>
  <c r="D27" i="6"/>
  <c r="C27" i="6"/>
  <c r="AK26" i="6"/>
  <c r="AG26" i="6"/>
  <c r="AF26" i="6"/>
  <c r="AE26" i="6"/>
  <c r="AD26" i="6"/>
  <c r="AC26" i="6"/>
  <c r="AB26" i="6"/>
  <c r="AA26" i="6"/>
  <c r="Z26" i="6"/>
  <c r="Y26" i="6"/>
  <c r="X26" i="6"/>
  <c r="W26" i="6"/>
  <c r="V26" i="6"/>
  <c r="U26" i="6"/>
  <c r="T26" i="6"/>
  <c r="S26" i="6"/>
  <c r="R26" i="6"/>
  <c r="Q26" i="6"/>
  <c r="P26" i="6"/>
  <c r="O26" i="6"/>
  <c r="N26" i="6"/>
  <c r="M26" i="6"/>
  <c r="L26" i="6"/>
  <c r="K26" i="6"/>
  <c r="J26" i="6"/>
  <c r="I26" i="6"/>
  <c r="H26" i="6"/>
  <c r="G26" i="6"/>
  <c r="F26" i="6"/>
  <c r="E26" i="6"/>
  <c r="D26" i="6"/>
  <c r="C26" i="6"/>
  <c r="AK25" i="6"/>
  <c r="AG25" i="6"/>
  <c r="AF25" i="6"/>
  <c r="AE25" i="6"/>
  <c r="AD25" i="6"/>
  <c r="AC25" i="6"/>
  <c r="AB25" i="6"/>
  <c r="AA25" i="6"/>
  <c r="Z25" i="6"/>
  <c r="Y25" i="6"/>
  <c r="X25" i="6"/>
  <c r="W25" i="6"/>
  <c r="V25" i="6"/>
  <c r="U25" i="6"/>
  <c r="T25" i="6"/>
  <c r="S25" i="6"/>
  <c r="R25" i="6"/>
  <c r="Q25" i="6"/>
  <c r="P25" i="6"/>
  <c r="O25" i="6"/>
  <c r="N25" i="6"/>
  <c r="M25" i="6"/>
  <c r="L25" i="6"/>
  <c r="K25" i="6"/>
  <c r="J25" i="6"/>
  <c r="I25" i="6"/>
  <c r="H25" i="6"/>
  <c r="G25" i="6"/>
  <c r="F25" i="6"/>
  <c r="E25" i="6"/>
  <c r="D25" i="6"/>
  <c r="C25" i="6"/>
  <c r="AK24" i="6"/>
  <c r="AG24" i="6"/>
  <c r="AF24" i="6"/>
  <c r="AE24" i="6"/>
  <c r="AD24" i="6"/>
  <c r="AC24" i="6"/>
  <c r="AB24" i="6"/>
  <c r="AA24" i="6"/>
  <c r="Z24" i="6"/>
  <c r="Y24" i="6"/>
  <c r="X24" i="6"/>
  <c r="W24" i="6"/>
  <c r="V24" i="6"/>
  <c r="U24" i="6"/>
  <c r="T24" i="6"/>
  <c r="S24" i="6"/>
  <c r="R24" i="6"/>
  <c r="Q24" i="6"/>
  <c r="P24" i="6"/>
  <c r="O24" i="6"/>
  <c r="N24" i="6"/>
  <c r="M24" i="6"/>
  <c r="L24" i="6"/>
  <c r="K24" i="6"/>
  <c r="J24" i="6"/>
  <c r="I24" i="6"/>
  <c r="H24" i="6"/>
  <c r="G24" i="6"/>
  <c r="F24" i="6"/>
  <c r="E24" i="6"/>
  <c r="D24" i="6"/>
  <c r="C24" i="6"/>
  <c r="AK23" i="6"/>
  <c r="AG23" i="6"/>
  <c r="AF23" i="6"/>
  <c r="AE23" i="6"/>
  <c r="AD23" i="6"/>
  <c r="AC23" i="6"/>
  <c r="AB23" i="6"/>
  <c r="AA23" i="6"/>
  <c r="Z23" i="6"/>
  <c r="Y23" i="6"/>
  <c r="X23" i="6"/>
  <c r="W23" i="6"/>
  <c r="V23" i="6"/>
  <c r="U23" i="6"/>
  <c r="T23" i="6"/>
  <c r="S23" i="6"/>
  <c r="R23" i="6"/>
  <c r="Q23" i="6"/>
  <c r="P23" i="6"/>
  <c r="O23" i="6"/>
  <c r="N23" i="6"/>
  <c r="M23" i="6"/>
  <c r="L23" i="6"/>
  <c r="K23" i="6"/>
  <c r="J23" i="6"/>
  <c r="I23" i="6"/>
  <c r="H23" i="6"/>
  <c r="G23" i="6"/>
  <c r="F23" i="6"/>
  <c r="E23" i="6"/>
  <c r="D23" i="6"/>
  <c r="C23" i="6"/>
  <c r="AK22" i="6"/>
  <c r="AG22" i="6"/>
  <c r="AF22" i="6"/>
  <c r="AE22" i="6"/>
  <c r="AD22" i="6"/>
  <c r="AC22" i="6"/>
  <c r="AB22" i="6"/>
  <c r="AA22" i="6"/>
  <c r="Z22" i="6"/>
  <c r="Y22" i="6"/>
  <c r="X22" i="6"/>
  <c r="W22" i="6"/>
  <c r="V22" i="6"/>
  <c r="U22" i="6"/>
  <c r="T22" i="6"/>
  <c r="S22" i="6"/>
  <c r="R22" i="6"/>
  <c r="Q22" i="6"/>
  <c r="P22" i="6"/>
  <c r="O22" i="6"/>
  <c r="N22" i="6"/>
  <c r="M22" i="6"/>
  <c r="L22" i="6"/>
  <c r="K22" i="6"/>
  <c r="J22" i="6"/>
  <c r="I22" i="6"/>
  <c r="H22" i="6"/>
  <c r="G22" i="6"/>
  <c r="F22" i="6"/>
  <c r="E22" i="6"/>
  <c r="D22" i="6"/>
  <c r="C22" i="6"/>
  <c r="AK21" i="6"/>
  <c r="AG21" i="6"/>
  <c r="AF21" i="6"/>
  <c r="AE21" i="6"/>
  <c r="AD21" i="6"/>
  <c r="AC21" i="6"/>
  <c r="AB21" i="6"/>
  <c r="AA21" i="6"/>
  <c r="Z21" i="6"/>
  <c r="Y21" i="6"/>
  <c r="X21" i="6"/>
  <c r="W21" i="6"/>
  <c r="V21" i="6"/>
  <c r="U21" i="6"/>
  <c r="T21" i="6"/>
  <c r="S21" i="6"/>
  <c r="R21" i="6"/>
  <c r="Q21" i="6"/>
  <c r="P21" i="6"/>
  <c r="O21" i="6"/>
  <c r="N21" i="6"/>
  <c r="M21" i="6"/>
  <c r="L21" i="6"/>
  <c r="K21" i="6"/>
  <c r="J21" i="6"/>
  <c r="I21" i="6"/>
  <c r="H21" i="6"/>
  <c r="G21" i="6"/>
  <c r="F21" i="6"/>
  <c r="E21" i="6"/>
  <c r="D21" i="6"/>
  <c r="C21" i="6"/>
  <c r="AK20" i="6"/>
  <c r="AG20" i="6"/>
  <c r="AF20" i="6"/>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AK19" i="6"/>
  <c r="AG19" i="6"/>
  <c r="AF19" i="6"/>
  <c r="AE19" i="6"/>
  <c r="AD19" i="6"/>
  <c r="AC19" i="6"/>
  <c r="AB19" i="6"/>
  <c r="AA19" i="6"/>
  <c r="Z19" i="6"/>
  <c r="Y19" i="6"/>
  <c r="X19" i="6"/>
  <c r="W19" i="6"/>
  <c r="V19" i="6"/>
  <c r="U19" i="6"/>
  <c r="T19" i="6"/>
  <c r="S19" i="6"/>
  <c r="R19" i="6"/>
  <c r="Q19" i="6"/>
  <c r="P19" i="6"/>
  <c r="O19" i="6"/>
  <c r="N19" i="6"/>
  <c r="M19" i="6"/>
  <c r="L19" i="6"/>
  <c r="K19" i="6"/>
  <c r="J19" i="6"/>
  <c r="I19" i="6"/>
  <c r="H19" i="6"/>
  <c r="G19" i="6"/>
  <c r="F19" i="6"/>
  <c r="E19" i="6"/>
  <c r="D19" i="6"/>
  <c r="C19" i="6"/>
  <c r="AK18" i="6"/>
  <c r="AG18" i="6"/>
  <c r="AF18" i="6"/>
  <c r="AE18" i="6"/>
  <c r="AD18" i="6"/>
  <c r="AC18" i="6"/>
  <c r="AB18" i="6"/>
  <c r="AA18" i="6"/>
  <c r="Z18" i="6"/>
  <c r="Y18" i="6"/>
  <c r="X18" i="6"/>
  <c r="W18" i="6"/>
  <c r="V18" i="6"/>
  <c r="U18" i="6"/>
  <c r="T18" i="6"/>
  <c r="S18" i="6"/>
  <c r="R18" i="6"/>
  <c r="Q18" i="6"/>
  <c r="P18" i="6"/>
  <c r="O18" i="6"/>
  <c r="N18" i="6"/>
  <c r="M18" i="6"/>
  <c r="L18" i="6"/>
  <c r="K18" i="6"/>
  <c r="J18" i="6"/>
  <c r="I18" i="6"/>
  <c r="H18" i="6"/>
  <c r="G18" i="6"/>
  <c r="F18" i="6"/>
  <c r="E18" i="6"/>
  <c r="D18" i="6"/>
  <c r="C18" i="6"/>
  <c r="AK17" i="6"/>
  <c r="AG17" i="6"/>
  <c r="AF17" i="6"/>
  <c r="AE17" i="6"/>
  <c r="AD17" i="6"/>
  <c r="AC17" i="6"/>
  <c r="AB17" i="6"/>
  <c r="AA17" i="6"/>
  <c r="Z17" i="6"/>
  <c r="Y17" i="6"/>
  <c r="X17" i="6"/>
  <c r="W17" i="6"/>
  <c r="V17" i="6"/>
  <c r="U17" i="6"/>
  <c r="T17" i="6"/>
  <c r="S17" i="6"/>
  <c r="R17" i="6"/>
  <c r="Q17" i="6"/>
  <c r="P17" i="6"/>
  <c r="O17" i="6"/>
  <c r="N17" i="6"/>
  <c r="M17" i="6"/>
  <c r="L17" i="6"/>
  <c r="K17" i="6"/>
  <c r="J17" i="6"/>
  <c r="I17" i="6"/>
  <c r="H17" i="6"/>
  <c r="G17" i="6"/>
  <c r="F17" i="6"/>
  <c r="E17" i="6"/>
  <c r="D17" i="6"/>
  <c r="C17" i="6"/>
  <c r="AK16" i="6"/>
  <c r="AG16" i="6"/>
  <c r="AF16" i="6"/>
  <c r="AE16" i="6"/>
  <c r="AD16" i="6"/>
  <c r="AC16" i="6"/>
  <c r="AB16" i="6"/>
  <c r="AA16" i="6"/>
  <c r="Z16" i="6"/>
  <c r="Y16" i="6"/>
  <c r="X16" i="6"/>
  <c r="W16" i="6"/>
  <c r="V16" i="6"/>
  <c r="U16" i="6"/>
  <c r="T16" i="6"/>
  <c r="S16" i="6"/>
  <c r="R16" i="6"/>
  <c r="Q16" i="6"/>
  <c r="P16" i="6"/>
  <c r="O16" i="6"/>
  <c r="N16" i="6"/>
  <c r="M16" i="6"/>
  <c r="L16" i="6"/>
  <c r="K16" i="6"/>
  <c r="J16" i="6"/>
  <c r="I16" i="6"/>
  <c r="H16" i="6"/>
  <c r="G16" i="6"/>
  <c r="F16" i="6"/>
  <c r="E16" i="6"/>
  <c r="D16" i="6"/>
  <c r="C16" i="6"/>
  <c r="AK15" i="6"/>
  <c r="AG15" i="6"/>
  <c r="AF15" i="6"/>
  <c r="AE15" i="6"/>
  <c r="AD15" i="6"/>
  <c r="AC15" i="6"/>
  <c r="AB15" i="6"/>
  <c r="AA15" i="6"/>
  <c r="Z15" i="6"/>
  <c r="Y15" i="6"/>
  <c r="X15" i="6"/>
  <c r="W15" i="6"/>
  <c r="V15" i="6"/>
  <c r="U15" i="6"/>
  <c r="T15" i="6"/>
  <c r="S15" i="6"/>
  <c r="R15" i="6"/>
  <c r="Q15" i="6"/>
  <c r="P15" i="6"/>
  <c r="O15" i="6"/>
  <c r="N15" i="6"/>
  <c r="M15" i="6"/>
  <c r="L15" i="6"/>
  <c r="K15" i="6"/>
  <c r="J15" i="6"/>
  <c r="I15" i="6"/>
  <c r="H15" i="6"/>
  <c r="G15" i="6"/>
  <c r="F15" i="6"/>
  <c r="E15" i="6"/>
  <c r="D15" i="6"/>
  <c r="C15" i="6"/>
  <c r="AK14" i="6"/>
  <c r="AG14" i="6"/>
  <c r="AF14" i="6"/>
  <c r="AE14" i="6"/>
  <c r="AD14" i="6"/>
  <c r="AC14" i="6"/>
  <c r="AB14" i="6"/>
  <c r="AA14" i="6"/>
  <c r="Z14" i="6"/>
  <c r="Y14" i="6"/>
  <c r="X14" i="6"/>
  <c r="W14" i="6"/>
  <c r="V14" i="6"/>
  <c r="U14" i="6"/>
  <c r="T14" i="6"/>
  <c r="S14" i="6"/>
  <c r="R14" i="6"/>
  <c r="Q14" i="6"/>
  <c r="P14" i="6"/>
  <c r="O14" i="6"/>
  <c r="N14" i="6"/>
  <c r="M14" i="6"/>
  <c r="L14" i="6"/>
  <c r="K14" i="6"/>
  <c r="J14" i="6"/>
  <c r="I14" i="6"/>
  <c r="H14" i="6"/>
  <c r="G14" i="6"/>
  <c r="F14" i="6"/>
  <c r="E14" i="6"/>
  <c r="D14" i="6"/>
  <c r="C14" i="6"/>
  <c r="AK13" i="6"/>
  <c r="AG13" i="6"/>
  <c r="AF13" i="6"/>
  <c r="AE13" i="6"/>
  <c r="AD13" i="6"/>
  <c r="AC13" i="6"/>
  <c r="AB13" i="6"/>
  <c r="AA13" i="6"/>
  <c r="Z13" i="6"/>
  <c r="Y13" i="6"/>
  <c r="X13" i="6"/>
  <c r="W13" i="6"/>
  <c r="V13" i="6"/>
  <c r="U13" i="6"/>
  <c r="T13" i="6"/>
  <c r="S13" i="6"/>
  <c r="R13" i="6"/>
  <c r="Q13" i="6"/>
  <c r="P13" i="6"/>
  <c r="O13" i="6"/>
  <c r="N13" i="6"/>
  <c r="M13" i="6"/>
  <c r="L13" i="6"/>
  <c r="K13" i="6"/>
  <c r="J13" i="6"/>
  <c r="I13" i="6"/>
  <c r="H13" i="6"/>
  <c r="G13" i="6"/>
  <c r="F13" i="6"/>
  <c r="E13" i="6"/>
  <c r="D13" i="6"/>
  <c r="C13" i="6"/>
  <c r="AK12" i="6"/>
  <c r="AG12" i="6"/>
  <c r="AF12" i="6"/>
  <c r="AE12" i="6"/>
  <c r="AD12" i="6"/>
  <c r="AC12" i="6"/>
  <c r="AB12" i="6"/>
  <c r="AA12" i="6"/>
  <c r="Z12" i="6"/>
  <c r="Y12" i="6"/>
  <c r="X12" i="6"/>
  <c r="W12" i="6"/>
  <c r="V12" i="6"/>
  <c r="U12" i="6"/>
  <c r="T12" i="6"/>
  <c r="S12" i="6"/>
  <c r="R12" i="6"/>
  <c r="Q12" i="6"/>
  <c r="P12" i="6"/>
  <c r="O12" i="6"/>
  <c r="N12" i="6"/>
  <c r="M12" i="6"/>
  <c r="L12" i="6"/>
  <c r="K12" i="6"/>
  <c r="J12" i="6"/>
  <c r="I12" i="6"/>
  <c r="H12" i="6"/>
  <c r="G12" i="6"/>
  <c r="F12" i="6"/>
  <c r="E12" i="6"/>
  <c r="D12" i="6"/>
  <c r="C12" i="6"/>
  <c r="AK11" i="6"/>
  <c r="AG11" i="6"/>
  <c r="AF11" i="6"/>
  <c r="AE11" i="6"/>
  <c r="AD11" i="6"/>
  <c r="AC11" i="6"/>
  <c r="AB11" i="6"/>
  <c r="AA11" i="6"/>
  <c r="Z11" i="6"/>
  <c r="Y11" i="6"/>
  <c r="X11" i="6"/>
  <c r="W11" i="6"/>
  <c r="V11" i="6"/>
  <c r="U11" i="6"/>
  <c r="T11" i="6"/>
  <c r="S11" i="6"/>
  <c r="R11" i="6"/>
  <c r="Q11" i="6"/>
  <c r="P11" i="6"/>
  <c r="O11" i="6"/>
  <c r="N11" i="6"/>
  <c r="M11" i="6"/>
  <c r="L11" i="6"/>
  <c r="K11" i="6"/>
  <c r="J11" i="6"/>
  <c r="I11" i="6"/>
  <c r="H11" i="6"/>
  <c r="G11" i="6"/>
  <c r="F11" i="6"/>
  <c r="E11" i="6"/>
  <c r="D11" i="6"/>
  <c r="C11" i="6"/>
  <c r="AK10" i="6"/>
  <c r="AG10" i="6"/>
  <c r="AF10" i="6"/>
  <c r="AE10" i="6"/>
  <c r="AD10" i="6"/>
  <c r="AC10" i="6"/>
  <c r="AB10" i="6"/>
  <c r="AA10" i="6"/>
  <c r="Z10" i="6"/>
  <c r="Y10" i="6"/>
  <c r="X10" i="6"/>
  <c r="W10" i="6"/>
  <c r="V10" i="6"/>
  <c r="U10" i="6"/>
  <c r="T10" i="6"/>
  <c r="S10" i="6"/>
  <c r="R10" i="6"/>
  <c r="Q10" i="6"/>
  <c r="P10" i="6"/>
  <c r="O10" i="6"/>
  <c r="N10" i="6"/>
  <c r="M10" i="6"/>
  <c r="L10" i="6"/>
  <c r="K10" i="6"/>
  <c r="J10" i="6"/>
  <c r="I10" i="6"/>
  <c r="H10" i="6"/>
  <c r="G10" i="6"/>
  <c r="F10" i="6"/>
  <c r="E10" i="6"/>
  <c r="D10" i="6"/>
  <c r="C10" i="6"/>
  <c r="AK9" i="6"/>
  <c r="AG9" i="6"/>
  <c r="AF9" i="6"/>
  <c r="AE9" i="6"/>
  <c r="AD9" i="6"/>
  <c r="AC9" i="6"/>
  <c r="AB9" i="6"/>
  <c r="AA9" i="6"/>
  <c r="Z9" i="6"/>
  <c r="Y9" i="6"/>
  <c r="X9" i="6"/>
  <c r="W9" i="6"/>
  <c r="V9" i="6"/>
  <c r="U9" i="6"/>
  <c r="T9" i="6"/>
  <c r="S9" i="6"/>
  <c r="R9" i="6"/>
  <c r="Q9" i="6"/>
  <c r="P9" i="6"/>
  <c r="O9" i="6"/>
  <c r="N9" i="6"/>
  <c r="M9" i="6"/>
  <c r="L9" i="6"/>
  <c r="K9" i="6"/>
  <c r="J9" i="6"/>
  <c r="I9" i="6"/>
  <c r="H9" i="6"/>
  <c r="G9" i="6"/>
  <c r="F9" i="6"/>
  <c r="E9" i="6"/>
  <c r="D9" i="6"/>
  <c r="C9" i="6"/>
  <c r="AK8" i="6"/>
  <c r="AG8" i="6"/>
  <c r="AF8" i="6"/>
  <c r="AE8" i="6"/>
  <c r="AD8" i="6"/>
  <c r="AC8" i="6"/>
  <c r="AB8" i="6"/>
  <c r="AA8" i="6"/>
  <c r="Z8" i="6"/>
  <c r="Y8" i="6"/>
  <c r="X8" i="6"/>
  <c r="W8" i="6"/>
  <c r="V8" i="6"/>
  <c r="U8" i="6"/>
  <c r="T8" i="6"/>
  <c r="S8" i="6"/>
  <c r="R8" i="6"/>
  <c r="Q8" i="6"/>
  <c r="P8" i="6"/>
  <c r="O8" i="6"/>
  <c r="N8" i="6"/>
  <c r="M8" i="6"/>
  <c r="L8" i="6"/>
  <c r="K8" i="6"/>
  <c r="J8" i="6"/>
  <c r="I8" i="6"/>
  <c r="H8" i="6"/>
  <c r="G8" i="6"/>
  <c r="F8" i="6"/>
  <c r="E8" i="6"/>
  <c r="D8" i="6"/>
  <c r="C8" i="6"/>
  <c r="AK7" i="6"/>
  <c r="AG7" i="6"/>
  <c r="AF7" i="6"/>
  <c r="AE7" i="6"/>
  <c r="AD7" i="6"/>
  <c r="AC7" i="6"/>
  <c r="AB7" i="6"/>
  <c r="AA7" i="6"/>
  <c r="Z7" i="6"/>
  <c r="Y7" i="6"/>
  <c r="X7" i="6"/>
  <c r="W7" i="6"/>
  <c r="V7" i="6"/>
  <c r="U7" i="6"/>
  <c r="T7" i="6"/>
  <c r="S7" i="6"/>
  <c r="R7" i="6"/>
  <c r="Q7" i="6"/>
  <c r="P7" i="6"/>
  <c r="O7" i="6"/>
  <c r="N7" i="6"/>
  <c r="M7" i="6"/>
  <c r="L7" i="6"/>
  <c r="K7" i="6"/>
  <c r="J7" i="6"/>
  <c r="I7" i="6"/>
  <c r="H7" i="6"/>
  <c r="G7" i="6"/>
  <c r="F7" i="6"/>
  <c r="E7" i="6"/>
  <c r="D7" i="6"/>
  <c r="C7" i="6"/>
  <c r="AK6" i="6"/>
  <c r="AG6" i="6"/>
  <c r="AF6" i="6"/>
  <c r="AE6" i="6"/>
  <c r="AD6" i="6"/>
  <c r="AC6" i="6"/>
  <c r="AB6" i="6"/>
  <c r="AA6" i="6"/>
  <c r="Z6" i="6"/>
  <c r="Y6" i="6"/>
  <c r="X6" i="6"/>
  <c r="W6" i="6"/>
  <c r="V6" i="6"/>
  <c r="U6" i="6"/>
  <c r="T6" i="6"/>
  <c r="S6" i="6"/>
  <c r="R6" i="6"/>
  <c r="Q6" i="6"/>
  <c r="P6" i="6"/>
  <c r="O6" i="6"/>
  <c r="N6" i="6"/>
  <c r="M6" i="6"/>
  <c r="L6" i="6"/>
  <c r="K6" i="6"/>
  <c r="J6" i="6"/>
  <c r="I6" i="6"/>
  <c r="H6" i="6"/>
  <c r="G6" i="6"/>
  <c r="F6" i="6"/>
  <c r="E6" i="6"/>
  <c r="D6" i="6"/>
  <c r="C6" i="6"/>
  <c r="AK5" i="6"/>
  <c r="AG5" i="6"/>
  <c r="AF5" i="6"/>
  <c r="AE5" i="6"/>
  <c r="AD5" i="6"/>
  <c r="AC5" i="6"/>
  <c r="AB5" i="6"/>
  <c r="AA5" i="6"/>
  <c r="Z5" i="6"/>
  <c r="Y5" i="6"/>
  <c r="X5" i="6"/>
  <c r="W5" i="6"/>
  <c r="V5" i="6"/>
  <c r="U5" i="6"/>
  <c r="T5" i="6"/>
  <c r="S5" i="6"/>
  <c r="R5" i="6"/>
  <c r="Q5" i="6"/>
  <c r="P5" i="6"/>
  <c r="O5" i="6"/>
  <c r="N5" i="6"/>
  <c r="M5" i="6"/>
  <c r="L5" i="6"/>
  <c r="K5" i="6"/>
  <c r="J5" i="6"/>
  <c r="I5" i="6"/>
  <c r="H5" i="6"/>
  <c r="G5" i="6"/>
  <c r="F5" i="6"/>
  <c r="E5" i="6"/>
  <c r="D5" i="6"/>
  <c r="C5" i="6"/>
  <c r="AK4" i="6"/>
  <c r="AG4" i="6"/>
  <c r="AF4" i="6"/>
  <c r="AE4" i="6"/>
  <c r="AD4" i="6"/>
  <c r="AC4" i="6"/>
  <c r="AB4" i="6"/>
  <c r="AA4" i="6"/>
  <c r="Z4" i="6"/>
  <c r="Y4" i="6"/>
  <c r="X4" i="6"/>
  <c r="W4" i="6"/>
  <c r="V4" i="6"/>
  <c r="U4" i="6"/>
  <c r="T4" i="6"/>
  <c r="S4" i="6"/>
  <c r="R4" i="6"/>
  <c r="Q4" i="6"/>
  <c r="P4" i="6"/>
  <c r="O4" i="6"/>
  <c r="N4" i="6"/>
  <c r="M4" i="6"/>
  <c r="L4" i="6"/>
  <c r="K4" i="6"/>
  <c r="J4" i="6"/>
  <c r="I4" i="6"/>
  <c r="H4" i="6"/>
  <c r="G4" i="6"/>
  <c r="F4" i="6"/>
  <c r="E4" i="6"/>
  <c r="D4" i="6"/>
  <c r="C4" i="6"/>
  <c r="AP3" i="6"/>
  <c r="AP4" i="6" s="1"/>
  <c r="AK3" i="6"/>
  <c r="AG3" i="6"/>
  <c r="AF3" i="6"/>
  <c r="AE3" i="6"/>
  <c r="AD3" i="6"/>
  <c r="AC3" i="6"/>
  <c r="AB3" i="6"/>
  <c r="AA3" i="6"/>
  <c r="Z3" i="6"/>
  <c r="Y3" i="6"/>
  <c r="X3" i="6"/>
  <c r="W3" i="6"/>
  <c r="V3" i="6"/>
  <c r="U3" i="6"/>
  <c r="T3" i="6"/>
  <c r="S3" i="6"/>
  <c r="R3" i="6"/>
  <c r="Q3" i="6"/>
  <c r="P3" i="6"/>
  <c r="O3" i="6"/>
  <c r="N3" i="6"/>
  <c r="M3" i="6"/>
  <c r="L3" i="6"/>
  <c r="K3" i="6"/>
  <c r="J3" i="6"/>
  <c r="I3" i="6"/>
  <c r="H3" i="6"/>
  <c r="G3" i="6"/>
  <c r="F3" i="6"/>
  <c r="E3" i="6"/>
  <c r="D3" i="6"/>
  <c r="C3" i="6"/>
  <c r="AK57" i="5"/>
  <c r="AF57" i="5"/>
  <c r="AE57" i="5"/>
  <c r="AD57" i="5"/>
  <c r="AC57" i="5"/>
  <c r="AB57" i="5"/>
  <c r="AA57" i="5"/>
  <c r="Z57" i="5"/>
  <c r="Y57" i="5"/>
  <c r="X57" i="5"/>
  <c r="W57" i="5"/>
  <c r="V57" i="5"/>
  <c r="U57" i="5"/>
  <c r="T57" i="5"/>
  <c r="S57" i="5"/>
  <c r="R57" i="5"/>
  <c r="Q57" i="5"/>
  <c r="P57" i="5"/>
  <c r="O57" i="5"/>
  <c r="N57" i="5"/>
  <c r="M57" i="5"/>
  <c r="L57" i="5"/>
  <c r="K57" i="5"/>
  <c r="J57" i="5"/>
  <c r="I57" i="5"/>
  <c r="H57" i="5"/>
  <c r="G57" i="5"/>
  <c r="F57" i="5"/>
  <c r="E57" i="5"/>
  <c r="D57" i="5"/>
  <c r="C57" i="5"/>
  <c r="AK56" i="5"/>
  <c r="AF56" i="5"/>
  <c r="AE56" i="5"/>
  <c r="AD56" i="5"/>
  <c r="AC56" i="5"/>
  <c r="AB56" i="5"/>
  <c r="AA56" i="5"/>
  <c r="Z56" i="5"/>
  <c r="Y56" i="5"/>
  <c r="X56" i="5"/>
  <c r="W56" i="5"/>
  <c r="V56" i="5"/>
  <c r="U56" i="5"/>
  <c r="T56" i="5"/>
  <c r="S56" i="5"/>
  <c r="R56" i="5"/>
  <c r="Q56" i="5"/>
  <c r="P56" i="5"/>
  <c r="O56" i="5"/>
  <c r="N56" i="5"/>
  <c r="M56" i="5"/>
  <c r="L56" i="5"/>
  <c r="K56" i="5"/>
  <c r="J56" i="5"/>
  <c r="I56" i="5"/>
  <c r="H56" i="5"/>
  <c r="G56" i="5"/>
  <c r="F56" i="5"/>
  <c r="E56" i="5"/>
  <c r="D56" i="5"/>
  <c r="C56" i="5"/>
  <c r="AK55" i="5"/>
  <c r="AF55" i="5"/>
  <c r="AE55" i="5"/>
  <c r="AD55" i="5"/>
  <c r="AC55" i="5"/>
  <c r="AB55" i="5"/>
  <c r="AA55" i="5"/>
  <c r="Z55" i="5"/>
  <c r="Y55" i="5"/>
  <c r="X55" i="5"/>
  <c r="W55" i="5"/>
  <c r="V55" i="5"/>
  <c r="U55" i="5"/>
  <c r="T55" i="5"/>
  <c r="S55" i="5"/>
  <c r="R55" i="5"/>
  <c r="Q55" i="5"/>
  <c r="P55" i="5"/>
  <c r="O55" i="5"/>
  <c r="N55" i="5"/>
  <c r="M55" i="5"/>
  <c r="L55" i="5"/>
  <c r="K55" i="5"/>
  <c r="J55" i="5"/>
  <c r="I55" i="5"/>
  <c r="H55" i="5"/>
  <c r="G55" i="5"/>
  <c r="F55" i="5"/>
  <c r="E55" i="5"/>
  <c r="D55" i="5"/>
  <c r="C55" i="5"/>
  <c r="AK54" i="5"/>
  <c r="AF54" i="5"/>
  <c r="AE54" i="5"/>
  <c r="AD54" i="5"/>
  <c r="AC54" i="5"/>
  <c r="AB54" i="5"/>
  <c r="AA54" i="5"/>
  <c r="Z54" i="5"/>
  <c r="Y54" i="5"/>
  <c r="X54" i="5"/>
  <c r="W54" i="5"/>
  <c r="V54" i="5"/>
  <c r="U54" i="5"/>
  <c r="T54" i="5"/>
  <c r="S54" i="5"/>
  <c r="R54" i="5"/>
  <c r="Q54" i="5"/>
  <c r="P54" i="5"/>
  <c r="O54" i="5"/>
  <c r="N54" i="5"/>
  <c r="M54" i="5"/>
  <c r="L54" i="5"/>
  <c r="K54" i="5"/>
  <c r="J54" i="5"/>
  <c r="I54" i="5"/>
  <c r="H54" i="5"/>
  <c r="G54" i="5"/>
  <c r="F54" i="5"/>
  <c r="E54" i="5"/>
  <c r="D54" i="5"/>
  <c r="C54" i="5"/>
  <c r="AK53" i="5"/>
  <c r="AF53" i="5"/>
  <c r="AE53" i="5"/>
  <c r="AD53" i="5"/>
  <c r="AC53" i="5"/>
  <c r="AB53" i="5"/>
  <c r="AA53" i="5"/>
  <c r="Z53" i="5"/>
  <c r="Y53" i="5"/>
  <c r="X53" i="5"/>
  <c r="W53" i="5"/>
  <c r="V53" i="5"/>
  <c r="U53" i="5"/>
  <c r="T53" i="5"/>
  <c r="S53" i="5"/>
  <c r="R53" i="5"/>
  <c r="Q53" i="5"/>
  <c r="P53" i="5"/>
  <c r="O53" i="5"/>
  <c r="N53" i="5"/>
  <c r="M53" i="5"/>
  <c r="L53" i="5"/>
  <c r="K53" i="5"/>
  <c r="J53" i="5"/>
  <c r="I53" i="5"/>
  <c r="H53" i="5"/>
  <c r="G53" i="5"/>
  <c r="F53" i="5"/>
  <c r="E53" i="5"/>
  <c r="D53" i="5"/>
  <c r="C53" i="5"/>
  <c r="AK52" i="5"/>
  <c r="AF52" i="5"/>
  <c r="AE52" i="5"/>
  <c r="AD52" i="5"/>
  <c r="AC52" i="5"/>
  <c r="AB52" i="5"/>
  <c r="AA52" i="5"/>
  <c r="Z52" i="5"/>
  <c r="Y52" i="5"/>
  <c r="X52" i="5"/>
  <c r="W52" i="5"/>
  <c r="V52" i="5"/>
  <c r="U52" i="5"/>
  <c r="T52" i="5"/>
  <c r="S52" i="5"/>
  <c r="R52" i="5"/>
  <c r="Q52" i="5"/>
  <c r="P52" i="5"/>
  <c r="O52" i="5"/>
  <c r="N52" i="5"/>
  <c r="M52" i="5"/>
  <c r="L52" i="5"/>
  <c r="K52" i="5"/>
  <c r="J52" i="5"/>
  <c r="I52" i="5"/>
  <c r="H52" i="5"/>
  <c r="G52" i="5"/>
  <c r="F52" i="5"/>
  <c r="E52" i="5"/>
  <c r="D52" i="5"/>
  <c r="C52" i="5"/>
  <c r="AK51" i="5"/>
  <c r="AF51" i="5"/>
  <c r="AE51" i="5"/>
  <c r="AD51" i="5"/>
  <c r="AC51" i="5"/>
  <c r="AB51" i="5"/>
  <c r="AA51" i="5"/>
  <c r="Z51" i="5"/>
  <c r="Y51" i="5"/>
  <c r="X51" i="5"/>
  <c r="W51" i="5"/>
  <c r="V51" i="5"/>
  <c r="U51" i="5"/>
  <c r="T51" i="5"/>
  <c r="S51" i="5"/>
  <c r="R51" i="5"/>
  <c r="Q51" i="5"/>
  <c r="P51" i="5"/>
  <c r="O51" i="5"/>
  <c r="N51" i="5"/>
  <c r="M51" i="5"/>
  <c r="L51" i="5"/>
  <c r="K51" i="5"/>
  <c r="J51" i="5"/>
  <c r="I51" i="5"/>
  <c r="H51" i="5"/>
  <c r="G51" i="5"/>
  <c r="F51" i="5"/>
  <c r="E51" i="5"/>
  <c r="D51" i="5"/>
  <c r="C51" i="5"/>
  <c r="AK50" i="5"/>
  <c r="AF50" i="5"/>
  <c r="AE50" i="5"/>
  <c r="AD50" i="5"/>
  <c r="AC50" i="5"/>
  <c r="AB50" i="5"/>
  <c r="AA50" i="5"/>
  <c r="Z50" i="5"/>
  <c r="Y50" i="5"/>
  <c r="X50" i="5"/>
  <c r="W50" i="5"/>
  <c r="V50" i="5"/>
  <c r="U50" i="5"/>
  <c r="T50" i="5"/>
  <c r="S50" i="5"/>
  <c r="R50" i="5"/>
  <c r="Q50" i="5"/>
  <c r="P50" i="5"/>
  <c r="O50" i="5"/>
  <c r="N50" i="5"/>
  <c r="M50" i="5"/>
  <c r="L50" i="5"/>
  <c r="K50" i="5"/>
  <c r="J50" i="5"/>
  <c r="I50" i="5"/>
  <c r="H50" i="5"/>
  <c r="G50" i="5"/>
  <c r="F50" i="5"/>
  <c r="E50" i="5"/>
  <c r="D50" i="5"/>
  <c r="C50" i="5"/>
  <c r="AK49" i="5"/>
  <c r="AF49" i="5"/>
  <c r="AE49" i="5"/>
  <c r="AD49" i="5"/>
  <c r="AC49" i="5"/>
  <c r="AB49" i="5"/>
  <c r="AA49" i="5"/>
  <c r="Z49" i="5"/>
  <c r="Y49" i="5"/>
  <c r="X49" i="5"/>
  <c r="W49" i="5"/>
  <c r="V49" i="5"/>
  <c r="U49" i="5"/>
  <c r="T49" i="5"/>
  <c r="S49" i="5"/>
  <c r="R49" i="5"/>
  <c r="Q49" i="5"/>
  <c r="P49" i="5"/>
  <c r="O49" i="5"/>
  <c r="N49" i="5"/>
  <c r="M49" i="5"/>
  <c r="L49" i="5"/>
  <c r="K49" i="5"/>
  <c r="J49" i="5"/>
  <c r="I49" i="5"/>
  <c r="H49" i="5"/>
  <c r="G49" i="5"/>
  <c r="F49" i="5"/>
  <c r="E49" i="5"/>
  <c r="D49" i="5"/>
  <c r="C49" i="5"/>
  <c r="AK48" i="5"/>
  <c r="AF48" i="5"/>
  <c r="AE48" i="5"/>
  <c r="AD48" i="5"/>
  <c r="AC48" i="5"/>
  <c r="AB48" i="5"/>
  <c r="AA48" i="5"/>
  <c r="Z48" i="5"/>
  <c r="Y48" i="5"/>
  <c r="X48" i="5"/>
  <c r="W48" i="5"/>
  <c r="V48" i="5"/>
  <c r="U48" i="5"/>
  <c r="T48" i="5"/>
  <c r="S48" i="5"/>
  <c r="R48" i="5"/>
  <c r="Q48" i="5"/>
  <c r="P48" i="5"/>
  <c r="O48" i="5"/>
  <c r="N48" i="5"/>
  <c r="M48" i="5"/>
  <c r="L48" i="5"/>
  <c r="K48" i="5"/>
  <c r="J48" i="5"/>
  <c r="I48" i="5"/>
  <c r="H48" i="5"/>
  <c r="G48" i="5"/>
  <c r="F48" i="5"/>
  <c r="E48" i="5"/>
  <c r="D48" i="5"/>
  <c r="C48" i="5"/>
  <c r="AK47" i="5"/>
  <c r="AF47" i="5"/>
  <c r="AE47" i="5"/>
  <c r="AD47" i="5"/>
  <c r="AC47" i="5"/>
  <c r="AB47" i="5"/>
  <c r="AA47" i="5"/>
  <c r="Z47" i="5"/>
  <c r="Y47" i="5"/>
  <c r="X47" i="5"/>
  <c r="W47" i="5"/>
  <c r="V47" i="5"/>
  <c r="U47" i="5"/>
  <c r="T47" i="5"/>
  <c r="S47" i="5"/>
  <c r="R47" i="5"/>
  <c r="Q47" i="5"/>
  <c r="P47" i="5"/>
  <c r="O47" i="5"/>
  <c r="N47" i="5"/>
  <c r="M47" i="5"/>
  <c r="L47" i="5"/>
  <c r="K47" i="5"/>
  <c r="J47" i="5"/>
  <c r="I47" i="5"/>
  <c r="H47" i="5"/>
  <c r="G47" i="5"/>
  <c r="F47" i="5"/>
  <c r="E47" i="5"/>
  <c r="D47" i="5"/>
  <c r="C47" i="5"/>
  <c r="AK46" i="5"/>
  <c r="AF46" i="5"/>
  <c r="AE46" i="5"/>
  <c r="AD46" i="5"/>
  <c r="AC46" i="5"/>
  <c r="AB46" i="5"/>
  <c r="AA46" i="5"/>
  <c r="Z46" i="5"/>
  <c r="Y46" i="5"/>
  <c r="X46" i="5"/>
  <c r="W46" i="5"/>
  <c r="V46" i="5"/>
  <c r="U46" i="5"/>
  <c r="T46" i="5"/>
  <c r="S46" i="5"/>
  <c r="R46" i="5"/>
  <c r="Q46" i="5"/>
  <c r="P46" i="5"/>
  <c r="O46" i="5"/>
  <c r="N46" i="5"/>
  <c r="M46" i="5"/>
  <c r="L46" i="5"/>
  <c r="K46" i="5"/>
  <c r="J46" i="5"/>
  <c r="I46" i="5"/>
  <c r="H46" i="5"/>
  <c r="G46" i="5"/>
  <c r="F46" i="5"/>
  <c r="E46" i="5"/>
  <c r="D46" i="5"/>
  <c r="C46" i="5"/>
  <c r="AK45" i="5"/>
  <c r="AF45" i="5"/>
  <c r="AE45" i="5"/>
  <c r="AD45" i="5"/>
  <c r="AC45" i="5"/>
  <c r="AB45" i="5"/>
  <c r="AA45" i="5"/>
  <c r="Z45" i="5"/>
  <c r="Y45" i="5"/>
  <c r="X45" i="5"/>
  <c r="W45" i="5"/>
  <c r="V45" i="5"/>
  <c r="U45" i="5"/>
  <c r="T45" i="5"/>
  <c r="S45" i="5"/>
  <c r="R45" i="5"/>
  <c r="Q45" i="5"/>
  <c r="P45" i="5"/>
  <c r="O45" i="5"/>
  <c r="N45" i="5"/>
  <c r="M45" i="5"/>
  <c r="L45" i="5"/>
  <c r="K45" i="5"/>
  <c r="J45" i="5"/>
  <c r="I45" i="5"/>
  <c r="H45" i="5"/>
  <c r="G45" i="5"/>
  <c r="F45" i="5"/>
  <c r="E45" i="5"/>
  <c r="D45" i="5"/>
  <c r="C45" i="5"/>
  <c r="AK44" i="5"/>
  <c r="AF44" i="5"/>
  <c r="AE44" i="5"/>
  <c r="AD44" i="5"/>
  <c r="AC44" i="5"/>
  <c r="AB44" i="5"/>
  <c r="AA44" i="5"/>
  <c r="Z44" i="5"/>
  <c r="Y44" i="5"/>
  <c r="X44" i="5"/>
  <c r="W44" i="5"/>
  <c r="V44" i="5"/>
  <c r="U44" i="5"/>
  <c r="T44" i="5"/>
  <c r="S44" i="5"/>
  <c r="R44" i="5"/>
  <c r="Q44" i="5"/>
  <c r="P44" i="5"/>
  <c r="O44" i="5"/>
  <c r="N44" i="5"/>
  <c r="M44" i="5"/>
  <c r="L44" i="5"/>
  <c r="K44" i="5"/>
  <c r="J44" i="5"/>
  <c r="I44" i="5"/>
  <c r="H44" i="5"/>
  <c r="G44" i="5"/>
  <c r="F44" i="5"/>
  <c r="E44" i="5"/>
  <c r="D44" i="5"/>
  <c r="C44" i="5"/>
  <c r="AK43" i="5"/>
  <c r="AF43" i="5"/>
  <c r="AE43" i="5"/>
  <c r="AD43" i="5"/>
  <c r="AC43" i="5"/>
  <c r="AB43" i="5"/>
  <c r="AA43" i="5"/>
  <c r="Z43" i="5"/>
  <c r="Y43" i="5"/>
  <c r="X43" i="5"/>
  <c r="W43" i="5"/>
  <c r="V43" i="5"/>
  <c r="U43" i="5"/>
  <c r="T43" i="5"/>
  <c r="S43" i="5"/>
  <c r="R43" i="5"/>
  <c r="Q43" i="5"/>
  <c r="P43" i="5"/>
  <c r="O43" i="5"/>
  <c r="N43" i="5"/>
  <c r="M43" i="5"/>
  <c r="L43" i="5"/>
  <c r="K43" i="5"/>
  <c r="J43" i="5"/>
  <c r="I43" i="5"/>
  <c r="H43" i="5"/>
  <c r="G43" i="5"/>
  <c r="F43" i="5"/>
  <c r="E43" i="5"/>
  <c r="D43" i="5"/>
  <c r="C43" i="5"/>
  <c r="AK42" i="5"/>
  <c r="AF42" i="5"/>
  <c r="AE42" i="5"/>
  <c r="AD42" i="5"/>
  <c r="AC42" i="5"/>
  <c r="AB42" i="5"/>
  <c r="AA42" i="5"/>
  <c r="Z42" i="5"/>
  <c r="Y42" i="5"/>
  <c r="X42" i="5"/>
  <c r="W42" i="5"/>
  <c r="V42" i="5"/>
  <c r="U42" i="5"/>
  <c r="T42" i="5"/>
  <c r="S42" i="5"/>
  <c r="R42" i="5"/>
  <c r="Q42" i="5"/>
  <c r="P42" i="5"/>
  <c r="O42" i="5"/>
  <c r="N42" i="5"/>
  <c r="M42" i="5"/>
  <c r="L42" i="5"/>
  <c r="K42" i="5"/>
  <c r="J42" i="5"/>
  <c r="I42" i="5"/>
  <c r="H42" i="5"/>
  <c r="G42" i="5"/>
  <c r="F42" i="5"/>
  <c r="E42" i="5"/>
  <c r="D42" i="5"/>
  <c r="C42" i="5"/>
  <c r="AK41" i="5"/>
  <c r="AF41" i="5"/>
  <c r="AE41" i="5"/>
  <c r="AD41" i="5"/>
  <c r="AC41" i="5"/>
  <c r="AB41" i="5"/>
  <c r="AA41" i="5"/>
  <c r="Z41" i="5"/>
  <c r="Y41" i="5"/>
  <c r="X41" i="5"/>
  <c r="W41" i="5"/>
  <c r="V41" i="5"/>
  <c r="U41" i="5"/>
  <c r="T41" i="5"/>
  <c r="S41" i="5"/>
  <c r="R41" i="5"/>
  <c r="Q41" i="5"/>
  <c r="P41" i="5"/>
  <c r="O41" i="5"/>
  <c r="N41" i="5"/>
  <c r="M41" i="5"/>
  <c r="L41" i="5"/>
  <c r="K41" i="5"/>
  <c r="J41" i="5"/>
  <c r="I41" i="5"/>
  <c r="H41" i="5"/>
  <c r="G41" i="5"/>
  <c r="F41" i="5"/>
  <c r="E41" i="5"/>
  <c r="D41" i="5"/>
  <c r="C41" i="5"/>
  <c r="AK40" i="5"/>
  <c r="AF40" i="5"/>
  <c r="AE40" i="5"/>
  <c r="AD40" i="5"/>
  <c r="AC40" i="5"/>
  <c r="AB40" i="5"/>
  <c r="AA40" i="5"/>
  <c r="Z40" i="5"/>
  <c r="Y40" i="5"/>
  <c r="X40" i="5"/>
  <c r="W40" i="5"/>
  <c r="V40" i="5"/>
  <c r="U40" i="5"/>
  <c r="T40" i="5"/>
  <c r="S40" i="5"/>
  <c r="R40" i="5"/>
  <c r="Q40" i="5"/>
  <c r="P40" i="5"/>
  <c r="O40" i="5"/>
  <c r="N40" i="5"/>
  <c r="M40" i="5"/>
  <c r="L40" i="5"/>
  <c r="K40" i="5"/>
  <c r="J40" i="5"/>
  <c r="I40" i="5"/>
  <c r="H40" i="5"/>
  <c r="G40" i="5"/>
  <c r="F40" i="5"/>
  <c r="E40" i="5"/>
  <c r="D40" i="5"/>
  <c r="C40" i="5"/>
  <c r="AK39" i="5"/>
  <c r="AF39" i="5"/>
  <c r="AE39" i="5"/>
  <c r="AD39" i="5"/>
  <c r="AC39" i="5"/>
  <c r="AB39" i="5"/>
  <c r="AA39" i="5"/>
  <c r="Z39" i="5"/>
  <c r="Y39" i="5"/>
  <c r="X39" i="5"/>
  <c r="W39" i="5"/>
  <c r="V39" i="5"/>
  <c r="U39" i="5"/>
  <c r="T39" i="5"/>
  <c r="S39" i="5"/>
  <c r="R39" i="5"/>
  <c r="Q39" i="5"/>
  <c r="P39" i="5"/>
  <c r="O39" i="5"/>
  <c r="N39" i="5"/>
  <c r="M39" i="5"/>
  <c r="L39" i="5"/>
  <c r="K39" i="5"/>
  <c r="J39" i="5"/>
  <c r="I39" i="5"/>
  <c r="H39" i="5"/>
  <c r="G39" i="5"/>
  <c r="F39" i="5"/>
  <c r="E39" i="5"/>
  <c r="D39" i="5"/>
  <c r="C39" i="5"/>
  <c r="AK38" i="5"/>
  <c r="AF38" i="5"/>
  <c r="AE38" i="5"/>
  <c r="AD38" i="5"/>
  <c r="AC38" i="5"/>
  <c r="AB38" i="5"/>
  <c r="AA38" i="5"/>
  <c r="Z38" i="5"/>
  <c r="Y38" i="5"/>
  <c r="X38" i="5"/>
  <c r="W38" i="5"/>
  <c r="V38" i="5"/>
  <c r="U38" i="5"/>
  <c r="T38" i="5"/>
  <c r="S38" i="5"/>
  <c r="R38" i="5"/>
  <c r="Q38" i="5"/>
  <c r="P38" i="5"/>
  <c r="O38" i="5"/>
  <c r="N38" i="5"/>
  <c r="M38" i="5"/>
  <c r="L38" i="5"/>
  <c r="K38" i="5"/>
  <c r="J38" i="5"/>
  <c r="I38" i="5"/>
  <c r="H38" i="5"/>
  <c r="G38" i="5"/>
  <c r="F38" i="5"/>
  <c r="E38" i="5"/>
  <c r="D38" i="5"/>
  <c r="C38" i="5"/>
  <c r="AK37" i="5"/>
  <c r="AF37" i="5"/>
  <c r="AE37" i="5"/>
  <c r="AD37" i="5"/>
  <c r="AC37" i="5"/>
  <c r="AB37" i="5"/>
  <c r="AA37" i="5"/>
  <c r="Z37" i="5"/>
  <c r="Y37" i="5"/>
  <c r="X37" i="5"/>
  <c r="W37" i="5"/>
  <c r="V37" i="5"/>
  <c r="U37" i="5"/>
  <c r="T37" i="5"/>
  <c r="S37" i="5"/>
  <c r="R37" i="5"/>
  <c r="Q37" i="5"/>
  <c r="P37" i="5"/>
  <c r="O37" i="5"/>
  <c r="N37" i="5"/>
  <c r="M37" i="5"/>
  <c r="L37" i="5"/>
  <c r="K37" i="5"/>
  <c r="J37" i="5"/>
  <c r="I37" i="5"/>
  <c r="H37" i="5"/>
  <c r="G37" i="5"/>
  <c r="F37" i="5"/>
  <c r="E37" i="5"/>
  <c r="D37" i="5"/>
  <c r="C37" i="5"/>
  <c r="AK36" i="5"/>
  <c r="AF36" i="5"/>
  <c r="AE36" i="5"/>
  <c r="AD36" i="5"/>
  <c r="AC36" i="5"/>
  <c r="AB36" i="5"/>
  <c r="AA36" i="5"/>
  <c r="Z36" i="5"/>
  <c r="Y36" i="5"/>
  <c r="X36" i="5"/>
  <c r="W36" i="5"/>
  <c r="V36" i="5"/>
  <c r="U36" i="5"/>
  <c r="T36" i="5"/>
  <c r="S36" i="5"/>
  <c r="R36" i="5"/>
  <c r="Q36" i="5"/>
  <c r="P36" i="5"/>
  <c r="O36" i="5"/>
  <c r="N36" i="5"/>
  <c r="M36" i="5"/>
  <c r="L36" i="5"/>
  <c r="K36" i="5"/>
  <c r="J36" i="5"/>
  <c r="I36" i="5"/>
  <c r="H36" i="5"/>
  <c r="G36" i="5"/>
  <c r="F36" i="5"/>
  <c r="E36" i="5"/>
  <c r="D36" i="5"/>
  <c r="C36" i="5"/>
  <c r="AK35" i="5"/>
  <c r="AF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AK34" i="5"/>
  <c r="AF34" i="5"/>
  <c r="AE34" i="5"/>
  <c r="AD34" i="5"/>
  <c r="AC34" i="5"/>
  <c r="AB34" i="5"/>
  <c r="AA34" i="5"/>
  <c r="Z34" i="5"/>
  <c r="Y34" i="5"/>
  <c r="X34" i="5"/>
  <c r="W34" i="5"/>
  <c r="V34" i="5"/>
  <c r="U34" i="5"/>
  <c r="T34" i="5"/>
  <c r="S34" i="5"/>
  <c r="R34" i="5"/>
  <c r="Q34" i="5"/>
  <c r="P34" i="5"/>
  <c r="O34" i="5"/>
  <c r="N34" i="5"/>
  <c r="M34" i="5"/>
  <c r="L34" i="5"/>
  <c r="K34" i="5"/>
  <c r="J34" i="5"/>
  <c r="I34" i="5"/>
  <c r="H34" i="5"/>
  <c r="G34" i="5"/>
  <c r="F34" i="5"/>
  <c r="E34" i="5"/>
  <c r="D34" i="5"/>
  <c r="C34" i="5"/>
  <c r="AK33" i="5"/>
  <c r="AF33" i="5"/>
  <c r="AE33" i="5"/>
  <c r="AD33" i="5"/>
  <c r="AC33" i="5"/>
  <c r="AB33" i="5"/>
  <c r="AA33" i="5"/>
  <c r="Z33" i="5"/>
  <c r="Y33" i="5"/>
  <c r="X33" i="5"/>
  <c r="W33" i="5"/>
  <c r="V33" i="5"/>
  <c r="U33" i="5"/>
  <c r="T33" i="5"/>
  <c r="S33" i="5"/>
  <c r="R33" i="5"/>
  <c r="Q33" i="5"/>
  <c r="P33" i="5"/>
  <c r="O33" i="5"/>
  <c r="N33" i="5"/>
  <c r="M33" i="5"/>
  <c r="L33" i="5"/>
  <c r="K33" i="5"/>
  <c r="J33" i="5"/>
  <c r="I33" i="5"/>
  <c r="H33" i="5"/>
  <c r="G33" i="5"/>
  <c r="F33" i="5"/>
  <c r="E33" i="5"/>
  <c r="D33" i="5"/>
  <c r="C33" i="5"/>
  <c r="AK32" i="5"/>
  <c r="AF32" i="5"/>
  <c r="AE32" i="5"/>
  <c r="AD32" i="5"/>
  <c r="AC32" i="5"/>
  <c r="AB32" i="5"/>
  <c r="AA32" i="5"/>
  <c r="Z32" i="5"/>
  <c r="Y32" i="5"/>
  <c r="X32" i="5"/>
  <c r="W32" i="5"/>
  <c r="V32" i="5"/>
  <c r="U32" i="5"/>
  <c r="T32" i="5"/>
  <c r="S32" i="5"/>
  <c r="R32" i="5"/>
  <c r="Q32" i="5"/>
  <c r="P32" i="5"/>
  <c r="O32" i="5"/>
  <c r="N32" i="5"/>
  <c r="M32" i="5"/>
  <c r="L32" i="5"/>
  <c r="K32" i="5"/>
  <c r="J32" i="5"/>
  <c r="I32" i="5"/>
  <c r="H32" i="5"/>
  <c r="G32" i="5"/>
  <c r="F32" i="5"/>
  <c r="E32" i="5"/>
  <c r="D32" i="5"/>
  <c r="C32" i="5"/>
  <c r="AK31" i="5"/>
  <c r="AF31" i="5"/>
  <c r="AE31" i="5"/>
  <c r="AD31" i="5"/>
  <c r="AC31" i="5"/>
  <c r="AB31" i="5"/>
  <c r="AA31" i="5"/>
  <c r="Z31" i="5"/>
  <c r="Y31" i="5"/>
  <c r="X31" i="5"/>
  <c r="W31" i="5"/>
  <c r="V31" i="5"/>
  <c r="U31" i="5"/>
  <c r="T31" i="5"/>
  <c r="S31" i="5"/>
  <c r="R31" i="5"/>
  <c r="Q31" i="5"/>
  <c r="P31" i="5"/>
  <c r="O31" i="5"/>
  <c r="N31" i="5"/>
  <c r="M31" i="5"/>
  <c r="L31" i="5"/>
  <c r="K31" i="5"/>
  <c r="J31" i="5"/>
  <c r="I31" i="5"/>
  <c r="H31" i="5"/>
  <c r="G31" i="5"/>
  <c r="F31" i="5"/>
  <c r="E31" i="5"/>
  <c r="D31" i="5"/>
  <c r="C31" i="5"/>
  <c r="AK30" i="5"/>
  <c r="AF30" i="5"/>
  <c r="AE30" i="5"/>
  <c r="AD30" i="5"/>
  <c r="AC30" i="5"/>
  <c r="AB30" i="5"/>
  <c r="AA30" i="5"/>
  <c r="Z30" i="5"/>
  <c r="Y30" i="5"/>
  <c r="X30" i="5"/>
  <c r="W30" i="5"/>
  <c r="V30" i="5"/>
  <c r="U30" i="5"/>
  <c r="T30" i="5"/>
  <c r="S30" i="5"/>
  <c r="R30" i="5"/>
  <c r="Q30" i="5"/>
  <c r="P30" i="5"/>
  <c r="O30" i="5"/>
  <c r="N30" i="5"/>
  <c r="M30" i="5"/>
  <c r="L30" i="5"/>
  <c r="K30" i="5"/>
  <c r="J30" i="5"/>
  <c r="I30" i="5"/>
  <c r="H30" i="5"/>
  <c r="G30" i="5"/>
  <c r="F30" i="5"/>
  <c r="E30" i="5"/>
  <c r="D30" i="5"/>
  <c r="C30" i="5"/>
  <c r="AK29" i="5"/>
  <c r="AF29" i="5"/>
  <c r="AE29" i="5"/>
  <c r="AD29" i="5"/>
  <c r="AC29" i="5"/>
  <c r="AB29" i="5"/>
  <c r="AA29" i="5"/>
  <c r="Z29" i="5"/>
  <c r="Y29" i="5"/>
  <c r="X29" i="5"/>
  <c r="W29" i="5"/>
  <c r="V29" i="5"/>
  <c r="U29" i="5"/>
  <c r="T29" i="5"/>
  <c r="S29" i="5"/>
  <c r="R29" i="5"/>
  <c r="Q29" i="5"/>
  <c r="P29" i="5"/>
  <c r="O29" i="5"/>
  <c r="N29" i="5"/>
  <c r="M29" i="5"/>
  <c r="L29" i="5"/>
  <c r="K29" i="5"/>
  <c r="J29" i="5"/>
  <c r="I29" i="5"/>
  <c r="H29" i="5"/>
  <c r="G29" i="5"/>
  <c r="F29" i="5"/>
  <c r="E29" i="5"/>
  <c r="D29" i="5"/>
  <c r="C29" i="5"/>
  <c r="AK28" i="5"/>
  <c r="AF28" i="5"/>
  <c r="AE28" i="5"/>
  <c r="AD28" i="5"/>
  <c r="AC28" i="5"/>
  <c r="AB28" i="5"/>
  <c r="AA28" i="5"/>
  <c r="Z28" i="5"/>
  <c r="Y28" i="5"/>
  <c r="X28" i="5"/>
  <c r="W28" i="5"/>
  <c r="V28" i="5"/>
  <c r="U28" i="5"/>
  <c r="T28" i="5"/>
  <c r="S28" i="5"/>
  <c r="R28" i="5"/>
  <c r="Q28" i="5"/>
  <c r="P28" i="5"/>
  <c r="O28" i="5"/>
  <c r="N28" i="5"/>
  <c r="M28" i="5"/>
  <c r="L28" i="5"/>
  <c r="K28" i="5"/>
  <c r="J28" i="5"/>
  <c r="I28" i="5"/>
  <c r="H28" i="5"/>
  <c r="G28" i="5"/>
  <c r="F28" i="5"/>
  <c r="E28" i="5"/>
  <c r="D28" i="5"/>
  <c r="C28" i="5"/>
  <c r="AK27" i="5"/>
  <c r="AF27" i="5"/>
  <c r="AE27" i="5"/>
  <c r="AD27" i="5"/>
  <c r="AC27" i="5"/>
  <c r="AB27" i="5"/>
  <c r="AA27" i="5"/>
  <c r="Z27" i="5"/>
  <c r="Y27" i="5"/>
  <c r="X27" i="5"/>
  <c r="W27" i="5"/>
  <c r="V27" i="5"/>
  <c r="U27" i="5"/>
  <c r="T27" i="5"/>
  <c r="S27" i="5"/>
  <c r="R27" i="5"/>
  <c r="Q27" i="5"/>
  <c r="P27" i="5"/>
  <c r="O27" i="5"/>
  <c r="N27" i="5"/>
  <c r="M27" i="5"/>
  <c r="L27" i="5"/>
  <c r="K27" i="5"/>
  <c r="J27" i="5"/>
  <c r="I27" i="5"/>
  <c r="H27" i="5"/>
  <c r="G27" i="5"/>
  <c r="F27" i="5"/>
  <c r="E27" i="5"/>
  <c r="D27" i="5"/>
  <c r="C27" i="5"/>
  <c r="AK26" i="5"/>
  <c r="AF26" i="5"/>
  <c r="AE26" i="5"/>
  <c r="AD26" i="5"/>
  <c r="AC26" i="5"/>
  <c r="AB26" i="5"/>
  <c r="AA26" i="5"/>
  <c r="Z26" i="5"/>
  <c r="Y26" i="5"/>
  <c r="X26" i="5"/>
  <c r="W26" i="5"/>
  <c r="V26" i="5"/>
  <c r="U26" i="5"/>
  <c r="T26" i="5"/>
  <c r="S26" i="5"/>
  <c r="R26" i="5"/>
  <c r="Q26" i="5"/>
  <c r="P26" i="5"/>
  <c r="O26" i="5"/>
  <c r="N26" i="5"/>
  <c r="M26" i="5"/>
  <c r="L26" i="5"/>
  <c r="K26" i="5"/>
  <c r="J26" i="5"/>
  <c r="I26" i="5"/>
  <c r="H26" i="5"/>
  <c r="G26" i="5"/>
  <c r="F26" i="5"/>
  <c r="E26" i="5"/>
  <c r="D26" i="5"/>
  <c r="C26" i="5"/>
  <c r="AK25" i="5"/>
  <c r="AF25" i="5"/>
  <c r="AE25" i="5"/>
  <c r="AD25" i="5"/>
  <c r="AC25" i="5"/>
  <c r="AB25" i="5"/>
  <c r="AA25" i="5"/>
  <c r="Z25" i="5"/>
  <c r="Y25" i="5"/>
  <c r="X25" i="5"/>
  <c r="W25" i="5"/>
  <c r="V25" i="5"/>
  <c r="U25" i="5"/>
  <c r="T25" i="5"/>
  <c r="S25" i="5"/>
  <c r="R25" i="5"/>
  <c r="Q25" i="5"/>
  <c r="P25" i="5"/>
  <c r="O25" i="5"/>
  <c r="N25" i="5"/>
  <c r="M25" i="5"/>
  <c r="L25" i="5"/>
  <c r="K25" i="5"/>
  <c r="J25" i="5"/>
  <c r="I25" i="5"/>
  <c r="H25" i="5"/>
  <c r="G25" i="5"/>
  <c r="F25" i="5"/>
  <c r="E25" i="5"/>
  <c r="D25" i="5"/>
  <c r="C25" i="5"/>
  <c r="AK24" i="5"/>
  <c r="AF24" i="5"/>
  <c r="AE24" i="5"/>
  <c r="AD24" i="5"/>
  <c r="AC24" i="5"/>
  <c r="AB24" i="5"/>
  <c r="AA24" i="5"/>
  <c r="Z24" i="5"/>
  <c r="Y24" i="5"/>
  <c r="X24" i="5"/>
  <c r="W24" i="5"/>
  <c r="V24" i="5"/>
  <c r="U24" i="5"/>
  <c r="T24" i="5"/>
  <c r="S24" i="5"/>
  <c r="R24" i="5"/>
  <c r="Q24" i="5"/>
  <c r="P24" i="5"/>
  <c r="O24" i="5"/>
  <c r="N24" i="5"/>
  <c r="M24" i="5"/>
  <c r="L24" i="5"/>
  <c r="K24" i="5"/>
  <c r="J24" i="5"/>
  <c r="I24" i="5"/>
  <c r="H24" i="5"/>
  <c r="G24" i="5"/>
  <c r="F24" i="5"/>
  <c r="E24" i="5"/>
  <c r="D24" i="5"/>
  <c r="C24" i="5"/>
  <c r="AK23" i="5"/>
  <c r="AF23" i="5"/>
  <c r="AE23" i="5"/>
  <c r="AD23" i="5"/>
  <c r="AC23" i="5"/>
  <c r="AB23" i="5"/>
  <c r="AA23" i="5"/>
  <c r="Z23" i="5"/>
  <c r="Y23" i="5"/>
  <c r="X23" i="5"/>
  <c r="W23" i="5"/>
  <c r="V23" i="5"/>
  <c r="U23" i="5"/>
  <c r="T23" i="5"/>
  <c r="S23" i="5"/>
  <c r="R23" i="5"/>
  <c r="Q23" i="5"/>
  <c r="P23" i="5"/>
  <c r="O23" i="5"/>
  <c r="N23" i="5"/>
  <c r="M23" i="5"/>
  <c r="L23" i="5"/>
  <c r="K23" i="5"/>
  <c r="J23" i="5"/>
  <c r="I23" i="5"/>
  <c r="H23" i="5"/>
  <c r="G23" i="5"/>
  <c r="F23" i="5"/>
  <c r="E23" i="5"/>
  <c r="D23" i="5"/>
  <c r="C23" i="5"/>
  <c r="AK22" i="5"/>
  <c r="AF22" i="5"/>
  <c r="AE22" i="5"/>
  <c r="AD22" i="5"/>
  <c r="AC22" i="5"/>
  <c r="AB22" i="5"/>
  <c r="AA22" i="5"/>
  <c r="Z22" i="5"/>
  <c r="Y22" i="5"/>
  <c r="X22" i="5"/>
  <c r="W22" i="5"/>
  <c r="V22" i="5"/>
  <c r="U22" i="5"/>
  <c r="T22" i="5"/>
  <c r="S22" i="5"/>
  <c r="R22" i="5"/>
  <c r="Q22" i="5"/>
  <c r="P22" i="5"/>
  <c r="O22" i="5"/>
  <c r="N22" i="5"/>
  <c r="M22" i="5"/>
  <c r="L22" i="5"/>
  <c r="K22" i="5"/>
  <c r="J22" i="5"/>
  <c r="I22" i="5"/>
  <c r="H22" i="5"/>
  <c r="G22" i="5"/>
  <c r="F22" i="5"/>
  <c r="E22" i="5"/>
  <c r="D22" i="5"/>
  <c r="C22" i="5"/>
  <c r="AK21" i="5"/>
  <c r="AF21" i="5"/>
  <c r="AE21" i="5"/>
  <c r="AD21" i="5"/>
  <c r="AC21" i="5"/>
  <c r="AB21" i="5"/>
  <c r="AA21" i="5"/>
  <c r="Z21" i="5"/>
  <c r="Y21" i="5"/>
  <c r="X21" i="5"/>
  <c r="W21" i="5"/>
  <c r="V21" i="5"/>
  <c r="U21" i="5"/>
  <c r="T21" i="5"/>
  <c r="S21" i="5"/>
  <c r="R21" i="5"/>
  <c r="Q21" i="5"/>
  <c r="P21" i="5"/>
  <c r="O21" i="5"/>
  <c r="N21" i="5"/>
  <c r="M21" i="5"/>
  <c r="L21" i="5"/>
  <c r="K21" i="5"/>
  <c r="J21" i="5"/>
  <c r="I21" i="5"/>
  <c r="H21" i="5"/>
  <c r="G21" i="5"/>
  <c r="F21" i="5"/>
  <c r="E21" i="5"/>
  <c r="D21" i="5"/>
  <c r="C21" i="5"/>
  <c r="AK20" i="5"/>
  <c r="AF20" i="5"/>
  <c r="AE20" i="5"/>
  <c r="AD20" i="5"/>
  <c r="AC20" i="5"/>
  <c r="AB20" i="5"/>
  <c r="AA20" i="5"/>
  <c r="Z20" i="5"/>
  <c r="Y20" i="5"/>
  <c r="X20" i="5"/>
  <c r="W20" i="5"/>
  <c r="V20" i="5"/>
  <c r="U20" i="5"/>
  <c r="T20" i="5"/>
  <c r="S20" i="5"/>
  <c r="R20" i="5"/>
  <c r="Q20" i="5"/>
  <c r="P20" i="5"/>
  <c r="O20" i="5"/>
  <c r="N20" i="5"/>
  <c r="M20" i="5"/>
  <c r="L20" i="5"/>
  <c r="K20" i="5"/>
  <c r="J20" i="5"/>
  <c r="I20" i="5"/>
  <c r="H20" i="5"/>
  <c r="G20" i="5"/>
  <c r="F20" i="5"/>
  <c r="E20" i="5"/>
  <c r="D20" i="5"/>
  <c r="C20" i="5"/>
  <c r="AK19" i="5"/>
  <c r="AF19" i="5"/>
  <c r="AE19" i="5"/>
  <c r="AD19" i="5"/>
  <c r="AC19" i="5"/>
  <c r="AB19" i="5"/>
  <c r="AA19" i="5"/>
  <c r="Z19" i="5"/>
  <c r="Y19" i="5"/>
  <c r="X19" i="5"/>
  <c r="W19" i="5"/>
  <c r="V19" i="5"/>
  <c r="U19" i="5"/>
  <c r="T19" i="5"/>
  <c r="S19" i="5"/>
  <c r="R19" i="5"/>
  <c r="Q19" i="5"/>
  <c r="P19" i="5"/>
  <c r="O19" i="5"/>
  <c r="N19" i="5"/>
  <c r="M19" i="5"/>
  <c r="L19" i="5"/>
  <c r="K19" i="5"/>
  <c r="J19" i="5"/>
  <c r="I19" i="5"/>
  <c r="H19" i="5"/>
  <c r="G19" i="5"/>
  <c r="F19" i="5"/>
  <c r="E19" i="5"/>
  <c r="D19" i="5"/>
  <c r="C19" i="5"/>
  <c r="AK18" i="5"/>
  <c r="AF18" i="5"/>
  <c r="AE18" i="5"/>
  <c r="AD18" i="5"/>
  <c r="AC18" i="5"/>
  <c r="AB18" i="5"/>
  <c r="AA18" i="5"/>
  <c r="Z18" i="5"/>
  <c r="Y18" i="5"/>
  <c r="X18" i="5"/>
  <c r="W18" i="5"/>
  <c r="V18" i="5"/>
  <c r="U18" i="5"/>
  <c r="T18" i="5"/>
  <c r="S18" i="5"/>
  <c r="R18" i="5"/>
  <c r="Q18" i="5"/>
  <c r="P18" i="5"/>
  <c r="O18" i="5"/>
  <c r="N18" i="5"/>
  <c r="M18" i="5"/>
  <c r="L18" i="5"/>
  <c r="K18" i="5"/>
  <c r="J18" i="5"/>
  <c r="I18" i="5"/>
  <c r="H18" i="5"/>
  <c r="G18" i="5"/>
  <c r="F18" i="5"/>
  <c r="E18" i="5"/>
  <c r="D18" i="5"/>
  <c r="C18" i="5"/>
  <c r="AK17" i="5"/>
  <c r="AF17" i="5"/>
  <c r="AE17" i="5"/>
  <c r="AD17" i="5"/>
  <c r="AC17" i="5"/>
  <c r="AB17" i="5"/>
  <c r="AA17" i="5"/>
  <c r="Z17" i="5"/>
  <c r="Y17" i="5"/>
  <c r="X17" i="5"/>
  <c r="W17" i="5"/>
  <c r="V17" i="5"/>
  <c r="U17" i="5"/>
  <c r="T17" i="5"/>
  <c r="S17" i="5"/>
  <c r="R17" i="5"/>
  <c r="Q17" i="5"/>
  <c r="P17" i="5"/>
  <c r="O17" i="5"/>
  <c r="N17" i="5"/>
  <c r="M17" i="5"/>
  <c r="L17" i="5"/>
  <c r="K17" i="5"/>
  <c r="J17" i="5"/>
  <c r="I17" i="5"/>
  <c r="H17" i="5"/>
  <c r="G17" i="5"/>
  <c r="F17" i="5"/>
  <c r="E17" i="5"/>
  <c r="D17" i="5"/>
  <c r="C17" i="5"/>
  <c r="AK16" i="5"/>
  <c r="AF16" i="5"/>
  <c r="AE16" i="5"/>
  <c r="AD16" i="5"/>
  <c r="AC16" i="5"/>
  <c r="AB16" i="5"/>
  <c r="AA16" i="5"/>
  <c r="Z16" i="5"/>
  <c r="Y16" i="5"/>
  <c r="X16" i="5"/>
  <c r="W16" i="5"/>
  <c r="V16" i="5"/>
  <c r="U16" i="5"/>
  <c r="T16" i="5"/>
  <c r="S16" i="5"/>
  <c r="R16" i="5"/>
  <c r="Q16" i="5"/>
  <c r="P16" i="5"/>
  <c r="O16" i="5"/>
  <c r="N16" i="5"/>
  <c r="M16" i="5"/>
  <c r="L16" i="5"/>
  <c r="K16" i="5"/>
  <c r="J16" i="5"/>
  <c r="I16" i="5"/>
  <c r="H16" i="5"/>
  <c r="G16" i="5"/>
  <c r="F16" i="5"/>
  <c r="E16" i="5"/>
  <c r="D16" i="5"/>
  <c r="C16" i="5"/>
  <c r="AK15" i="5"/>
  <c r="AF15" i="5"/>
  <c r="AE15" i="5"/>
  <c r="AD15" i="5"/>
  <c r="AC15" i="5"/>
  <c r="AB15" i="5"/>
  <c r="AA15" i="5"/>
  <c r="Z15" i="5"/>
  <c r="Y15" i="5"/>
  <c r="X15" i="5"/>
  <c r="W15" i="5"/>
  <c r="V15" i="5"/>
  <c r="U15" i="5"/>
  <c r="T15" i="5"/>
  <c r="S15" i="5"/>
  <c r="R15" i="5"/>
  <c r="Q15" i="5"/>
  <c r="P15" i="5"/>
  <c r="O15" i="5"/>
  <c r="N15" i="5"/>
  <c r="M15" i="5"/>
  <c r="L15" i="5"/>
  <c r="K15" i="5"/>
  <c r="J15" i="5"/>
  <c r="I15" i="5"/>
  <c r="H15" i="5"/>
  <c r="G15" i="5"/>
  <c r="F15" i="5"/>
  <c r="E15" i="5"/>
  <c r="D15" i="5"/>
  <c r="C15" i="5"/>
  <c r="AK14" i="5"/>
  <c r="AF14" i="5"/>
  <c r="AE14" i="5"/>
  <c r="AD14" i="5"/>
  <c r="AC14" i="5"/>
  <c r="AB14" i="5"/>
  <c r="AA14" i="5"/>
  <c r="Z14" i="5"/>
  <c r="Y14" i="5"/>
  <c r="X14" i="5"/>
  <c r="W14" i="5"/>
  <c r="V14" i="5"/>
  <c r="U14" i="5"/>
  <c r="T14" i="5"/>
  <c r="S14" i="5"/>
  <c r="R14" i="5"/>
  <c r="Q14" i="5"/>
  <c r="P14" i="5"/>
  <c r="O14" i="5"/>
  <c r="N14" i="5"/>
  <c r="M14" i="5"/>
  <c r="L14" i="5"/>
  <c r="K14" i="5"/>
  <c r="J14" i="5"/>
  <c r="I14" i="5"/>
  <c r="H14" i="5"/>
  <c r="G14" i="5"/>
  <c r="F14" i="5"/>
  <c r="E14" i="5"/>
  <c r="D14" i="5"/>
  <c r="C14" i="5"/>
  <c r="AK13" i="5"/>
  <c r="AF13" i="5"/>
  <c r="AE13" i="5"/>
  <c r="AD13" i="5"/>
  <c r="AC13" i="5"/>
  <c r="AB13" i="5"/>
  <c r="AA13" i="5"/>
  <c r="Z13" i="5"/>
  <c r="Y13" i="5"/>
  <c r="X13" i="5"/>
  <c r="W13" i="5"/>
  <c r="V13" i="5"/>
  <c r="U13" i="5"/>
  <c r="T13" i="5"/>
  <c r="S13" i="5"/>
  <c r="R13" i="5"/>
  <c r="Q13" i="5"/>
  <c r="P13" i="5"/>
  <c r="O13" i="5"/>
  <c r="N13" i="5"/>
  <c r="M13" i="5"/>
  <c r="L13" i="5"/>
  <c r="K13" i="5"/>
  <c r="J13" i="5"/>
  <c r="I13" i="5"/>
  <c r="H13" i="5"/>
  <c r="G13" i="5"/>
  <c r="F13" i="5"/>
  <c r="E13" i="5"/>
  <c r="D13" i="5"/>
  <c r="C13" i="5"/>
  <c r="AK12" i="5"/>
  <c r="AF12" i="5"/>
  <c r="AE12" i="5"/>
  <c r="AD12" i="5"/>
  <c r="AC12" i="5"/>
  <c r="AB12" i="5"/>
  <c r="AA12" i="5"/>
  <c r="Z12" i="5"/>
  <c r="Y12" i="5"/>
  <c r="X12" i="5"/>
  <c r="W12" i="5"/>
  <c r="V12" i="5"/>
  <c r="U12" i="5"/>
  <c r="T12" i="5"/>
  <c r="S12" i="5"/>
  <c r="R12" i="5"/>
  <c r="Q12" i="5"/>
  <c r="P12" i="5"/>
  <c r="O12" i="5"/>
  <c r="N12" i="5"/>
  <c r="M12" i="5"/>
  <c r="L12" i="5"/>
  <c r="K12" i="5"/>
  <c r="J12" i="5"/>
  <c r="I12" i="5"/>
  <c r="H12" i="5"/>
  <c r="G12" i="5"/>
  <c r="F12" i="5"/>
  <c r="E12" i="5"/>
  <c r="D12" i="5"/>
  <c r="C12" i="5"/>
  <c r="AK11" i="5"/>
  <c r="AF11" i="5"/>
  <c r="AE11" i="5"/>
  <c r="AD11" i="5"/>
  <c r="AC11" i="5"/>
  <c r="AB11" i="5"/>
  <c r="AA11" i="5"/>
  <c r="Z11" i="5"/>
  <c r="Y11" i="5"/>
  <c r="X11" i="5"/>
  <c r="W11" i="5"/>
  <c r="V11" i="5"/>
  <c r="U11" i="5"/>
  <c r="T11" i="5"/>
  <c r="S11" i="5"/>
  <c r="R11" i="5"/>
  <c r="Q11" i="5"/>
  <c r="P11" i="5"/>
  <c r="O11" i="5"/>
  <c r="N11" i="5"/>
  <c r="M11" i="5"/>
  <c r="L11" i="5"/>
  <c r="K11" i="5"/>
  <c r="J11" i="5"/>
  <c r="I11" i="5"/>
  <c r="H11" i="5"/>
  <c r="G11" i="5"/>
  <c r="F11" i="5"/>
  <c r="E11" i="5"/>
  <c r="D11" i="5"/>
  <c r="C11" i="5"/>
  <c r="AK10" i="5"/>
  <c r="AF10" i="5"/>
  <c r="AE10" i="5"/>
  <c r="AD10" i="5"/>
  <c r="AC10" i="5"/>
  <c r="AB10" i="5"/>
  <c r="AA10" i="5"/>
  <c r="Z10" i="5"/>
  <c r="Y10" i="5"/>
  <c r="X10" i="5"/>
  <c r="W10" i="5"/>
  <c r="V10" i="5"/>
  <c r="U10" i="5"/>
  <c r="T10" i="5"/>
  <c r="S10" i="5"/>
  <c r="R10" i="5"/>
  <c r="Q10" i="5"/>
  <c r="P10" i="5"/>
  <c r="O10" i="5"/>
  <c r="N10" i="5"/>
  <c r="M10" i="5"/>
  <c r="L10" i="5"/>
  <c r="K10" i="5"/>
  <c r="J10" i="5"/>
  <c r="I10" i="5"/>
  <c r="H10" i="5"/>
  <c r="G10" i="5"/>
  <c r="F10" i="5"/>
  <c r="E10" i="5"/>
  <c r="D10" i="5"/>
  <c r="C10" i="5"/>
  <c r="AK9" i="5"/>
  <c r="AF9" i="5"/>
  <c r="AE9" i="5"/>
  <c r="AD9" i="5"/>
  <c r="AC9" i="5"/>
  <c r="AB9" i="5"/>
  <c r="AA9" i="5"/>
  <c r="Z9" i="5"/>
  <c r="Y9" i="5"/>
  <c r="X9" i="5"/>
  <c r="W9" i="5"/>
  <c r="V9" i="5"/>
  <c r="U9" i="5"/>
  <c r="T9" i="5"/>
  <c r="S9" i="5"/>
  <c r="R9" i="5"/>
  <c r="Q9" i="5"/>
  <c r="P9" i="5"/>
  <c r="O9" i="5"/>
  <c r="N9" i="5"/>
  <c r="M9" i="5"/>
  <c r="L9" i="5"/>
  <c r="K9" i="5"/>
  <c r="J9" i="5"/>
  <c r="I9" i="5"/>
  <c r="H9" i="5"/>
  <c r="G9" i="5"/>
  <c r="F9" i="5"/>
  <c r="E9" i="5"/>
  <c r="D9" i="5"/>
  <c r="C9" i="5"/>
  <c r="AK8" i="5"/>
  <c r="AF8" i="5"/>
  <c r="AE8" i="5"/>
  <c r="AD8" i="5"/>
  <c r="AC8" i="5"/>
  <c r="AB8" i="5"/>
  <c r="AA8" i="5"/>
  <c r="Z8" i="5"/>
  <c r="Y8" i="5"/>
  <c r="X8" i="5"/>
  <c r="W8" i="5"/>
  <c r="V8" i="5"/>
  <c r="U8" i="5"/>
  <c r="T8" i="5"/>
  <c r="S8" i="5"/>
  <c r="R8" i="5"/>
  <c r="Q8" i="5"/>
  <c r="P8" i="5"/>
  <c r="O8" i="5"/>
  <c r="N8" i="5"/>
  <c r="M8" i="5"/>
  <c r="L8" i="5"/>
  <c r="K8" i="5"/>
  <c r="J8" i="5"/>
  <c r="I8" i="5"/>
  <c r="H8" i="5"/>
  <c r="G8" i="5"/>
  <c r="F8" i="5"/>
  <c r="E8" i="5"/>
  <c r="D8" i="5"/>
  <c r="C8" i="5"/>
  <c r="AK7" i="5"/>
  <c r="AF7" i="5"/>
  <c r="AE7" i="5"/>
  <c r="AD7" i="5"/>
  <c r="AC7" i="5"/>
  <c r="AB7" i="5"/>
  <c r="AA7" i="5"/>
  <c r="Z7" i="5"/>
  <c r="Y7" i="5"/>
  <c r="X7" i="5"/>
  <c r="W7" i="5"/>
  <c r="V7" i="5"/>
  <c r="U7" i="5"/>
  <c r="T7" i="5"/>
  <c r="S7" i="5"/>
  <c r="R7" i="5"/>
  <c r="Q7" i="5"/>
  <c r="P7" i="5"/>
  <c r="O7" i="5"/>
  <c r="N7" i="5"/>
  <c r="M7" i="5"/>
  <c r="L7" i="5"/>
  <c r="K7" i="5"/>
  <c r="J7" i="5"/>
  <c r="I7" i="5"/>
  <c r="H7" i="5"/>
  <c r="G7" i="5"/>
  <c r="F7" i="5"/>
  <c r="E7" i="5"/>
  <c r="D7" i="5"/>
  <c r="C7" i="5"/>
  <c r="AK6" i="5"/>
  <c r="AF6" i="5"/>
  <c r="AE6" i="5"/>
  <c r="AD6" i="5"/>
  <c r="AC6" i="5"/>
  <c r="AB6" i="5"/>
  <c r="AA6" i="5"/>
  <c r="Z6" i="5"/>
  <c r="Y6" i="5"/>
  <c r="X6" i="5"/>
  <c r="W6" i="5"/>
  <c r="V6" i="5"/>
  <c r="U6" i="5"/>
  <c r="T6" i="5"/>
  <c r="S6" i="5"/>
  <c r="R6" i="5"/>
  <c r="Q6" i="5"/>
  <c r="P6" i="5"/>
  <c r="O6" i="5"/>
  <c r="N6" i="5"/>
  <c r="M6" i="5"/>
  <c r="L6" i="5"/>
  <c r="K6" i="5"/>
  <c r="J6" i="5"/>
  <c r="I6" i="5"/>
  <c r="H6" i="5"/>
  <c r="G6" i="5"/>
  <c r="F6" i="5"/>
  <c r="E6" i="5"/>
  <c r="D6" i="5"/>
  <c r="C6" i="5"/>
  <c r="AK5" i="5"/>
  <c r="AF5" i="5"/>
  <c r="AE5" i="5"/>
  <c r="AD5" i="5"/>
  <c r="AC5" i="5"/>
  <c r="AB5" i="5"/>
  <c r="AA5" i="5"/>
  <c r="Z5" i="5"/>
  <c r="Y5" i="5"/>
  <c r="X5" i="5"/>
  <c r="W5" i="5"/>
  <c r="V5" i="5"/>
  <c r="U5" i="5"/>
  <c r="T5" i="5"/>
  <c r="S5" i="5"/>
  <c r="R5" i="5"/>
  <c r="Q5" i="5"/>
  <c r="P5" i="5"/>
  <c r="O5" i="5"/>
  <c r="N5" i="5"/>
  <c r="M5" i="5"/>
  <c r="L5" i="5"/>
  <c r="K5" i="5"/>
  <c r="J5" i="5"/>
  <c r="I5" i="5"/>
  <c r="H5" i="5"/>
  <c r="G5" i="5"/>
  <c r="F5" i="5"/>
  <c r="E5" i="5"/>
  <c r="D5" i="5"/>
  <c r="C5" i="5"/>
  <c r="AK4" i="5"/>
  <c r="AF4" i="5"/>
  <c r="AE4" i="5"/>
  <c r="AD4" i="5"/>
  <c r="AC4" i="5"/>
  <c r="AB4" i="5"/>
  <c r="AA4" i="5"/>
  <c r="Z4" i="5"/>
  <c r="Y4" i="5"/>
  <c r="X4" i="5"/>
  <c r="W4" i="5"/>
  <c r="V4" i="5"/>
  <c r="U4" i="5"/>
  <c r="T4" i="5"/>
  <c r="S4" i="5"/>
  <c r="R4" i="5"/>
  <c r="Q4" i="5"/>
  <c r="P4" i="5"/>
  <c r="O4" i="5"/>
  <c r="N4" i="5"/>
  <c r="M4" i="5"/>
  <c r="L4" i="5"/>
  <c r="K4" i="5"/>
  <c r="J4" i="5"/>
  <c r="I4" i="5"/>
  <c r="H4" i="5"/>
  <c r="G4" i="5"/>
  <c r="F4" i="5"/>
  <c r="E4" i="5"/>
  <c r="D4" i="5"/>
  <c r="C4" i="5"/>
  <c r="AP3" i="5"/>
  <c r="AP4" i="5" s="1"/>
  <c r="AK3" i="5"/>
  <c r="AF3" i="5"/>
  <c r="AE3" i="5"/>
  <c r="AD3" i="5"/>
  <c r="AC3" i="5"/>
  <c r="AB3" i="5"/>
  <c r="AA3" i="5"/>
  <c r="Z3" i="5"/>
  <c r="Y3" i="5"/>
  <c r="X3" i="5"/>
  <c r="W3" i="5"/>
  <c r="V3" i="5"/>
  <c r="U3" i="5"/>
  <c r="T3" i="5"/>
  <c r="S3" i="5"/>
  <c r="R3" i="5"/>
  <c r="Q3" i="5"/>
  <c r="P3" i="5"/>
  <c r="O3" i="5"/>
  <c r="N3" i="5"/>
  <c r="M3" i="5"/>
  <c r="L3" i="5"/>
  <c r="K3" i="5"/>
  <c r="J3" i="5"/>
  <c r="I3" i="5"/>
  <c r="H3" i="5"/>
  <c r="G3" i="5"/>
  <c r="F3" i="5"/>
  <c r="E3" i="5"/>
  <c r="D3" i="5"/>
  <c r="C3" i="5"/>
  <c r="AK57" i="4"/>
  <c r="AG57" i="4"/>
  <c r="AF57" i="4"/>
  <c r="AE57" i="4"/>
  <c r="AD57" i="4"/>
  <c r="AC57" i="4"/>
  <c r="AB57" i="4"/>
  <c r="AA57" i="4"/>
  <c r="Z57" i="4"/>
  <c r="Y57" i="4"/>
  <c r="X57" i="4"/>
  <c r="W57" i="4"/>
  <c r="V57" i="4"/>
  <c r="U57" i="4"/>
  <c r="T57" i="4"/>
  <c r="S57" i="4"/>
  <c r="R57" i="4"/>
  <c r="Q57" i="4"/>
  <c r="P57" i="4"/>
  <c r="O57" i="4"/>
  <c r="N57" i="4"/>
  <c r="M57" i="4"/>
  <c r="L57" i="4"/>
  <c r="K57" i="4"/>
  <c r="J57" i="4"/>
  <c r="I57" i="4"/>
  <c r="H57" i="4"/>
  <c r="G57" i="4"/>
  <c r="F57" i="4"/>
  <c r="E57" i="4"/>
  <c r="D57" i="4"/>
  <c r="C57" i="4"/>
  <c r="AK56" i="4"/>
  <c r="AG56" i="4"/>
  <c r="AF56" i="4"/>
  <c r="AE56" i="4"/>
  <c r="AD56" i="4"/>
  <c r="AC56" i="4"/>
  <c r="AB56" i="4"/>
  <c r="AA56" i="4"/>
  <c r="Z56" i="4"/>
  <c r="Y56" i="4"/>
  <c r="X56" i="4"/>
  <c r="W56" i="4"/>
  <c r="V56" i="4"/>
  <c r="U56" i="4"/>
  <c r="T56" i="4"/>
  <c r="S56" i="4"/>
  <c r="R56" i="4"/>
  <c r="Q56" i="4"/>
  <c r="P56" i="4"/>
  <c r="O56" i="4"/>
  <c r="N56" i="4"/>
  <c r="M56" i="4"/>
  <c r="L56" i="4"/>
  <c r="K56" i="4"/>
  <c r="J56" i="4"/>
  <c r="I56" i="4"/>
  <c r="H56" i="4"/>
  <c r="G56" i="4"/>
  <c r="F56" i="4"/>
  <c r="E56" i="4"/>
  <c r="D56" i="4"/>
  <c r="C56" i="4"/>
  <c r="AK55" i="4"/>
  <c r="AG55" i="4"/>
  <c r="AF55" i="4"/>
  <c r="AE55" i="4"/>
  <c r="AD55" i="4"/>
  <c r="AC55" i="4"/>
  <c r="AB55" i="4"/>
  <c r="AA55" i="4"/>
  <c r="Z55" i="4"/>
  <c r="Y55" i="4"/>
  <c r="X55" i="4"/>
  <c r="W55" i="4"/>
  <c r="V55" i="4"/>
  <c r="U55" i="4"/>
  <c r="T55" i="4"/>
  <c r="S55" i="4"/>
  <c r="R55" i="4"/>
  <c r="Q55" i="4"/>
  <c r="P55" i="4"/>
  <c r="O55" i="4"/>
  <c r="N55" i="4"/>
  <c r="M55" i="4"/>
  <c r="L55" i="4"/>
  <c r="K55" i="4"/>
  <c r="J55" i="4"/>
  <c r="I55" i="4"/>
  <c r="H55" i="4"/>
  <c r="G55" i="4"/>
  <c r="F55" i="4"/>
  <c r="E55" i="4"/>
  <c r="D55" i="4"/>
  <c r="C55" i="4"/>
  <c r="AK54" i="4"/>
  <c r="AG54" i="4"/>
  <c r="AF54" i="4"/>
  <c r="AE54" i="4"/>
  <c r="AD54" i="4"/>
  <c r="AC54" i="4"/>
  <c r="AB54" i="4"/>
  <c r="AA54" i="4"/>
  <c r="Z54" i="4"/>
  <c r="Y54" i="4"/>
  <c r="X54" i="4"/>
  <c r="W54" i="4"/>
  <c r="V54" i="4"/>
  <c r="U54" i="4"/>
  <c r="T54" i="4"/>
  <c r="S54" i="4"/>
  <c r="R54" i="4"/>
  <c r="Q54" i="4"/>
  <c r="P54" i="4"/>
  <c r="O54" i="4"/>
  <c r="N54" i="4"/>
  <c r="M54" i="4"/>
  <c r="L54" i="4"/>
  <c r="K54" i="4"/>
  <c r="J54" i="4"/>
  <c r="I54" i="4"/>
  <c r="H54" i="4"/>
  <c r="G54" i="4"/>
  <c r="F54" i="4"/>
  <c r="E54" i="4"/>
  <c r="D54" i="4"/>
  <c r="C54" i="4"/>
  <c r="AK53" i="4"/>
  <c r="AG53" i="4"/>
  <c r="AF53" i="4"/>
  <c r="AE53" i="4"/>
  <c r="AD53" i="4"/>
  <c r="AC53" i="4"/>
  <c r="AB53" i="4"/>
  <c r="AA53" i="4"/>
  <c r="Z53" i="4"/>
  <c r="Y53" i="4"/>
  <c r="X53" i="4"/>
  <c r="W53" i="4"/>
  <c r="V53" i="4"/>
  <c r="U53" i="4"/>
  <c r="T53" i="4"/>
  <c r="S53" i="4"/>
  <c r="R53" i="4"/>
  <c r="Q53" i="4"/>
  <c r="P53" i="4"/>
  <c r="O53" i="4"/>
  <c r="N53" i="4"/>
  <c r="M53" i="4"/>
  <c r="L53" i="4"/>
  <c r="K53" i="4"/>
  <c r="J53" i="4"/>
  <c r="I53" i="4"/>
  <c r="H53" i="4"/>
  <c r="G53" i="4"/>
  <c r="F53" i="4"/>
  <c r="E53" i="4"/>
  <c r="D53" i="4"/>
  <c r="C53" i="4"/>
  <c r="AK52" i="4"/>
  <c r="AG52" i="4"/>
  <c r="AF52" i="4"/>
  <c r="AE52" i="4"/>
  <c r="AD52" i="4"/>
  <c r="AC52" i="4"/>
  <c r="AB52" i="4"/>
  <c r="AA52" i="4"/>
  <c r="Z52" i="4"/>
  <c r="Y52" i="4"/>
  <c r="X52" i="4"/>
  <c r="W52" i="4"/>
  <c r="V52" i="4"/>
  <c r="U52" i="4"/>
  <c r="T52" i="4"/>
  <c r="S52" i="4"/>
  <c r="R52" i="4"/>
  <c r="Q52" i="4"/>
  <c r="P52" i="4"/>
  <c r="O52" i="4"/>
  <c r="N52" i="4"/>
  <c r="M52" i="4"/>
  <c r="L52" i="4"/>
  <c r="K52" i="4"/>
  <c r="J52" i="4"/>
  <c r="I52" i="4"/>
  <c r="H52" i="4"/>
  <c r="G52" i="4"/>
  <c r="F52" i="4"/>
  <c r="E52" i="4"/>
  <c r="D52" i="4"/>
  <c r="C52" i="4"/>
  <c r="AK51" i="4"/>
  <c r="AG51" i="4"/>
  <c r="AF51" i="4"/>
  <c r="AE51" i="4"/>
  <c r="AD51" i="4"/>
  <c r="AC51" i="4"/>
  <c r="AB51" i="4"/>
  <c r="AA51" i="4"/>
  <c r="Z51" i="4"/>
  <c r="Y51" i="4"/>
  <c r="X51" i="4"/>
  <c r="W51" i="4"/>
  <c r="V51" i="4"/>
  <c r="U51" i="4"/>
  <c r="T51" i="4"/>
  <c r="S51" i="4"/>
  <c r="R51" i="4"/>
  <c r="Q51" i="4"/>
  <c r="P51" i="4"/>
  <c r="O51" i="4"/>
  <c r="N51" i="4"/>
  <c r="M51" i="4"/>
  <c r="L51" i="4"/>
  <c r="K51" i="4"/>
  <c r="J51" i="4"/>
  <c r="I51" i="4"/>
  <c r="H51" i="4"/>
  <c r="G51" i="4"/>
  <c r="F51" i="4"/>
  <c r="E51" i="4"/>
  <c r="D51" i="4"/>
  <c r="C51" i="4"/>
  <c r="AK50" i="4"/>
  <c r="AG50" i="4"/>
  <c r="AF50" i="4"/>
  <c r="AE50" i="4"/>
  <c r="AD50" i="4"/>
  <c r="AC50" i="4"/>
  <c r="AB50" i="4"/>
  <c r="AA50" i="4"/>
  <c r="Z50" i="4"/>
  <c r="Y50" i="4"/>
  <c r="X50" i="4"/>
  <c r="W50" i="4"/>
  <c r="V50" i="4"/>
  <c r="U50" i="4"/>
  <c r="T50" i="4"/>
  <c r="S50" i="4"/>
  <c r="R50" i="4"/>
  <c r="Q50" i="4"/>
  <c r="P50" i="4"/>
  <c r="O50" i="4"/>
  <c r="N50" i="4"/>
  <c r="M50" i="4"/>
  <c r="L50" i="4"/>
  <c r="K50" i="4"/>
  <c r="J50" i="4"/>
  <c r="I50" i="4"/>
  <c r="H50" i="4"/>
  <c r="G50" i="4"/>
  <c r="F50" i="4"/>
  <c r="E50" i="4"/>
  <c r="D50" i="4"/>
  <c r="C50" i="4"/>
  <c r="AK49" i="4"/>
  <c r="AG49" i="4"/>
  <c r="AF49" i="4"/>
  <c r="AE49" i="4"/>
  <c r="AD49" i="4"/>
  <c r="AC49" i="4"/>
  <c r="AB49" i="4"/>
  <c r="AA49" i="4"/>
  <c r="Z49" i="4"/>
  <c r="Y49" i="4"/>
  <c r="X49" i="4"/>
  <c r="W49" i="4"/>
  <c r="V49" i="4"/>
  <c r="U49" i="4"/>
  <c r="T49" i="4"/>
  <c r="S49" i="4"/>
  <c r="R49" i="4"/>
  <c r="Q49" i="4"/>
  <c r="P49" i="4"/>
  <c r="O49" i="4"/>
  <c r="N49" i="4"/>
  <c r="M49" i="4"/>
  <c r="L49" i="4"/>
  <c r="K49" i="4"/>
  <c r="J49" i="4"/>
  <c r="I49" i="4"/>
  <c r="H49" i="4"/>
  <c r="G49" i="4"/>
  <c r="F49" i="4"/>
  <c r="E49" i="4"/>
  <c r="D49" i="4"/>
  <c r="C49" i="4"/>
  <c r="AK48" i="4"/>
  <c r="AG48" i="4"/>
  <c r="AF48" i="4"/>
  <c r="AE48" i="4"/>
  <c r="AD48" i="4"/>
  <c r="AC48" i="4"/>
  <c r="AB48" i="4"/>
  <c r="AA48" i="4"/>
  <c r="Z48" i="4"/>
  <c r="Y48" i="4"/>
  <c r="X48" i="4"/>
  <c r="W48" i="4"/>
  <c r="V48" i="4"/>
  <c r="U48" i="4"/>
  <c r="T48" i="4"/>
  <c r="S48" i="4"/>
  <c r="R48" i="4"/>
  <c r="Q48" i="4"/>
  <c r="P48" i="4"/>
  <c r="O48" i="4"/>
  <c r="N48" i="4"/>
  <c r="M48" i="4"/>
  <c r="L48" i="4"/>
  <c r="K48" i="4"/>
  <c r="J48" i="4"/>
  <c r="I48" i="4"/>
  <c r="H48" i="4"/>
  <c r="G48" i="4"/>
  <c r="F48" i="4"/>
  <c r="E48" i="4"/>
  <c r="D48" i="4"/>
  <c r="C48" i="4"/>
  <c r="AK47" i="4"/>
  <c r="AG47" i="4"/>
  <c r="AF47" i="4"/>
  <c r="AE47" i="4"/>
  <c r="AD47" i="4"/>
  <c r="AC47" i="4"/>
  <c r="AB47" i="4"/>
  <c r="AA47" i="4"/>
  <c r="Z47" i="4"/>
  <c r="Y47" i="4"/>
  <c r="X47" i="4"/>
  <c r="W47" i="4"/>
  <c r="V47" i="4"/>
  <c r="U47" i="4"/>
  <c r="T47" i="4"/>
  <c r="S47" i="4"/>
  <c r="R47" i="4"/>
  <c r="Q47" i="4"/>
  <c r="P47" i="4"/>
  <c r="O47" i="4"/>
  <c r="N47" i="4"/>
  <c r="M47" i="4"/>
  <c r="L47" i="4"/>
  <c r="K47" i="4"/>
  <c r="J47" i="4"/>
  <c r="I47" i="4"/>
  <c r="H47" i="4"/>
  <c r="G47" i="4"/>
  <c r="F47" i="4"/>
  <c r="E47" i="4"/>
  <c r="D47" i="4"/>
  <c r="C47" i="4"/>
  <c r="AK46" i="4"/>
  <c r="AG46" i="4"/>
  <c r="AF46" i="4"/>
  <c r="AE46" i="4"/>
  <c r="AD46" i="4"/>
  <c r="AC46" i="4"/>
  <c r="AB46" i="4"/>
  <c r="AA46" i="4"/>
  <c r="Z46" i="4"/>
  <c r="Y46" i="4"/>
  <c r="X46" i="4"/>
  <c r="W46" i="4"/>
  <c r="V46" i="4"/>
  <c r="U46" i="4"/>
  <c r="T46" i="4"/>
  <c r="S46" i="4"/>
  <c r="R46" i="4"/>
  <c r="Q46" i="4"/>
  <c r="P46" i="4"/>
  <c r="O46" i="4"/>
  <c r="N46" i="4"/>
  <c r="M46" i="4"/>
  <c r="L46" i="4"/>
  <c r="K46" i="4"/>
  <c r="J46" i="4"/>
  <c r="I46" i="4"/>
  <c r="H46" i="4"/>
  <c r="G46" i="4"/>
  <c r="F46" i="4"/>
  <c r="E46" i="4"/>
  <c r="D46" i="4"/>
  <c r="C46" i="4"/>
  <c r="AK45" i="4"/>
  <c r="AG45" i="4"/>
  <c r="AF45" i="4"/>
  <c r="AE45" i="4"/>
  <c r="AD45" i="4"/>
  <c r="AC45" i="4"/>
  <c r="AB45" i="4"/>
  <c r="AA45" i="4"/>
  <c r="Z45" i="4"/>
  <c r="Y45" i="4"/>
  <c r="X45" i="4"/>
  <c r="W45" i="4"/>
  <c r="V45" i="4"/>
  <c r="U45" i="4"/>
  <c r="T45" i="4"/>
  <c r="S45" i="4"/>
  <c r="R45" i="4"/>
  <c r="Q45" i="4"/>
  <c r="P45" i="4"/>
  <c r="O45" i="4"/>
  <c r="N45" i="4"/>
  <c r="M45" i="4"/>
  <c r="L45" i="4"/>
  <c r="K45" i="4"/>
  <c r="J45" i="4"/>
  <c r="I45" i="4"/>
  <c r="H45" i="4"/>
  <c r="G45" i="4"/>
  <c r="F45" i="4"/>
  <c r="E45" i="4"/>
  <c r="D45" i="4"/>
  <c r="C45" i="4"/>
  <c r="AK44" i="4"/>
  <c r="AG44" i="4"/>
  <c r="AF44" i="4"/>
  <c r="AE44" i="4"/>
  <c r="AD44" i="4"/>
  <c r="AC44" i="4"/>
  <c r="AB44" i="4"/>
  <c r="AA44" i="4"/>
  <c r="Z44" i="4"/>
  <c r="Y44" i="4"/>
  <c r="X44" i="4"/>
  <c r="W44" i="4"/>
  <c r="V44" i="4"/>
  <c r="U44" i="4"/>
  <c r="T44" i="4"/>
  <c r="S44" i="4"/>
  <c r="R44" i="4"/>
  <c r="Q44" i="4"/>
  <c r="P44" i="4"/>
  <c r="O44" i="4"/>
  <c r="N44" i="4"/>
  <c r="M44" i="4"/>
  <c r="L44" i="4"/>
  <c r="K44" i="4"/>
  <c r="J44" i="4"/>
  <c r="I44" i="4"/>
  <c r="H44" i="4"/>
  <c r="G44" i="4"/>
  <c r="F44" i="4"/>
  <c r="E44" i="4"/>
  <c r="D44" i="4"/>
  <c r="C44" i="4"/>
  <c r="AK43" i="4"/>
  <c r="AG43" i="4"/>
  <c r="AF43" i="4"/>
  <c r="AE43" i="4"/>
  <c r="AD43" i="4"/>
  <c r="AC43" i="4"/>
  <c r="AB43" i="4"/>
  <c r="AA43" i="4"/>
  <c r="Z43" i="4"/>
  <c r="Y43" i="4"/>
  <c r="X43" i="4"/>
  <c r="W43" i="4"/>
  <c r="V43" i="4"/>
  <c r="U43" i="4"/>
  <c r="T43" i="4"/>
  <c r="S43" i="4"/>
  <c r="R43" i="4"/>
  <c r="Q43" i="4"/>
  <c r="P43" i="4"/>
  <c r="O43" i="4"/>
  <c r="N43" i="4"/>
  <c r="M43" i="4"/>
  <c r="L43" i="4"/>
  <c r="K43" i="4"/>
  <c r="J43" i="4"/>
  <c r="I43" i="4"/>
  <c r="H43" i="4"/>
  <c r="G43" i="4"/>
  <c r="F43" i="4"/>
  <c r="E43" i="4"/>
  <c r="D43" i="4"/>
  <c r="C43" i="4"/>
  <c r="AK42" i="4"/>
  <c r="AG42" i="4"/>
  <c r="AF42" i="4"/>
  <c r="AE42" i="4"/>
  <c r="AD42" i="4"/>
  <c r="AC42" i="4"/>
  <c r="AB42" i="4"/>
  <c r="AA42" i="4"/>
  <c r="Z42" i="4"/>
  <c r="Y42" i="4"/>
  <c r="X42" i="4"/>
  <c r="W42" i="4"/>
  <c r="V42" i="4"/>
  <c r="U42" i="4"/>
  <c r="T42" i="4"/>
  <c r="S42" i="4"/>
  <c r="R42" i="4"/>
  <c r="Q42" i="4"/>
  <c r="P42" i="4"/>
  <c r="O42" i="4"/>
  <c r="N42" i="4"/>
  <c r="M42" i="4"/>
  <c r="L42" i="4"/>
  <c r="K42" i="4"/>
  <c r="J42" i="4"/>
  <c r="I42" i="4"/>
  <c r="H42" i="4"/>
  <c r="G42" i="4"/>
  <c r="F42" i="4"/>
  <c r="E42" i="4"/>
  <c r="D42" i="4"/>
  <c r="C42" i="4"/>
  <c r="AK41" i="4"/>
  <c r="AG41" i="4"/>
  <c r="AF41" i="4"/>
  <c r="AE41" i="4"/>
  <c r="AD41" i="4"/>
  <c r="AC41" i="4"/>
  <c r="AB41" i="4"/>
  <c r="AA41" i="4"/>
  <c r="Z41" i="4"/>
  <c r="Y41" i="4"/>
  <c r="X41" i="4"/>
  <c r="W41" i="4"/>
  <c r="V41" i="4"/>
  <c r="U41" i="4"/>
  <c r="T41" i="4"/>
  <c r="S41" i="4"/>
  <c r="R41" i="4"/>
  <c r="Q41" i="4"/>
  <c r="P41" i="4"/>
  <c r="O41" i="4"/>
  <c r="N41" i="4"/>
  <c r="M41" i="4"/>
  <c r="L41" i="4"/>
  <c r="K41" i="4"/>
  <c r="J41" i="4"/>
  <c r="I41" i="4"/>
  <c r="H41" i="4"/>
  <c r="G41" i="4"/>
  <c r="F41" i="4"/>
  <c r="E41" i="4"/>
  <c r="D41" i="4"/>
  <c r="C41" i="4"/>
  <c r="AK40" i="4"/>
  <c r="AG40" i="4"/>
  <c r="AF40" i="4"/>
  <c r="AE40" i="4"/>
  <c r="AD40" i="4"/>
  <c r="AC40" i="4"/>
  <c r="AB40" i="4"/>
  <c r="AA40" i="4"/>
  <c r="Z40" i="4"/>
  <c r="Y40" i="4"/>
  <c r="X40" i="4"/>
  <c r="W40" i="4"/>
  <c r="V40" i="4"/>
  <c r="U40" i="4"/>
  <c r="T40" i="4"/>
  <c r="S40" i="4"/>
  <c r="R40" i="4"/>
  <c r="Q40" i="4"/>
  <c r="P40" i="4"/>
  <c r="O40" i="4"/>
  <c r="N40" i="4"/>
  <c r="M40" i="4"/>
  <c r="L40" i="4"/>
  <c r="K40" i="4"/>
  <c r="J40" i="4"/>
  <c r="I40" i="4"/>
  <c r="H40" i="4"/>
  <c r="G40" i="4"/>
  <c r="F40" i="4"/>
  <c r="E40" i="4"/>
  <c r="D40" i="4"/>
  <c r="C40" i="4"/>
  <c r="AK39" i="4"/>
  <c r="AG39" i="4"/>
  <c r="AF39" i="4"/>
  <c r="AE39" i="4"/>
  <c r="AD39" i="4"/>
  <c r="AC39" i="4"/>
  <c r="AB39" i="4"/>
  <c r="AA39" i="4"/>
  <c r="Z39" i="4"/>
  <c r="Y39" i="4"/>
  <c r="X39" i="4"/>
  <c r="W39" i="4"/>
  <c r="V39" i="4"/>
  <c r="U39" i="4"/>
  <c r="T39" i="4"/>
  <c r="S39" i="4"/>
  <c r="R39" i="4"/>
  <c r="Q39" i="4"/>
  <c r="P39" i="4"/>
  <c r="O39" i="4"/>
  <c r="N39" i="4"/>
  <c r="M39" i="4"/>
  <c r="L39" i="4"/>
  <c r="K39" i="4"/>
  <c r="J39" i="4"/>
  <c r="I39" i="4"/>
  <c r="H39" i="4"/>
  <c r="G39" i="4"/>
  <c r="F39" i="4"/>
  <c r="E39" i="4"/>
  <c r="D39" i="4"/>
  <c r="C39" i="4"/>
  <c r="AK38" i="4"/>
  <c r="AG38" i="4"/>
  <c r="AF38" i="4"/>
  <c r="AE38" i="4"/>
  <c r="AD38" i="4"/>
  <c r="AC38" i="4"/>
  <c r="AB38" i="4"/>
  <c r="AA38" i="4"/>
  <c r="Z38" i="4"/>
  <c r="Y38" i="4"/>
  <c r="X38" i="4"/>
  <c r="W38" i="4"/>
  <c r="V38" i="4"/>
  <c r="U38" i="4"/>
  <c r="T38" i="4"/>
  <c r="S38" i="4"/>
  <c r="R38" i="4"/>
  <c r="Q38" i="4"/>
  <c r="P38" i="4"/>
  <c r="O38" i="4"/>
  <c r="N38" i="4"/>
  <c r="M38" i="4"/>
  <c r="L38" i="4"/>
  <c r="K38" i="4"/>
  <c r="J38" i="4"/>
  <c r="I38" i="4"/>
  <c r="H38" i="4"/>
  <c r="G38" i="4"/>
  <c r="F38" i="4"/>
  <c r="E38" i="4"/>
  <c r="D38" i="4"/>
  <c r="C38" i="4"/>
  <c r="AK37" i="4"/>
  <c r="AG37" i="4"/>
  <c r="AF37" i="4"/>
  <c r="AE37" i="4"/>
  <c r="AD37" i="4"/>
  <c r="AC37" i="4"/>
  <c r="AB37" i="4"/>
  <c r="AA37" i="4"/>
  <c r="Z37" i="4"/>
  <c r="Y37" i="4"/>
  <c r="X37" i="4"/>
  <c r="W37" i="4"/>
  <c r="V37" i="4"/>
  <c r="U37" i="4"/>
  <c r="T37" i="4"/>
  <c r="S37" i="4"/>
  <c r="R37" i="4"/>
  <c r="Q37" i="4"/>
  <c r="P37" i="4"/>
  <c r="O37" i="4"/>
  <c r="N37" i="4"/>
  <c r="M37" i="4"/>
  <c r="L37" i="4"/>
  <c r="K37" i="4"/>
  <c r="J37" i="4"/>
  <c r="I37" i="4"/>
  <c r="H37" i="4"/>
  <c r="G37" i="4"/>
  <c r="F37" i="4"/>
  <c r="E37" i="4"/>
  <c r="D37" i="4"/>
  <c r="C37" i="4"/>
  <c r="AK36" i="4"/>
  <c r="AG36" i="4"/>
  <c r="AF36" i="4"/>
  <c r="AE36" i="4"/>
  <c r="AD36" i="4"/>
  <c r="AC36" i="4"/>
  <c r="AB36" i="4"/>
  <c r="AA36" i="4"/>
  <c r="Z36" i="4"/>
  <c r="Y36" i="4"/>
  <c r="X36" i="4"/>
  <c r="W36" i="4"/>
  <c r="V36" i="4"/>
  <c r="U36" i="4"/>
  <c r="T36" i="4"/>
  <c r="S36" i="4"/>
  <c r="R36" i="4"/>
  <c r="Q36" i="4"/>
  <c r="P36" i="4"/>
  <c r="O36" i="4"/>
  <c r="N36" i="4"/>
  <c r="M36" i="4"/>
  <c r="L36" i="4"/>
  <c r="K36" i="4"/>
  <c r="J36" i="4"/>
  <c r="I36" i="4"/>
  <c r="H36" i="4"/>
  <c r="G36" i="4"/>
  <c r="F36" i="4"/>
  <c r="E36" i="4"/>
  <c r="D36" i="4"/>
  <c r="C36" i="4"/>
  <c r="AK35" i="4"/>
  <c r="AG35" i="4"/>
  <c r="AF35" i="4"/>
  <c r="AE35" i="4"/>
  <c r="AD35" i="4"/>
  <c r="AC35" i="4"/>
  <c r="AB35" i="4"/>
  <c r="AA35" i="4"/>
  <c r="Z35" i="4"/>
  <c r="Y35" i="4"/>
  <c r="X35" i="4"/>
  <c r="W35" i="4"/>
  <c r="V35" i="4"/>
  <c r="U35" i="4"/>
  <c r="T35" i="4"/>
  <c r="S35" i="4"/>
  <c r="R35" i="4"/>
  <c r="Q35" i="4"/>
  <c r="P35" i="4"/>
  <c r="O35" i="4"/>
  <c r="N35" i="4"/>
  <c r="M35" i="4"/>
  <c r="L35" i="4"/>
  <c r="K35" i="4"/>
  <c r="J35" i="4"/>
  <c r="I35" i="4"/>
  <c r="H35" i="4"/>
  <c r="G35" i="4"/>
  <c r="F35" i="4"/>
  <c r="E35" i="4"/>
  <c r="D35" i="4"/>
  <c r="C35" i="4"/>
  <c r="AK34" i="4"/>
  <c r="AG34" i="4"/>
  <c r="AF34" i="4"/>
  <c r="AE34" i="4"/>
  <c r="AD34" i="4"/>
  <c r="AC34" i="4"/>
  <c r="AB34" i="4"/>
  <c r="AA34" i="4"/>
  <c r="Z34" i="4"/>
  <c r="Y34" i="4"/>
  <c r="X34" i="4"/>
  <c r="W34" i="4"/>
  <c r="V34" i="4"/>
  <c r="U34" i="4"/>
  <c r="T34" i="4"/>
  <c r="S34" i="4"/>
  <c r="R34" i="4"/>
  <c r="Q34" i="4"/>
  <c r="P34" i="4"/>
  <c r="O34" i="4"/>
  <c r="N34" i="4"/>
  <c r="M34" i="4"/>
  <c r="L34" i="4"/>
  <c r="K34" i="4"/>
  <c r="J34" i="4"/>
  <c r="I34" i="4"/>
  <c r="H34" i="4"/>
  <c r="G34" i="4"/>
  <c r="F34" i="4"/>
  <c r="E34" i="4"/>
  <c r="D34" i="4"/>
  <c r="C34" i="4"/>
  <c r="AK33" i="4"/>
  <c r="AG33" i="4"/>
  <c r="AF33" i="4"/>
  <c r="AE33" i="4"/>
  <c r="AD33" i="4"/>
  <c r="AC33" i="4"/>
  <c r="AB33" i="4"/>
  <c r="AA33" i="4"/>
  <c r="Z33" i="4"/>
  <c r="Y33" i="4"/>
  <c r="X33" i="4"/>
  <c r="W33" i="4"/>
  <c r="V33" i="4"/>
  <c r="U33" i="4"/>
  <c r="T33" i="4"/>
  <c r="S33" i="4"/>
  <c r="R33" i="4"/>
  <c r="Q33" i="4"/>
  <c r="P33" i="4"/>
  <c r="O33" i="4"/>
  <c r="N33" i="4"/>
  <c r="M33" i="4"/>
  <c r="L33" i="4"/>
  <c r="K33" i="4"/>
  <c r="J33" i="4"/>
  <c r="I33" i="4"/>
  <c r="H33" i="4"/>
  <c r="G33" i="4"/>
  <c r="F33" i="4"/>
  <c r="E33" i="4"/>
  <c r="D33" i="4"/>
  <c r="C33" i="4"/>
  <c r="AK32" i="4"/>
  <c r="AG32" i="4"/>
  <c r="AF32" i="4"/>
  <c r="AE32" i="4"/>
  <c r="AD32" i="4"/>
  <c r="AC32" i="4"/>
  <c r="AB32" i="4"/>
  <c r="AA32" i="4"/>
  <c r="Z32" i="4"/>
  <c r="Y32" i="4"/>
  <c r="X32" i="4"/>
  <c r="W32" i="4"/>
  <c r="V32" i="4"/>
  <c r="U32" i="4"/>
  <c r="T32" i="4"/>
  <c r="S32" i="4"/>
  <c r="R32" i="4"/>
  <c r="Q32" i="4"/>
  <c r="P32" i="4"/>
  <c r="O32" i="4"/>
  <c r="N32" i="4"/>
  <c r="M32" i="4"/>
  <c r="L32" i="4"/>
  <c r="K32" i="4"/>
  <c r="J32" i="4"/>
  <c r="I32" i="4"/>
  <c r="H32" i="4"/>
  <c r="G32" i="4"/>
  <c r="F32" i="4"/>
  <c r="E32" i="4"/>
  <c r="D32" i="4"/>
  <c r="C32" i="4"/>
  <c r="AK31" i="4"/>
  <c r="AG31" i="4"/>
  <c r="AF31" i="4"/>
  <c r="AE31" i="4"/>
  <c r="AD31" i="4"/>
  <c r="AC31" i="4"/>
  <c r="AB31" i="4"/>
  <c r="AA31" i="4"/>
  <c r="Z31" i="4"/>
  <c r="Y31" i="4"/>
  <c r="X31" i="4"/>
  <c r="W31" i="4"/>
  <c r="V31" i="4"/>
  <c r="U31" i="4"/>
  <c r="T31" i="4"/>
  <c r="S31" i="4"/>
  <c r="R31" i="4"/>
  <c r="Q31" i="4"/>
  <c r="P31" i="4"/>
  <c r="O31" i="4"/>
  <c r="N31" i="4"/>
  <c r="M31" i="4"/>
  <c r="L31" i="4"/>
  <c r="K31" i="4"/>
  <c r="J31" i="4"/>
  <c r="I31" i="4"/>
  <c r="H31" i="4"/>
  <c r="G31" i="4"/>
  <c r="F31" i="4"/>
  <c r="E31" i="4"/>
  <c r="D31" i="4"/>
  <c r="C31" i="4"/>
  <c r="AK30" i="4"/>
  <c r="AG30" i="4"/>
  <c r="AF30" i="4"/>
  <c r="AE30" i="4"/>
  <c r="AD30" i="4"/>
  <c r="AC30" i="4"/>
  <c r="AB30" i="4"/>
  <c r="AA30" i="4"/>
  <c r="Z30" i="4"/>
  <c r="Y30" i="4"/>
  <c r="X30" i="4"/>
  <c r="W30" i="4"/>
  <c r="V30" i="4"/>
  <c r="U30" i="4"/>
  <c r="T30" i="4"/>
  <c r="S30" i="4"/>
  <c r="R30" i="4"/>
  <c r="Q30" i="4"/>
  <c r="P30" i="4"/>
  <c r="O30" i="4"/>
  <c r="N30" i="4"/>
  <c r="M30" i="4"/>
  <c r="L30" i="4"/>
  <c r="K30" i="4"/>
  <c r="J30" i="4"/>
  <c r="I30" i="4"/>
  <c r="H30" i="4"/>
  <c r="G30" i="4"/>
  <c r="F30" i="4"/>
  <c r="E30" i="4"/>
  <c r="D30" i="4"/>
  <c r="C30" i="4"/>
  <c r="AK29" i="4"/>
  <c r="AG29" i="4"/>
  <c r="AF29" i="4"/>
  <c r="AE29" i="4"/>
  <c r="AD29" i="4"/>
  <c r="AC29" i="4"/>
  <c r="AB29" i="4"/>
  <c r="AA29" i="4"/>
  <c r="Z29" i="4"/>
  <c r="Y29" i="4"/>
  <c r="X29" i="4"/>
  <c r="W29" i="4"/>
  <c r="V29" i="4"/>
  <c r="U29" i="4"/>
  <c r="T29" i="4"/>
  <c r="S29" i="4"/>
  <c r="R29" i="4"/>
  <c r="Q29" i="4"/>
  <c r="P29" i="4"/>
  <c r="O29" i="4"/>
  <c r="N29" i="4"/>
  <c r="M29" i="4"/>
  <c r="L29" i="4"/>
  <c r="K29" i="4"/>
  <c r="J29" i="4"/>
  <c r="I29" i="4"/>
  <c r="H29" i="4"/>
  <c r="G29" i="4"/>
  <c r="F29" i="4"/>
  <c r="E29" i="4"/>
  <c r="D29" i="4"/>
  <c r="C29" i="4"/>
  <c r="AK28" i="4"/>
  <c r="AG28" i="4"/>
  <c r="AF28" i="4"/>
  <c r="AE28" i="4"/>
  <c r="AD28" i="4"/>
  <c r="AC28" i="4"/>
  <c r="AB28" i="4"/>
  <c r="AA28" i="4"/>
  <c r="Z28" i="4"/>
  <c r="Y28" i="4"/>
  <c r="X28" i="4"/>
  <c r="W28" i="4"/>
  <c r="V28" i="4"/>
  <c r="U28" i="4"/>
  <c r="T28" i="4"/>
  <c r="S28" i="4"/>
  <c r="R28" i="4"/>
  <c r="Q28" i="4"/>
  <c r="P28" i="4"/>
  <c r="O28" i="4"/>
  <c r="N28" i="4"/>
  <c r="M28" i="4"/>
  <c r="L28" i="4"/>
  <c r="K28" i="4"/>
  <c r="J28" i="4"/>
  <c r="I28" i="4"/>
  <c r="H28" i="4"/>
  <c r="G28" i="4"/>
  <c r="F28" i="4"/>
  <c r="E28" i="4"/>
  <c r="D28" i="4"/>
  <c r="C28" i="4"/>
  <c r="AK27" i="4"/>
  <c r="AG27" i="4"/>
  <c r="AF27" i="4"/>
  <c r="AE27" i="4"/>
  <c r="AD27" i="4"/>
  <c r="AC27" i="4"/>
  <c r="AB27" i="4"/>
  <c r="AA27" i="4"/>
  <c r="Z27" i="4"/>
  <c r="Y27" i="4"/>
  <c r="X27" i="4"/>
  <c r="W27" i="4"/>
  <c r="V27" i="4"/>
  <c r="U27" i="4"/>
  <c r="T27" i="4"/>
  <c r="S27" i="4"/>
  <c r="R27" i="4"/>
  <c r="Q27" i="4"/>
  <c r="P27" i="4"/>
  <c r="O27" i="4"/>
  <c r="N27" i="4"/>
  <c r="M27" i="4"/>
  <c r="L27" i="4"/>
  <c r="K27" i="4"/>
  <c r="J27" i="4"/>
  <c r="I27" i="4"/>
  <c r="H27" i="4"/>
  <c r="G27" i="4"/>
  <c r="F27" i="4"/>
  <c r="E27" i="4"/>
  <c r="D27" i="4"/>
  <c r="C27" i="4"/>
  <c r="AK26" i="4"/>
  <c r="AG26" i="4"/>
  <c r="AF26" i="4"/>
  <c r="AE26" i="4"/>
  <c r="AD26" i="4"/>
  <c r="AC26" i="4"/>
  <c r="AB26" i="4"/>
  <c r="AA26" i="4"/>
  <c r="Z26" i="4"/>
  <c r="Y26" i="4"/>
  <c r="X26" i="4"/>
  <c r="W26" i="4"/>
  <c r="V26" i="4"/>
  <c r="U26" i="4"/>
  <c r="T26" i="4"/>
  <c r="S26" i="4"/>
  <c r="R26" i="4"/>
  <c r="Q26" i="4"/>
  <c r="P26" i="4"/>
  <c r="O26" i="4"/>
  <c r="N26" i="4"/>
  <c r="M26" i="4"/>
  <c r="L26" i="4"/>
  <c r="K26" i="4"/>
  <c r="J26" i="4"/>
  <c r="I26" i="4"/>
  <c r="H26" i="4"/>
  <c r="G26" i="4"/>
  <c r="F26" i="4"/>
  <c r="E26" i="4"/>
  <c r="D26" i="4"/>
  <c r="C26" i="4"/>
  <c r="AK25" i="4"/>
  <c r="AG25" i="4"/>
  <c r="AF25" i="4"/>
  <c r="AE25" i="4"/>
  <c r="AD25" i="4"/>
  <c r="AC25" i="4"/>
  <c r="AB25" i="4"/>
  <c r="AA25" i="4"/>
  <c r="Z25" i="4"/>
  <c r="Y25" i="4"/>
  <c r="X25" i="4"/>
  <c r="W25" i="4"/>
  <c r="V25" i="4"/>
  <c r="U25" i="4"/>
  <c r="T25" i="4"/>
  <c r="S25" i="4"/>
  <c r="R25" i="4"/>
  <c r="Q25" i="4"/>
  <c r="P25" i="4"/>
  <c r="O25" i="4"/>
  <c r="N25" i="4"/>
  <c r="M25" i="4"/>
  <c r="L25" i="4"/>
  <c r="K25" i="4"/>
  <c r="J25" i="4"/>
  <c r="I25" i="4"/>
  <c r="H25" i="4"/>
  <c r="G25" i="4"/>
  <c r="F25" i="4"/>
  <c r="E25" i="4"/>
  <c r="D25" i="4"/>
  <c r="C25" i="4"/>
  <c r="AK24" i="4"/>
  <c r="AG24" i="4"/>
  <c r="AF24" i="4"/>
  <c r="AE24" i="4"/>
  <c r="AD24" i="4"/>
  <c r="AC24" i="4"/>
  <c r="AB24" i="4"/>
  <c r="AA24" i="4"/>
  <c r="Z24" i="4"/>
  <c r="Y24" i="4"/>
  <c r="X24" i="4"/>
  <c r="W24" i="4"/>
  <c r="V24" i="4"/>
  <c r="U24" i="4"/>
  <c r="T24" i="4"/>
  <c r="S24" i="4"/>
  <c r="R24" i="4"/>
  <c r="Q24" i="4"/>
  <c r="P24" i="4"/>
  <c r="O24" i="4"/>
  <c r="N24" i="4"/>
  <c r="M24" i="4"/>
  <c r="L24" i="4"/>
  <c r="K24" i="4"/>
  <c r="J24" i="4"/>
  <c r="I24" i="4"/>
  <c r="H24" i="4"/>
  <c r="G24" i="4"/>
  <c r="F24" i="4"/>
  <c r="E24" i="4"/>
  <c r="D24" i="4"/>
  <c r="C24" i="4"/>
  <c r="AK23" i="4"/>
  <c r="AG23" i="4"/>
  <c r="AF23" i="4"/>
  <c r="AE23" i="4"/>
  <c r="AD23" i="4"/>
  <c r="AC23" i="4"/>
  <c r="AB23" i="4"/>
  <c r="AA23" i="4"/>
  <c r="Z23" i="4"/>
  <c r="Y23" i="4"/>
  <c r="X23" i="4"/>
  <c r="W23" i="4"/>
  <c r="V23" i="4"/>
  <c r="U23" i="4"/>
  <c r="T23" i="4"/>
  <c r="S23" i="4"/>
  <c r="R23" i="4"/>
  <c r="Q23" i="4"/>
  <c r="P23" i="4"/>
  <c r="O23" i="4"/>
  <c r="N23" i="4"/>
  <c r="M23" i="4"/>
  <c r="L23" i="4"/>
  <c r="K23" i="4"/>
  <c r="J23" i="4"/>
  <c r="I23" i="4"/>
  <c r="H23" i="4"/>
  <c r="G23" i="4"/>
  <c r="F23" i="4"/>
  <c r="E23" i="4"/>
  <c r="D23" i="4"/>
  <c r="C23" i="4"/>
  <c r="AK22" i="4"/>
  <c r="AG22" i="4"/>
  <c r="AF22" i="4"/>
  <c r="AE22" i="4"/>
  <c r="AD22" i="4"/>
  <c r="AC22" i="4"/>
  <c r="AB22" i="4"/>
  <c r="AA22" i="4"/>
  <c r="Z22" i="4"/>
  <c r="Y22" i="4"/>
  <c r="X22" i="4"/>
  <c r="W22" i="4"/>
  <c r="V22" i="4"/>
  <c r="U22" i="4"/>
  <c r="T22" i="4"/>
  <c r="S22" i="4"/>
  <c r="R22" i="4"/>
  <c r="Q22" i="4"/>
  <c r="P22" i="4"/>
  <c r="O22" i="4"/>
  <c r="N22" i="4"/>
  <c r="M22" i="4"/>
  <c r="L22" i="4"/>
  <c r="K22" i="4"/>
  <c r="J22" i="4"/>
  <c r="I22" i="4"/>
  <c r="H22" i="4"/>
  <c r="G22" i="4"/>
  <c r="F22" i="4"/>
  <c r="E22" i="4"/>
  <c r="D22" i="4"/>
  <c r="C22" i="4"/>
  <c r="AK21" i="4"/>
  <c r="AG21" i="4"/>
  <c r="AF21" i="4"/>
  <c r="AE21" i="4"/>
  <c r="AD21" i="4"/>
  <c r="AC21" i="4"/>
  <c r="AB21" i="4"/>
  <c r="AA21" i="4"/>
  <c r="Z21" i="4"/>
  <c r="Y21" i="4"/>
  <c r="X21" i="4"/>
  <c r="W21" i="4"/>
  <c r="V21" i="4"/>
  <c r="U21" i="4"/>
  <c r="T21" i="4"/>
  <c r="S21" i="4"/>
  <c r="R21" i="4"/>
  <c r="Q21" i="4"/>
  <c r="P21" i="4"/>
  <c r="O21" i="4"/>
  <c r="N21" i="4"/>
  <c r="M21" i="4"/>
  <c r="L21" i="4"/>
  <c r="K21" i="4"/>
  <c r="J21" i="4"/>
  <c r="I21" i="4"/>
  <c r="H21" i="4"/>
  <c r="G21" i="4"/>
  <c r="F21" i="4"/>
  <c r="E21" i="4"/>
  <c r="D21" i="4"/>
  <c r="C21" i="4"/>
  <c r="AK20" i="4"/>
  <c r="AG20" i="4"/>
  <c r="AF20" i="4"/>
  <c r="AE20" i="4"/>
  <c r="AD20" i="4"/>
  <c r="AC20" i="4"/>
  <c r="AB20" i="4"/>
  <c r="AA20" i="4"/>
  <c r="Z20" i="4"/>
  <c r="Y20" i="4"/>
  <c r="X20" i="4"/>
  <c r="W20" i="4"/>
  <c r="V20" i="4"/>
  <c r="U20" i="4"/>
  <c r="T20" i="4"/>
  <c r="S20" i="4"/>
  <c r="R20" i="4"/>
  <c r="Q20" i="4"/>
  <c r="P20" i="4"/>
  <c r="O20" i="4"/>
  <c r="N20" i="4"/>
  <c r="M20" i="4"/>
  <c r="L20" i="4"/>
  <c r="K20" i="4"/>
  <c r="J20" i="4"/>
  <c r="I20" i="4"/>
  <c r="H20" i="4"/>
  <c r="G20" i="4"/>
  <c r="F20" i="4"/>
  <c r="E20" i="4"/>
  <c r="D20" i="4"/>
  <c r="C20" i="4"/>
  <c r="AK19" i="4"/>
  <c r="AG19" i="4"/>
  <c r="AF19" i="4"/>
  <c r="AE19" i="4"/>
  <c r="AD19" i="4"/>
  <c r="AC19" i="4"/>
  <c r="AB19" i="4"/>
  <c r="AA19" i="4"/>
  <c r="Z19" i="4"/>
  <c r="Y19" i="4"/>
  <c r="X19" i="4"/>
  <c r="W19" i="4"/>
  <c r="V19" i="4"/>
  <c r="U19" i="4"/>
  <c r="T19" i="4"/>
  <c r="S19" i="4"/>
  <c r="R19" i="4"/>
  <c r="Q19" i="4"/>
  <c r="P19" i="4"/>
  <c r="O19" i="4"/>
  <c r="N19" i="4"/>
  <c r="M19" i="4"/>
  <c r="L19" i="4"/>
  <c r="K19" i="4"/>
  <c r="J19" i="4"/>
  <c r="I19" i="4"/>
  <c r="H19" i="4"/>
  <c r="G19" i="4"/>
  <c r="F19" i="4"/>
  <c r="E19" i="4"/>
  <c r="D19" i="4"/>
  <c r="C19" i="4"/>
  <c r="AK18" i="4"/>
  <c r="AG18" i="4"/>
  <c r="AF18" i="4"/>
  <c r="AE18" i="4"/>
  <c r="AD18" i="4"/>
  <c r="AC18" i="4"/>
  <c r="AB18" i="4"/>
  <c r="AA18" i="4"/>
  <c r="Z18" i="4"/>
  <c r="Y18" i="4"/>
  <c r="X18" i="4"/>
  <c r="W18" i="4"/>
  <c r="V18" i="4"/>
  <c r="U18" i="4"/>
  <c r="T18" i="4"/>
  <c r="S18" i="4"/>
  <c r="R18" i="4"/>
  <c r="Q18" i="4"/>
  <c r="P18" i="4"/>
  <c r="O18" i="4"/>
  <c r="N18" i="4"/>
  <c r="M18" i="4"/>
  <c r="L18" i="4"/>
  <c r="K18" i="4"/>
  <c r="J18" i="4"/>
  <c r="I18" i="4"/>
  <c r="H18" i="4"/>
  <c r="G18" i="4"/>
  <c r="F18" i="4"/>
  <c r="E18" i="4"/>
  <c r="D18" i="4"/>
  <c r="C18" i="4"/>
  <c r="AK17" i="4"/>
  <c r="AG17" i="4"/>
  <c r="AF17" i="4"/>
  <c r="AE17" i="4"/>
  <c r="AD17" i="4"/>
  <c r="AC17" i="4"/>
  <c r="AB17" i="4"/>
  <c r="AA17" i="4"/>
  <c r="Z17" i="4"/>
  <c r="Y17" i="4"/>
  <c r="X17" i="4"/>
  <c r="W17" i="4"/>
  <c r="V17" i="4"/>
  <c r="U17" i="4"/>
  <c r="T17" i="4"/>
  <c r="S17" i="4"/>
  <c r="R17" i="4"/>
  <c r="Q17" i="4"/>
  <c r="P17" i="4"/>
  <c r="O17" i="4"/>
  <c r="N17" i="4"/>
  <c r="M17" i="4"/>
  <c r="L17" i="4"/>
  <c r="K17" i="4"/>
  <c r="J17" i="4"/>
  <c r="I17" i="4"/>
  <c r="H17" i="4"/>
  <c r="G17" i="4"/>
  <c r="F17" i="4"/>
  <c r="E17" i="4"/>
  <c r="D17" i="4"/>
  <c r="C17" i="4"/>
  <c r="AK16" i="4"/>
  <c r="AG16" i="4"/>
  <c r="AF16" i="4"/>
  <c r="AE16" i="4"/>
  <c r="AD16" i="4"/>
  <c r="AC16" i="4"/>
  <c r="AB16" i="4"/>
  <c r="AA16" i="4"/>
  <c r="Z16" i="4"/>
  <c r="Y16" i="4"/>
  <c r="X16" i="4"/>
  <c r="W16" i="4"/>
  <c r="V16" i="4"/>
  <c r="U16" i="4"/>
  <c r="T16" i="4"/>
  <c r="S16" i="4"/>
  <c r="R16" i="4"/>
  <c r="Q16" i="4"/>
  <c r="P16" i="4"/>
  <c r="O16" i="4"/>
  <c r="N16" i="4"/>
  <c r="M16" i="4"/>
  <c r="L16" i="4"/>
  <c r="K16" i="4"/>
  <c r="J16" i="4"/>
  <c r="I16" i="4"/>
  <c r="H16" i="4"/>
  <c r="G16" i="4"/>
  <c r="F16" i="4"/>
  <c r="E16" i="4"/>
  <c r="D16" i="4"/>
  <c r="C16" i="4"/>
  <c r="AK15" i="4"/>
  <c r="AG15" i="4"/>
  <c r="AF15" i="4"/>
  <c r="AE15" i="4"/>
  <c r="AD15" i="4"/>
  <c r="AC15" i="4"/>
  <c r="AB15" i="4"/>
  <c r="AA15" i="4"/>
  <c r="Z15" i="4"/>
  <c r="Y15" i="4"/>
  <c r="X15" i="4"/>
  <c r="W15" i="4"/>
  <c r="V15" i="4"/>
  <c r="U15" i="4"/>
  <c r="T15" i="4"/>
  <c r="S15" i="4"/>
  <c r="R15" i="4"/>
  <c r="Q15" i="4"/>
  <c r="P15" i="4"/>
  <c r="O15" i="4"/>
  <c r="N15" i="4"/>
  <c r="M15" i="4"/>
  <c r="L15" i="4"/>
  <c r="K15" i="4"/>
  <c r="J15" i="4"/>
  <c r="I15" i="4"/>
  <c r="H15" i="4"/>
  <c r="G15" i="4"/>
  <c r="F15" i="4"/>
  <c r="E15" i="4"/>
  <c r="D15" i="4"/>
  <c r="C15" i="4"/>
  <c r="AK14" i="4"/>
  <c r="AG14" i="4"/>
  <c r="AF14" i="4"/>
  <c r="AE14" i="4"/>
  <c r="AD14" i="4"/>
  <c r="AC14" i="4"/>
  <c r="AB14" i="4"/>
  <c r="AA14" i="4"/>
  <c r="Z14" i="4"/>
  <c r="Y14" i="4"/>
  <c r="X14" i="4"/>
  <c r="W14" i="4"/>
  <c r="V14" i="4"/>
  <c r="U14" i="4"/>
  <c r="T14" i="4"/>
  <c r="S14" i="4"/>
  <c r="R14" i="4"/>
  <c r="Q14" i="4"/>
  <c r="P14" i="4"/>
  <c r="O14" i="4"/>
  <c r="N14" i="4"/>
  <c r="M14" i="4"/>
  <c r="L14" i="4"/>
  <c r="K14" i="4"/>
  <c r="J14" i="4"/>
  <c r="I14" i="4"/>
  <c r="H14" i="4"/>
  <c r="G14" i="4"/>
  <c r="F14" i="4"/>
  <c r="E14" i="4"/>
  <c r="D14" i="4"/>
  <c r="C14" i="4"/>
  <c r="AK13" i="4"/>
  <c r="AG13" i="4"/>
  <c r="AF13" i="4"/>
  <c r="AE13" i="4"/>
  <c r="AD13" i="4"/>
  <c r="AC13" i="4"/>
  <c r="AB13" i="4"/>
  <c r="AA13" i="4"/>
  <c r="Z13" i="4"/>
  <c r="Y13" i="4"/>
  <c r="X13" i="4"/>
  <c r="W13" i="4"/>
  <c r="V13" i="4"/>
  <c r="U13" i="4"/>
  <c r="T13" i="4"/>
  <c r="S13" i="4"/>
  <c r="R13" i="4"/>
  <c r="Q13" i="4"/>
  <c r="P13" i="4"/>
  <c r="O13" i="4"/>
  <c r="N13" i="4"/>
  <c r="M13" i="4"/>
  <c r="L13" i="4"/>
  <c r="K13" i="4"/>
  <c r="J13" i="4"/>
  <c r="I13" i="4"/>
  <c r="H13" i="4"/>
  <c r="G13" i="4"/>
  <c r="F13" i="4"/>
  <c r="E13" i="4"/>
  <c r="D13" i="4"/>
  <c r="C13" i="4"/>
  <c r="AK12" i="4"/>
  <c r="AG12" i="4"/>
  <c r="AF12" i="4"/>
  <c r="AE12" i="4"/>
  <c r="AD12" i="4"/>
  <c r="AC12" i="4"/>
  <c r="AB12" i="4"/>
  <c r="AA12" i="4"/>
  <c r="Z12" i="4"/>
  <c r="Y12" i="4"/>
  <c r="X12" i="4"/>
  <c r="W12" i="4"/>
  <c r="V12" i="4"/>
  <c r="U12" i="4"/>
  <c r="T12" i="4"/>
  <c r="S12" i="4"/>
  <c r="R12" i="4"/>
  <c r="Q12" i="4"/>
  <c r="P12" i="4"/>
  <c r="O12" i="4"/>
  <c r="N12" i="4"/>
  <c r="M12" i="4"/>
  <c r="L12" i="4"/>
  <c r="K12" i="4"/>
  <c r="J12" i="4"/>
  <c r="I12" i="4"/>
  <c r="H12" i="4"/>
  <c r="G12" i="4"/>
  <c r="F12" i="4"/>
  <c r="E12" i="4"/>
  <c r="D12" i="4"/>
  <c r="C12" i="4"/>
  <c r="AK11" i="4"/>
  <c r="AG11" i="4"/>
  <c r="AF11" i="4"/>
  <c r="AE11" i="4"/>
  <c r="AD11" i="4"/>
  <c r="AC11" i="4"/>
  <c r="AB11" i="4"/>
  <c r="AA11" i="4"/>
  <c r="Z11" i="4"/>
  <c r="Y11" i="4"/>
  <c r="X11" i="4"/>
  <c r="W11" i="4"/>
  <c r="V11" i="4"/>
  <c r="U11" i="4"/>
  <c r="T11" i="4"/>
  <c r="S11" i="4"/>
  <c r="R11" i="4"/>
  <c r="Q11" i="4"/>
  <c r="P11" i="4"/>
  <c r="O11" i="4"/>
  <c r="N11" i="4"/>
  <c r="M11" i="4"/>
  <c r="L11" i="4"/>
  <c r="K11" i="4"/>
  <c r="J11" i="4"/>
  <c r="I11" i="4"/>
  <c r="H11" i="4"/>
  <c r="G11" i="4"/>
  <c r="F11" i="4"/>
  <c r="E11" i="4"/>
  <c r="D11" i="4"/>
  <c r="C11" i="4"/>
  <c r="AK10" i="4"/>
  <c r="AG10" i="4"/>
  <c r="AF10" i="4"/>
  <c r="AE10" i="4"/>
  <c r="AD10" i="4"/>
  <c r="AC10" i="4"/>
  <c r="AB10" i="4"/>
  <c r="AA10" i="4"/>
  <c r="Z10" i="4"/>
  <c r="Y10" i="4"/>
  <c r="X10" i="4"/>
  <c r="W10" i="4"/>
  <c r="V10" i="4"/>
  <c r="U10" i="4"/>
  <c r="T10" i="4"/>
  <c r="S10" i="4"/>
  <c r="R10" i="4"/>
  <c r="Q10" i="4"/>
  <c r="P10" i="4"/>
  <c r="O10" i="4"/>
  <c r="N10" i="4"/>
  <c r="M10" i="4"/>
  <c r="L10" i="4"/>
  <c r="K10" i="4"/>
  <c r="J10" i="4"/>
  <c r="I10" i="4"/>
  <c r="H10" i="4"/>
  <c r="G10" i="4"/>
  <c r="F10" i="4"/>
  <c r="E10" i="4"/>
  <c r="D10" i="4"/>
  <c r="C10" i="4"/>
  <c r="AK9" i="4"/>
  <c r="AG9" i="4"/>
  <c r="AF9" i="4"/>
  <c r="AE9" i="4"/>
  <c r="AD9" i="4"/>
  <c r="AC9" i="4"/>
  <c r="AB9" i="4"/>
  <c r="AA9" i="4"/>
  <c r="Z9" i="4"/>
  <c r="Y9" i="4"/>
  <c r="X9" i="4"/>
  <c r="W9" i="4"/>
  <c r="V9" i="4"/>
  <c r="U9" i="4"/>
  <c r="T9" i="4"/>
  <c r="S9" i="4"/>
  <c r="R9" i="4"/>
  <c r="Q9" i="4"/>
  <c r="P9" i="4"/>
  <c r="O9" i="4"/>
  <c r="N9" i="4"/>
  <c r="M9" i="4"/>
  <c r="L9" i="4"/>
  <c r="K9" i="4"/>
  <c r="J9" i="4"/>
  <c r="I9" i="4"/>
  <c r="H9" i="4"/>
  <c r="G9" i="4"/>
  <c r="F9" i="4"/>
  <c r="E9" i="4"/>
  <c r="D9" i="4"/>
  <c r="C9" i="4"/>
  <c r="AK8" i="4"/>
  <c r="AG8" i="4"/>
  <c r="AF8" i="4"/>
  <c r="AE8" i="4"/>
  <c r="AD8" i="4"/>
  <c r="AC8" i="4"/>
  <c r="AB8" i="4"/>
  <c r="AA8" i="4"/>
  <c r="Z8" i="4"/>
  <c r="Y8" i="4"/>
  <c r="X8" i="4"/>
  <c r="W8" i="4"/>
  <c r="V8" i="4"/>
  <c r="U8" i="4"/>
  <c r="T8" i="4"/>
  <c r="S8" i="4"/>
  <c r="R8" i="4"/>
  <c r="Q8" i="4"/>
  <c r="P8" i="4"/>
  <c r="O8" i="4"/>
  <c r="N8" i="4"/>
  <c r="M8" i="4"/>
  <c r="L8" i="4"/>
  <c r="K8" i="4"/>
  <c r="J8" i="4"/>
  <c r="I8" i="4"/>
  <c r="H8" i="4"/>
  <c r="G8" i="4"/>
  <c r="F8" i="4"/>
  <c r="E8" i="4"/>
  <c r="D8" i="4"/>
  <c r="C8" i="4"/>
  <c r="AK7" i="4"/>
  <c r="AG7" i="4"/>
  <c r="AF7" i="4"/>
  <c r="AE7" i="4"/>
  <c r="AD7" i="4"/>
  <c r="AC7" i="4"/>
  <c r="AB7" i="4"/>
  <c r="AA7" i="4"/>
  <c r="Z7" i="4"/>
  <c r="Y7" i="4"/>
  <c r="X7" i="4"/>
  <c r="W7" i="4"/>
  <c r="V7" i="4"/>
  <c r="U7" i="4"/>
  <c r="T7" i="4"/>
  <c r="S7" i="4"/>
  <c r="R7" i="4"/>
  <c r="Q7" i="4"/>
  <c r="P7" i="4"/>
  <c r="O7" i="4"/>
  <c r="N7" i="4"/>
  <c r="M7" i="4"/>
  <c r="L7" i="4"/>
  <c r="K7" i="4"/>
  <c r="J7" i="4"/>
  <c r="I7" i="4"/>
  <c r="H7" i="4"/>
  <c r="G7" i="4"/>
  <c r="F7" i="4"/>
  <c r="E7" i="4"/>
  <c r="D7" i="4"/>
  <c r="C7" i="4"/>
  <c r="AK6" i="4"/>
  <c r="AG6" i="4"/>
  <c r="AF6" i="4"/>
  <c r="AE6" i="4"/>
  <c r="AD6" i="4"/>
  <c r="AC6" i="4"/>
  <c r="AB6" i="4"/>
  <c r="AA6" i="4"/>
  <c r="Z6" i="4"/>
  <c r="Y6" i="4"/>
  <c r="X6" i="4"/>
  <c r="W6" i="4"/>
  <c r="V6" i="4"/>
  <c r="U6" i="4"/>
  <c r="T6" i="4"/>
  <c r="S6" i="4"/>
  <c r="R6" i="4"/>
  <c r="Q6" i="4"/>
  <c r="P6" i="4"/>
  <c r="O6" i="4"/>
  <c r="N6" i="4"/>
  <c r="M6" i="4"/>
  <c r="L6" i="4"/>
  <c r="K6" i="4"/>
  <c r="J6" i="4"/>
  <c r="I6" i="4"/>
  <c r="H6" i="4"/>
  <c r="G6" i="4"/>
  <c r="F6" i="4"/>
  <c r="E6" i="4"/>
  <c r="D6" i="4"/>
  <c r="C6" i="4"/>
  <c r="AK5" i="4"/>
  <c r="AG5" i="4"/>
  <c r="AF5" i="4"/>
  <c r="AE5" i="4"/>
  <c r="AD5" i="4"/>
  <c r="AC5" i="4"/>
  <c r="AB5" i="4"/>
  <c r="AA5" i="4"/>
  <c r="Z5" i="4"/>
  <c r="Y5" i="4"/>
  <c r="X5" i="4"/>
  <c r="W5" i="4"/>
  <c r="V5" i="4"/>
  <c r="U5" i="4"/>
  <c r="T5" i="4"/>
  <c r="S5" i="4"/>
  <c r="R5" i="4"/>
  <c r="Q5" i="4"/>
  <c r="P5" i="4"/>
  <c r="O5" i="4"/>
  <c r="N5" i="4"/>
  <c r="M5" i="4"/>
  <c r="L5" i="4"/>
  <c r="K5" i="4"/>
  <c r="J5" i="4"/>
  <c r="I5" i="4"/>
  <c r="H5" i="4"/>
  <c r="G5" i="4"/>
  <c r="F5" i="4"/>
  <c r="E5" i="4"/>
  <c r="D5" i="4"/>
  <c r="C5" i="4"/>
  <c r="AK4" i="4"/>
  <c r="AG4" i="4"/>
  <c r="AF4" i="4"/>
  <c r="AE4" i="4"/>
  <c r="AD4" i="4"/>
  <c r="AC4" i="4"/>
  <c r="AB4" i="4"/>
  <c r="AA4" i="4"/>
  <c r="Z4" i="4"/>
  <c r="Y4" i="4"/>
  <c r="X4" i="4"/>
  <c r="W4" i="4"/>
  <c r="V4" i="4"/>
  <c r="U4" i="4"/>
  <c r="T4" i="4"/>
  <c r="S4" i="4"/>
  <c r="R4" i="4"/>
  <c r="Q4" i="4"/>
  <c r="P4" i="4"/>
  <c r="O4" i="4"/>
  <c r="N4" i="4"/>
  <c r="M4" i="4"/>
  <c r="L4" i="4"/>
  <c r="K4" i="4"/>
  <c r="J4" i="4"/>
  <c r="I4" i="4"/>
  <c r="H4" i="4"/>
  <c r="G4" i="4"/>
  <c r="F4" i="4"/>
  <c r="E4" i="4"/>
  <c r="D4" i="4"/>
  <c r="C4" i="4"/>
  <c r="AP3" i="4"/>
  <c r="AP4" i="4" s="1"/>
  <c r="AK3" i="4"/>
  <c r="AG3" i="4"/>
  <c r="AF3" i="4"/>
  <c r="AE3" i="4"/>
  <c r="AD3" i="4"/>
  <c r="AC3" i="4"/>
  <c r="AB3" i="4"/>
  <c r="AA3" i="4"/>
  <c r="Z3" i="4"/>
  <c r="Y3" i="4"/>
  <c r="X3" i="4"/>
  <c r="W3" i="4"/>
  <c r="V3" i="4"/>
  <c r="U3" i="4"/>
  <c r="T3" i="4"/>
  <c r="S3" i="4"/>
  <c r="R3" i="4"/>
  <c r="Q3" i="4"/>
  <c r="P3" i="4"/>
  <c r="O3" i="4"/>
  <c r="N3" i="4"/>
  <c r="M3" i="4"/>
  <c r="L3" i="4"/>
  <c r="K3" i="4"/>
  <c r="J3" i="4"/>
  <c r="I3" i="4"/>
  <c r="H3" i="4"/>
  <c r="G3" i="4"/>
  <c r="F3" i="4"/>
  <c r="E3" i="4"/>
  <c r="D3" i="4"/>
  <c r="C3" i="4"/>
  <c r="AK57" i="3"/>
  <c r="AE57" i="3"/>
  <c r="AD57" i="3"/>
  <c r="AC57" i="3"/>
  <c r="AB57" i="3"/>
  <c r="AA57" i="3"/>
  <c r="Z57" i="3"/>
  <c r="Y57" i="3"/>
  <c r="X57" i="3"/>
  <c r="W57" i="3"/>
  <c r="V57" i="3"/>
  <c r="U57" i="3"/>
  <c r="T57" i="3"/>
  <c r="S57" i="3"/>
  <c r="R57" i="3"/>
  <c r="Q57" i="3"/>
  <c r="P57" i="3"/>
  <c r="O57" i="3"/>
  <c r="N57" i="3"/>
  <c r="M57" i="3"/>
  <c r="L57" i="3"/>
  <c r="K57" i="3"/>
  <c r="J57" i="3"/>
  <c r="I57" i="3"/>
  <c r="H57" i="3"/>
  <c r="G57" i="3"/>
  <c r="F57" i="3"/>
  <c r="E57" i="3"/>
  <c r="D57" i="3"/>
  <c r="C57" i="3"/>
  <c r="AK56" i="3"/>
  <c r="AE56" i="3"/>
  <c r="AD56" i="3"/>
  <c r="AC56" i="3"/>
  <c r="AB56" i="3"/>
  <c r="AA56" i="3"/>
  <c r="Z56" i="3"/>
  <c r="Y56" i="3"/>
  <c r="X56" i="3"/>
  <c r="W56" i="3"/>
  <c r="V56" i="3"/>
  <c r="U56" i="3"/>
  <c r="T56" i="3"/>
  <c r="S56" i="3"/>
  <c r="R56" i="3"/>
  <c r="Q56" i="3"/>
  <c r="P56" i="3"/>
  <c r="O56" i="3"/>
  <c r="N56" i="3"/>
  <c r="M56" i="3"/>
  <c r="L56" i="3"/>
  <c r="K56" i="3"/>
  <c r="J56" i="3"/>
  <c r="I56" i="3"/>
  <c r="H56" i="3"/>
  <c r="G56" i="3"/>
  <c r="F56" i="3"/>
  <c r="E56" i="3"/>
  <c r="D56" i="3"/>
  <c r="C56" i="3"/>
  <c r="AK55" i="3"/>
  <c r="AE55" i="3"/>
  <c r="AD55" i="3"/>
  <c r="AC55" i="3"/>
  <c r="AB55" i="3"/>
  <c r="AA55" i="3"/>
  <c r="Z55" i="3"/>
  <c r="Y55" i="3"/>
  <c r="X55" i="3"/>
  <c r="W55" i="3"/>
  <c r="V55" i="3"/>
  <c r="U55" i="3"/>
  <c r="T55" i="3"/>
  <c r="S55" i="3"/>
  <c r="R55" i="3"/>
  <c r="Q55" i="3"/>
  <c r="P55" i="3"/>
  <c r="O55" i="3"/>
  <c r="N55" i="3"/>
  <c r="M55" i="3"/>
  <c r="L55" i="3"/>
  <c r="K55" i="3"/>
  <c r="J55" i="3"/>
  <c r="I55" i="3"/>
  <c r="H55" i="3"/>
  <c r="G55" i="3"/>
  <c r="F55" i="3"/>
  <c r="E55" i="3"/>
  <c r="D55" i="3"/>
  <c r="C55" i="3"/>
  <c r="AK54" i="3"/>
  <c r="AE54" i="3"/>
  <c r="AD54" i="3"/>
  <c r="AC54" i="3"/>
  <c r="AB54" i="3"/>
  <c r="AA54" i="3"/>
  <c r="Z54" i="3"/>
  <c r="Y54" i="3"/>
  <c r="X54" i="3"/>
  <c r="W54" i="3"/>
  <c r="V54" i="3"/>
  <c r="U54" i="3"/>
  <c r="T54" i="3"/>
  <c r="S54" i="3"/>
  <c r="R54" i="3"/>
  <c r="Q54" i="3"/>
  <c r="P54" i="3"/>
  <c r="O54" i="3"/>
  <c r="N54" i="3"/>
  <c r="M54" i="3"/>
  <c r="L54" i="3"/>
  <c r="K54" i="3"/>
  <c r="J54" i="3"/>
  <c r="I54" i="3"/>
  <c r="H54" i="3"/>
  <c r="G54" i="3"/>
  <c r="F54" i="3"/>
  <c r="E54" i="3"/>
  <c r="D54" i="3"/>
  <c r="C54" i="3"/>
  <c r="AK53" i="3"/>
  <c r="AE53" i="3"/>
  <c r="AD53" i="3"/>
  <c r="AC53" i="3"/>
  <c r="AB53" i="3"/>
  <c r="AA53" i="3"/>
  <c r="Z53" i="3"/>
  <c r="Y53" i="3"/>
  <c r="X53" i="3"/>
  <c r="W53" i="3"/>
  <c r="V53" i="3"/>
  <c r="U53" i="3"/>
  <c r="T53" i="3"/>
  <c r="S53" i="3"/>
  <c r="R53" i="3"/>
  <c r="Q53" i="3"/>
  <c r="P53" i="3"/>
  <c r="O53" i="3"/>
  <c r="N53" i="3"/>
  <c r="M53" i="3"/>
  <c r="L53" i="3"/>
  <c r="K53" i="3"/>
  <c r="J53" i="3"/>
  <c r="I53" i="3"/>
  <c r="H53" i="3"/>
  <c r="G53" i="3"/>
  <c r="F53" i="3"/>
  <c r="E53" i="3"/>
  <c r="D53" i="3"/>
  <c r="C53" i="3"/>
  <c r="AK52" i="3"/>
  <c r="AE52" i="3"/>
  <c r="AD52" i="3"/>
  <c r="AC52" i="3"/>
  <c r="AB52" i="3"/>
  <c r="AA52" i="3"/>
  <c r="Z52" i="3"/>
  <c r="Y52" i="3"/>
  <c r="X52" i="3"/>
  <c r="W52" i="3"/>
  <c r="V52" i="3"/>
  <c r="U52" i="3"/>
  <c r="T52" i="3"/>
  <c r="S52" i="3"/>
  <c r="R52" i="3"/>
  <c r="Q52" i="3"/>
  <c r="P52" i="3"/>
  <c r="O52" i="3"/>
  <c r="N52" i="3"/>
  <c r="M52" i="3"/>
  <c r="L52" i="3"/>
  <c r="K52" i="3"/>
  <c r="J52" i="3"/>
  <c r="I52" i="3"/>
  <c r="H52" i="3"/>
  <c r="G52" i="3"/>
  <c r="F52" i="3"/>
  <c r="E52" i="3"/>
  <c r="D52" i="3"/>
  <c r="C52" i="3"/>
  <c r="AK51" i="3"/>
  <c r="AE51" i="3"/>
  <c r="AD51" i="3"/>
  <c r="AC51" i="3"/>
  <c r="AB51" i="3"/>
  <c r="AA51" i="3"/>
  <c r="Z51" i="3"/>
  <c r="Y51" i="3"/>
  <c r="X51" i="3"/>
  <c r="W51" i="3"/>
  <c r="V51" i="3"/>
  <c r="U51" i="3"/>
  <c r="T51" i="3"/>
  <c r="S51" i="3"/>
  <c r="R51" i="3"/>
  <c r="Q51" i="3"/>
  <c r="P51" i="3"/>
  <c r="O51" i="3"/>
  <c r="N51" i="3"/>
  <c r="M51" i="3"/>
  <c r="L51" i="3"/>
  <c r="K51" i="3"/>
  <c r="J51" i="3"/>
  <c r="I51" i="3"/>
  <c r="H51" i="3"/>
  <c r="G51" i="3"/>
  <c r="F51" i="3"/>
  <c r="E51" i="3"/>
  <c r="D51" i="3"/>
  <c r="C51" i="3"/>
  <c r="AK50" i="3"/>
  <c r="AE50" i="3"/>
  <c r="AD50" i="3"/>
  <c r="AC50" i="3"/>
  <c r="AB50" i="3"/>
  <c r="AA50" i="3"/>
  <c r="Z50" i="3"/>
  <c r="Y50" i="3"/>
  <c r="X50" i="3"/>
  <c r="W50" i="3"/>
  <c r="V50" i="3"/>
  <c r="U50" i="3"/>
  <c r="T50" i="3"/>
  <c r="S50" i="3"/>
  <c r="R50" i="3"/>
  <c r="Q50" i="3"/>
  <c r="P50" i="3"/>
  <c r="O50" i="3"/>
  <c r="N50" i="3"/>
  <c r="M50" i="3"/>
  <c r="L50" i="3"/>
  <c r="K50" i="3"/>
  <c r="J50" i="3"/>
  <c r="I50" i="3"/>
  <c r="H50" i="3"/>
  <c r="G50" i="3"/>
  <c r="F50" i="3"/>
  <c r="E50" i="3"/>
  <c r="D50" i="3"/>
  <c r="C50" i="3"/>
  <c r="AK49" i="3"/>
  <c r="AE49" i="3"/>
  <c r="AD49" i="3"/>
  <c r="AC49" i="3"/>
  <c r="AB49" i="3"/>
  <c r="AA49" i="3"/>
  <c r="Z49" i="3"/>
  <c r="Y49" i="3"/>
  <c r="X49" i="3"/>
  <c r="W49" i="3"/>
  <c r="V49" i="3"/>
  <c r="U49" i="3"/>
  <c r="T49" i="3"/>
  <c r="S49" i="3"/>
  <c r="R49" i="3"/>
  <c r="Q49" i="3"/>
  <c r="P49" i="3"/>
  <c r="O49" i="3"/>
  <c r="N49" i="3"/>
  <c r="M49" i="3"/>
  <c r="L49" i="3"/>
  <c r="K49" i="3"/>
  <c r="J49" i="3"/>
  <c r="I49" i="3"/>
  <c r="H49" i="3"/>
  <c r="G49" i="3"/>
  <c r="F49" i="3"/>
  <c r="E49" i="3"/>
  <c r="D49" i="3"/>
  <c r="C49" i="3"/>
  <c r="AK48" i="3"/>
  <c r="AE48" i="3"/>
  <c r="AD48" i="3"/>
  <c r="AC48" i="3"/>
  <c r="AB48" i="3"/>
  <c r="AA48" i="3"/>
  <c r="Z48" i="3"/>
  <c r="Y48" i="3"/>
  <c r="X48" i="3"/>
  <c r="W48" i="3"/>
  <c r="V48" i="3"/>
  <c r="U48" i="3"/>
  <c r="T48" i="3"/>
  <c r="S48" i="3"/>
  <c r="R48" i="3"/>
  <c r="Q48" i="3"/>
  <c r="P48" i="3"/>
  <c r="O48" i="3"/>
  <c r="N48" i="3"/>
  <c r="M48" i="3"/>
  <c r="L48" i="3"/>
  <c r="K48" i="3"/>
  <c r="J48" i="3"/>
  <c r="I48" i="3"/>
  <c r="H48" i="3"/>
  <c r="G48" i="3"/>
  <c r="F48" i="3"/>
  <c r="E48" i="3"/>
  <c r="D48" i="3"/>
  <c r="C48" i="3"/>
  <c r="AK47" i="3"/>
  <c r="AE47" i="3"/>
  <c r="AD47" i="3"/>
  <c r="AC47" i="3"/>
  <c r="AB47" i="3"/>
  <c r="AA47" i="3"/>
  <c r="Z47" i="3"/>
  <c r="Y47" i="3"/>
  <c r="X47" i="3"/>
  <c r="W47" i="3"/>
  <c r="V47" i="3"/>
  <c r="U47" i="3"/>
  <c r="T47" i="3"/>
  <c r="S47" i="3"/>
  <c r="R47" i="3"/>
  <c r="Q47" i="3"/>
  <c r="P47" i="3"/>
  <c r="O47" i="3"/>
  <c r="N47" i="3"/>
  <c r="M47" i="3"/>
  <c r="L47" i="3"/>
  <c r="K47" i="3"/>
  <c r="J47" i="3"/>
  <c r="I47" i="3"/>
  <c r="H47" i="3"/>
  <c r="G47" i="3"/>
  <c r="F47" i="3"/>
  <c r="E47" i="3"/>
  <c r="D47" i="3"/>
  <c r="C47" i="3"/>
  <c r="AK46" i="3"/>
  <c r="AE46" i="3"/>
  <c r="AD46" i="3"/>
  <c r="AC46" i="3"/>
  <c r="AB46" i="3"/>
  <c r="AA46" i="3"/>
  <c r="Z46" i="3"/>
  <c r="Y46" i="3"/>
  <c r="X46" i="3"/>
  <c r="W46" i="3"/>
  <c r="V46" i="3"/>
  <c r="U46" i="3"/>
  <c r="T46" i="3"/>
  <c r="S46" i="3"/>
  <c r="R46" i="3"/>
  <c r="Q46" i="3"/>
  <c r="P46" i="3"/>
  <c r="O46" i="3"/>
  <c r="N46" i="3"/>
  <c r="M46" i="3"/>
  <c r="L46" i="3"/>
  <c r="K46" i="3"/>
  <c r="J46" i="3"/>
  <c r="I46" i="3"/>
  <c r="H46" i="3"/>
  <c r="G46" i="3"/>
  <c r="F46" i="3"/>
  <c r="E46" i="3"/>
  <c r="D46" i="3"/>
  <c r="C46" i="3"/>
  <c r="AK45" i="3"/>
  <c r="AE45" i="3"/>
  <c r="AD45" i="3"/>
  <c r="AC45" i="3"/>
  <c r="AB45" i="3"/>
  <c r="AA45" i="3"/>
  <c r="Z45" i="3"/>
  <c r="Y45" i="3"/>
  <c r="X45" i="3"/>
  <c r="W45" i="3"/>
  <c r="V45" i="3"/>
  <c r="U45" i="3"/>
  <c r="T45" i="3"/>
  <c r="S45" i="3"/>
  <c r="R45" i="3"/>
  <c r="Q45" i="3"/>
  <c r="P45" i="3"/>
  <c r="O45" i="3"/>
  <c r="N45" i="3"/>
  <c r="M45" i="3"/>
  <c r="L45" i="3"/>
  <c r="K45" i="3"/>
  <c r="J45" i="3"/>
  <c r="I45" i="3"/>
  <c r="H45" i="3"/>
  <c r="G45" i="3"/>
  <c r="F45" i="3"/>
  <c r="E45" i="3"/>
  <c r="D45" i="3"/>
  <c r="C45" i="3"/>
  <c r="AK44" i="3"/>
  <c r="AE44" i="3"/>
  <c r="AD44" i="3"/>
  <c r="AC44" i="3"/>
  <c r="AB44" i="3"/>
  <c r="AA44" i="3"/>
  <c r="Z44" i="3"/>
  <c r="Y44" i="3"/>
  <c r="X44" i="3"/>
  <c r="W44" i="3"/>
  <c r="V44" i="3"/>
  <c r="U44" i="3"/>
  <c r="T44" i="3"/>
  <c r="S44" i="3"/>
  <c r="R44" i="3"/>
  <c r="Q44" i="3"/>
  <c r="P44" i="3"/>
  <c r="O44" i="3"/>
  <c r="N44" i="3"/>
  <c r="M44" i="3"/>
  <c r="L44" i="3"/>
  <c r="K44" i="3"/>
  <c r="J44" i="3"/>
  <c r="I44" i="3"/>
  <c r="H44" i="3"/>
  <c r="G44" i="3"/>
  <c r="F44" i="3"/>
  <c r="E44" i="3"/>
  <c r="D44" i="3"/>
  <c r="C44" i="3"/>
  <c r="AK43" i="3"/>
  <c r="AE43" i="3"/>
  <c r="AD43" i="3"/>
  <c r="AC43" i="3"/>
  <c r="AB43" i="3"/>
  <c r="AA43" i="3"/>
  <c r="Z43" i="3"/>
  <c r="Y43" i="3"/>
  <c r="X43" i="3"/>
  <c r="W43" i="3"/>
  <c r="V43" i="3"/>
  <c r="U43" i="3"/>
  <c r="T43" i="3"/>
  <c r="S43" i="3"/>
  <c r="R43" i="3"/>
  <c r="Q43" i="3"/>
  <c r="P43" i="3"/>
  <c r="O43" i="3"/>
  <c r="N43" i="3"/>
  <c r="M43" i="3"/>
  <c r="L43" i="3"/>
  <c r="K43" i="3"/>
  <c r="J43" i="3"/>
  <c r="I43" i="3"/>
  <c r="H43" i="3"/>
  <c r="G43" i="3"/>
  <c r="F43" i="3"/>
  <c r="E43" i="3"/>
  <c r="D43" i="3"/>
  <c r="C43" i="3"/>
  <c r="AK42" i="3"/>
  <c r="AE42" i="3"/>
  <c r="AD42" i="3"/>
  <c r="AC42" i="3"/>
  <c r="AB42" i="3"/>
  <c r="AA42" i="3"/>
  <c r="Z42" i="3"/>
  <c r="Y42" i="3"/>
  <c r="X42" i="3"/>
  <c r="W42" i="3"/>
  <c r="V42" i="3"/>
  <c r="U42" i="3"/>
  <c r="T42" i="3"/>
  <c r="S42" i="3"/>
  <c r="R42" i="3"/>
  <c r="Q42" i="3"/>
  <c r="P42" i="3"/>
  <c r="O42" i="3"/>
  <c r="N42" i="3"/>
  <c r="M42" i="3"/>
  <c r="L42" i="3"/>
  <c r="K42" i="3"/>
  <c r="J42" i="3"/>
  <c r="I42" i="3"/>
  <c r="H42" i="3"/>
  <c r="G42" i="3"/>
  <c r="F42" i="3"/>
  <c r="E42" i="3"/>
  <c r="D42" i="3"/>
  <c r="C42" i="3"/>
  <c r="AK41" i="3"/>
  <c r="AE41" i="3"/>
  <c r="AD41" i="3"/>
  <c r="AC41" i="3"/>
  <c r="AB41" i="3"/>
  <c r="AA41" i="3"/>
  <c r="Z41" i="3"/>
  <c r="Y41" i="3"/>
  <c r="X41" i="3"/>
  <c r="W41" i="3"/>
  <c r="V41" i="3"/>
  <c r="U41" i="3"/>
  <c r="T41" i="3"/>
  <c r="S41" i="3"/>
  <c r="R41" i="3"/>
  <c r="Q41" i="3"/>
  <c r="P41" i="3"/>
  <c r="O41" i="3"/>
  <c r="N41" i="3"/>
  <c r="M41" i="3"/>
  <c r="L41" i="3"/>
  <c r="K41" i="3"/>
  <c r="J41" i="3"/>
  <c r="I41" i="3"/>
  <c r="H41" i="3"/>
  <c r="G41" i="3"/>
  <c r="F41" i="3"/>
  <c r="E41" i="3"/>
  <c r="D41" i="3"/>
  <c r="C41" i="3"/>
  <c r="AK40" i="3"/>
  <c r="AE40" i="3"/>
  <c r="AD40" i="3"/>
  <c r="AC40" i="3"/>
  <c r="AB40" i="3"/>
  <c r="AA40" i="3"/>
  <c r="Z40" i="3"/>
  <c r="Y40" i="3"/>
  <c r="X40" i="3"/>
  <c r="W40" i="3"/>
  <c r="V40" i="3"/>
  <c r="U40" i="3"/>
  <c r="T40" i="3"/>
  <c r="S40" i="3"/>
  <c r="R40" i="3"/>
  <c r="Q40" i="3"/>
  <c r="P40" i="3"/>
  <c r="O40" i="3"/>
  <c r="N40" i="3"/>
  <c r="M40" i="3"/>
  <c r="L40" i="3"/>
  <c r="K40" i="3"/>
  <c r="J40" i="3"/>
  <c r="I40" i="3"/>
  <c r="H40" i="3"/>
  <c r="G40" i="3"/>
  <c r="F40" i="3"/>
  <c r="E40" i="3"/>
  <c r="D40" i="3"/>
  <c r="C40" i="3"/>
  <c r="AK39" i="3"/>
  <c r="AE39" i="3"/>
  <c r="AD39" i="3"/>
  <c r="AC39" i="3"/>
  <c r="AB39" i="3"/>
  <c r="AA39" i="3"/>
  <c r="Z39" i="3"/>
  <c r="Y39" i="3"/>
  <c r="X39" i="3"/>
  <c r="W39" i="3"/>
  <c r="V39" i="3"/>
  <c r="U39" i="3"/>
  <c r="T39" i="3"/>
  <c r="S39" i="3"/>
  <c r="R39" i="3"/>
  <c r="Q39" i="3"/>
  <c r="P39" i="3"/>
  <c r="O39" i="3"/>
  <c r="N39" i="3"/>
  <c r="M39" i="3"/>
  <c r="L39" i="3"/>
  <c r="K39" i="3"/>
  <c r="J39" i="3"/>
  <c r="I39" i="3"/>
  <c r="H39" i="3"/>
  <c r="G39" i="3"/>
  <c r="F39" i="3"/>
  <c r="E39" i="3"/>
  <c r="D39" i="3"/>
  <c r="C39" i="3"/>
  <c r="AK38" i="3"/>
  <c r="AE38" i="3"/>
  <c r="AD38" i="3"/>
  <c r="AC38" i="3"/>
  <c r="AB38" i="3"/>
  <c r="AA38" i="3"/>
  <c r="Z38" i="3"/>
  <c r="Y38" i="3"/>
  <c r="X38" i="3"/>
  <c r="W38" i="3"/>
  <c r="V38" i="3"/>
  <c r="U38" i="3"/>
  <c r="T38" i="3"/>
  <c r="S38" i="3"/>
  <c r="R38" i="3"/>
  <c r="Q38" i="3"/>
  <c r="P38" i="3"/>
  <c r="O38" i="3"/>
  <c r="N38" i="3"/>
  <c r="M38" i="3"/>
  <c r="L38" i="3"/>
  <c r="K38" i="3"/>
  <c r="J38" i="3"/>
  <c r="I38" i="3"/>
  <c r="H38" i="3"/>
  <c r="G38" i="3"/>
  <c r="F38" i="3"/>
  <c r="E38" i="3"/>
  <c r="D38" i="3"/>
  <c r="C38" i="3"/>
  <c r="AK37" i="3"/>
  <c r="AE37" i="3"/>
  <c r="AD37" i="3"/>
  <c r="AC37" i="3"/>
  <c r="AB37" i="3"/>
  <c r="AA37" i="3"/>
  <c r="Z37" i="3"/>
  <c r="Y37" i="3"/>
  <c r="X37" i="3"/>
  <c r="W37" i="3"/>
  <c r="V37" i="3"/>
  <c r="U37" i="3"/>
  <c r="T37" i="3"/>
  <c r="S37" i="3"/>
  <c r="R37" i="3"/>
  <c r="Q37" i="3"/>
  <c r="P37" i="3"/>
  <c r="O37" i="3"/>
  <c r="N37" i="3"/>
  <c r="M37" i="3"/>
  <c r="L37" i="3"/>
  <c r="K37" i="3"/>
  <c r="J37" i="3"/>
  <c r="I37" i="3"/>
  <c r="H37" i="3"/>
  <c r="G37" i="3"/>
  <c r="F37" i="3"/>
  <c r="E37" i="3"/>
  <c r="D37" i="3"/>
  <c r="C37" i="3"/>
  <c r="AK36" i="3"/>
  <c r="AE36" i="3"/>
  <c r="AD36" i="3"/>
  <c r="AC36" i="3"/>
  <c r="AB36" i="3"/>
  <c r="AA36" i="3"/>
  <c r="Z36" i="3"/>
  <c r="Y36" i="3"/>
  <c r="X36" i="3"/>
  <c r="W36" i="3"/>
  <c r="V36" i="3"/>
  <c r="U36" i="3"/>
  <c r="T36" i="3"/>
  <c r="S36" i="3"/>
  <c r="R36" i="3"/>
  <c r="Q36" i="3"/>
  <c r="P36" i="3"/>
  <c r="O36" i="3"/>
  <c r="N36" i="3"/>
  <c r="M36" i="3"/>
  <c r="L36" i="3"/>
  <c r="K36" i="3"/>
  <c r="J36" i="3"/>
  <c r="I36" i="3"/>
  <c r="H36" i="3"/>
  <c r="G36" i="3"/>
  <c r="F36" i="3"/>
  <c r="E36" i="3"/>
  <c r="D36" i="3"/>
  <c r="C36" i="3"/>
  <c r="AK35" i="3"/>
  <c r="AE35" i="3"/>
  <c r="AD35" i="3"/>
  <c r="AC35" i="3"/>
  <c r="AB35" i="3"/>
  <c r="AA35" i="3"/>
  <c r="Z35" i="3"/>
  <c r="Y35" i="3"/>
  <c r="X35" i="3"/>
  <c r="W35" i="3"/>
  <c r="V35" i="3"/>
  <c r="U35" i="3"/>
  <c r="T35" i="3"/>
  <c r="S35" i="3"/>
  <c r="R35" i="3"/>
  <c r="Q35" i="3"/>
  <c r="P35" i="3"/>
  <c r="O35" i="3"/>
  <c r="N35" i="3"/>
  <c r="M35" i="3"/>
  <c r="L35" i="3"/>
  <c r="K35" i="3"/>
  <c r="J35" i="3"/>
  <c r="I35" i="3"/>
  <c r="H35" i="3"/>
  <c r="G35" i="3"/>
  <c r="F35" i="3"/>
  <c r="E35" i="3"/>
  <c r="D35" i="3"/>
  <c r="C35" i="3"/>
  <c r="AK34" i="3"/>
  <c r="AE34" i="3"/>
  <c r="AD34" i="3"/>
  <c r="AC34" i="3"/>
  <c r="AB34" i="3"/>
  <c r="AA34" i="3"/>
  <c r="Z34" i="3"/>
  <c r="Y34" i="3"/>
  <c r="X34" i="3"/>
  <c r="W34" i="3"/>
  <c r="V34" i="3"/>
  <c r="U34" i="3"/>
  <c r="T34" i="3"/>
  <c r="S34" i="3"/>
  <c r="R34" i="3"/>
  <c r="Q34" i="3"/>
  <c r="P34" i="3"/>
  <c r="O34" i="3"/>
  <c r="N34" i="3"/>
  <c r="M34" i="3"/>
  <c r="L34" i="3"/>
  <c r="K34" i="3"/>
  <c r="J34" i="3"/>
  <c r="I34" i="3"/>
  <c r="H34" i="3"/>
  <c r="G34" i="3"/>
  <c r="F34" i="3"/>
  <c r="E34" i="3"/>
  <c r="D34" i="3"/>
  <c r="C34" i="3"/>
  <c r="AK33" i="3"/>
  <c r="AE33" i="3"/>
  <c r="AD33" i="3"/>
  <c r="AC33" i="3"/>
  <c r="AB33" i="3"/>
  <c r="AA33" i="3"/>
  <c r="Z33" i="3"/>
  <c r="Y33" i="3"/>
  <c r="X33" i="3"/>
  <c r="W33" i="3"/>
  <c r="V33" i="3"/>
  <c r="U33" i="3"/>
  <c r="T33" i="3"/>
  <c r="S33" i="3"/>
  <c r="R33" i="3"/>
  <c r="Q33" i="3"/>
  <c r="P33" i="3"/>
  <c r="O33" i="3"/>
  <c r="N33" i="3"/>
  <c r="M33" i="3"/>
  <c r="L33" i="3"/>
  <c r="K33" i="3"/>
  <c r="J33" i="3"/>
  <c r="I33" i="3"/>
  <c r="H33" i="3"/>
  <c r="G33" i="3"/>
  <c r="F33" i="3"/>
  <c r="E33" i="3"/>
  <c r="D33" i="3"/>
  <c r="C33" i="3"/>
  <c r="AK32" i="3"/>
  <c r="AE32" i="3"/>
  <c r="AD32" i="3"/>
  <c r="AC32" i="3"/>
  <c r="AB32" i="3"/>
  <c r="AA32" i="3"/>
  <c r="Z32" i="3"/>
  <c r="Y32" i="3"/>
  <c r="X32" i="3"/>
  <c r="W32" i="3"/>
  <c r="V32" i="3"/>
  <c r="U32" i="3"/>
  <c r="T32" i="3"/>
  <c r="S32" i="3"/>
  <c r="R32" i="3"/>
  <c r="Q32" i="3"/>
  <c r="P32" i="3"/>
  <c r="O32" i="3"/>
  <c r="N32" i="3"/>
  <c r="M32" i="3"/>
  <c r="L32" i="3"/>
  <c r="K32" i="3"/>
  <c r="J32" i="3"/>
  <c r="I32" i="3"/>
  <c r="H32" i="3"/>
  <c r="G32" i="3"/>
  <c r="F32" i="3"/>
  <c r="E32" i="3"/>
  <c r="D32" i="3"/>
  <c r="C32" i="3"/>
  <c r="AK31" i="3"/>
  <c r="AE31" i="3"/>
  <c r="AD31" i="3"/>
  <c r="AC31" i="3"/>
  <c r="AB31" i="3"/>
  <c r="AA31" i="3"/>
  <c r="Z31" i="3"/>
  <c r="Y31" i="3"/>
  <c r="X31" i="3"/>
  <c r="W31" i="3"/>
  <c r="V31" i="3"/>
  <c r="U31" i="3"/>
  <c r="T31" i="3"/>
  <c r="S31" i="3"/>
  <c r="R31" i="3"/>
  <c r="Q31" i="3"/>
  <c r="P31" i="3"/>
  <c r="O31" i="3"/>
  <c r="N31" i="3"/>
  <c r="M31" i="3"/>
  <c r="L31" i="3"/>
  <c r="K31" i="3"/>
  <c r="J31" i="3"/>
  <c r="I31" i="3"/>
  <c r="H31" i="3"/>
  <c r="G31" i="3"/>
  <c r="F31" i="3"/>
  <c r="E31" i="3"/>
  <c r="D31" i="3"/>
  <c r="C31" i="3"/>
  <c r="AK30" i="3"/>
  <c r="AE30" i="3"/>
  <c r="AD30" i="3"/>
  <c r="AC30" i="3"/>
  <c r="AB30" i="3"/>
  <c r="AA30" i="3"/>
  <c r="Z30" i="3"/>
  <c r="Y30" i="3"/>
  <c r="X30" i="3"/>
  <c r="W30" i="3"/>
  <c r="V30" i="3"/>
  <c r="U30" i="3"/>
  <c r="T30" i="3"/>
  <c r="S30" i="3"/>
  <c r="R30" i="3"/>
  <c r="Q30" i="3"/>
  <c r="P30" i="3"/>
  <c r="O30" i="3"/>
  <c r="N30" i="3"/>
  <c r="M30" i="3"/>
  <c r="L30" i="3"/>
  <c r="K30" i="3"/>
  <c r="J30" i="3"/>
  <c r="I30" i="3"/>
  <c r="H30" i="3"/>
  <c r="G30" i="3"/>
  <c r="F30" i="3"/>
  <c r="E30" i="3"/>
  <c r="D30" i="3"/>
  <c r="C30" i="3"/>
  <c r="AK29" i="3"/>
  <c r="AE29" i="3"/>
  <c r="AD29" i="3"/>
  <c r="AC29" i="3"/>
  <c r="AB29" i="3"/>
  <c r="AA29" i="3"/>
  <c r="Z29" i="3"/>
  <c r="Y29" i="3"/>
  <c r="X29" i="3"/>
  <c r="W29" i="3"/>
  <c r="V29" i="3"/>
  <c r="U29" i="3"/>
  <c r="T29" i="3"/>
  <c r="S29" i="3"/>
  <c r="R29" i="3"/>
  <c r="Q29" i="3"/>
  <c r="P29" i="3"/>
  <c r="O29" i="3"/>
  <c r="N29" i="3"/>
  <c r="M29" i="3"/>
  <c r="L29" i="3"/>
  <c r="K29" i="3"/>
  <c r="J29" i="3"/>
  <c r="I29" i="3"/>
  <c r="H29" i="3"/>
  <c r="G29" i="3"/>
  <c r="F29" i="3"/>
  <c r="E29" i="3"/>
  <c r="D29" i="3"/>
  <c r="C29" i="3"/>
  <c r="AK28" i="3"/>
  <c r="AE28" i="3"/>
  <c r="AD28" i="3"/>
  <c r="AC28" i="3"/>
  <c r="AB28" i="3"/>
  <c r="AA28" i="3"/>
  <c r="Z28" i="3"/>
  <c r="Y28" i="3"/>
  <c r="X28" i="3"/>
  <c r="W28" i="3"/>
  <c r="V28" i="3"/>
  <c r="U28" i="3"/>
  <c r="T28" i="3"/>
  <c r="S28" i="3"/>
  <c r="R28" i="3"/>
  <c r="Q28" i="3"/>
  <c r="P28" i="3"/>
  <c r="O28" i="3"/>
  <c r="N28" i="3"/>
  <c r="M28" i="3"/>
  <c r="L28" i="3"/>
  <c r="K28" i="3"/>
  <c r="J28" i="3"/>
  <c r="I28" i="3"/>
  <c r="H28" i="3"/>
  <c r="G28" i="3"/>
  <c r="F28" i="3"/>
  <c r="E28" i="3"/>
  <c r="D28" i="3"/>
  <c r="C28" i="3"/>
  <c r="AK27" i="3"/>
  <c r="AE27" i="3"/>
  <c r="AD27" i="3"/>
  <c r="AC27" i="3"/>
  <c r="AB27" i="3"/>
  <c r="AA27" i="3"/>
  <c r="Z27" i="3"/>
  <c r="Y27" i="3"/>
  <c r="X27" i="3"/>
  <c r="W27" i="3"/>
  <c r="V27" i="3"/>
  <c r="U27" i="3"/>
  <c r="T27" i="3"/>
  <c r="S27" i="3"/>
  <c r="R27" i="3"/>
  <c r="Q27" i="3"/>
  <c r="P27" i="3"/>
  <c r="O27" i="3"/>
  <c r="N27" i="3"/>
  <c r="M27" i="3"/>
  <c r="L27" i="3"/>
  <c r="K27" i="3"/>
  <c r="J27" i="3"/>
  <c r="I27" i="3"/>
  <c r="H27" i="3"/>
  <c r="G27" i="3"/>
  <c r="F27" i="3"/>
  <c r="E27" i="3"/>
  <c r="D27" i="3"/>
  <c r="C27" i="3"/>
  <c r="AK26" i="3"/>
  <c r="AE26" i="3"/>
  <c r="AD26" i="3"/>
  <c r="AC26" i="3"/>
  <c r="AB26" i="3"/>
  <c r="AA26" i="3"/>
  <c r="Z26" i="3"/>
  <c r="Y26" i="3"/>
  <c r="X26" i="3"/>
  <c r="W26" i="3"/>
  <c r="V26" i="3"/>
  <c r="U26" i="3"/>
  <c r="T26" i="3"/>
  <c r="S26" i="3"/>
  <c r="R26" i="3"/>
  <c r="Q26" i="3"/>
  <c r="P26" i="3"/>
  <c r="O26" i="3"/>
  <c r="N26" i="3"/>
  <c r="M26" i="3"/>
  <c r="L26" i="3"/>
  <c r="K26" i="3"/>
  <c r="J26" i="3"/>
  <c r="I26" i="3"/>
  <c r="H26" i="3"/>
  <c r="G26" i="3"/>
  <c r="F26" i="3"/>
  <c r="E26" i="3"/>
  <c r="D26" i="3"/>
  <c r="C26" i="3"/>
  <c r="AK25" i="3"/>
  <c r="AE25" i="3"/>
  <c r="AD25" i="3"/>
  <c r="AC25" i="3"/>
  <c r="AB25" i="3"/>
  <c r="AA25" i="3"/>
  <c r="Z25" i="3"/>
  <c r="Y25" i="3"/>
  <c r="X25" i="3"/>
  <c r="W25" i="3"/>
  <c r="V25" i="3"/>
  <c r="U25" i="3"/>
  <c r="T25" i="3"/>
  <c r="S25" i="3"/>
  <c r="R25" i="3"/>
  <c r="Q25" i="3"/>
  <c r="P25" i="3"/>
  <c r="O25" i="3"/>
  <c r="N25" i="3"/>
  <c r="M25" i="3"/>
  <c r="L25" i="3"/>
  <c r="K25" i="3"/>
  <c r="J25" i="3"/>
  <c r="I25" i="3"/>
  <c r="H25" i="3"/>
  <c r="G25" i="3"/>
  <c r="F25" i="3"/>
  <c r="E25" i="3"/>
  <c r="D25" i="3"/>
  <c r="C25" i="3"/>
  <c r="AK24" i="3"/>
  <c r="AE24" i="3"/>
  <c r="AD24" i="3"/>
  <c r="AC24" i="3"/>
  <c r="AB24" i="3"/>
  <c r="AA24" i="3"/>
  <c r="Z24" i="3"/>
  <c r="Y24" i="3"/>
  <c r="X24" i="3"/>
  <c r="W24" i="3"/>
  <c r="V24" i="3"/>
  <c r="U24" i="3"/>
  <c r="T24" i="3"/>
  <c r="S24" i="3"/>
  <c r="R24" i="3"/>
  <c r="Q24" i="3"/>
  <c r="P24" i="3"/>
  <c r="O24" i="3"/>
  <c r="N24" i="3"/>
  <c r="M24" i="3"/>
  <c r="L24" i="3"/>
  <c r="K24" i="3"/>
  <c r="J24" i="3"/>
  <c r="I24" i="3"/>
  <c r="H24" i="3"/>
  <c r="G24" i="3"/>
  <c r="F24" i="3"/>
  <c r="E24" i="3"/>
  <c r="D24" i="3"/>
  <c r="C24" i="3"/>
  <c r="AK23" i="3"/>
  <c r="AE23" i="3"/>
  <c r="AD23" i="3"/>
  <c r="AC23" i="3"/>
  <c r="AB23" i="3"/>
  <c r="AA23" i="3"/>
  <c r="Z23" i="3"/>
  <c r="Y23" i="3"/>
  <c r="X23" i="3"/>
  <c r="W23" i="3"/>
  <c r="V23" i="3"/>
  <c r="U23" i="3"/>
  <c r="T23" i="3"/>
  <c r="S23" i="3"/>
  <c r="R23" i="3"/>
  <c r="Q23" i="3"/>
  <c r="P23" i="3"/>
  <c r="O23" i="3"/>
  <c r="N23" i="3"/>
  <c r="M23" i="3"/>
  <c r="L23" i="3"/>
  <c r="K23" i="3"/>
  <c r="J23" i="3"/>
  <c r="I23" i="3"/>
  <c r="H23" i="3"/>
  <c r="G23" i="3"/>
  <c r="F23" i="3"/>
  <c r="E23" i="3"/>
  <c r="D23" i="3"/>
  <c r="C23" i="3"/>
  <c r="AK22" i="3"/>
  <c r="AE22" i="3"/>
  <c r="AD22" i="3"/>
  <c r="AC22" i="3"/>
  <c r="AB22" i="3"/>
  <c r="AA22" i="3"/>
  <c r="Z22" i="3"/>
  <c r="Y22" i="3"/>
  <c r="X22" i="3"/>
  <c r="W22" i="3"/>
  <c r="V22" i="3"/>
  <c r="U22" i="3"/>
  <c r="T22" i="3"/>
  <c r="S22" i="3"/>
  <c r="R22" i="3"/>
  <c r="Q22" i="3"/>
  <c r="P22" i="3"/>
  <c r="O22" i="3"/>
  <c r="N22" i="3"/>
  <c r="M22" i="3"/>
  <c r="L22" i="3"/>
  <c r="K22" i="3"/>
  <c r="J22" i="3"/>
  <c r="I22" i="3"/>
  <c r="H22" i="3"/>
  <c r="G22" i="3"/>
  <c r="F22" i="3"/>
  <c r="E22" i="3"/>
  <c r="D22" i="3"/>
  <c r="C22" i="3"/>
  <c r="AK21" i="3"/>
  <c r="AE21" i="3"/>
  <c r="AD21" i="3"/>
  <c r="AC21" i="3"/>
  <c r="AB21" i="3"/>
  <c r="AA21" i="3"/>
  <c r="Z21" i="3"/>
  <c r="Y21" i="3"/>
  <c r="X21" i="3"/>
  <c r="W21" i="3"/>
  <c r="V21" i="3"/>
  <c r="U21" i="3"/>
  <c r="T21" i="3"/>
  <c r="S21" i="3"/>
  <c r="R21" i="3"/>
  <c r="Q21" i="3"/>
  <c r="P21" i="3"/>
  <c r="O21" i="3"/>
  <c r="N21" i="3"/>
  <c r="M21" i="3"/>
  <c r="L21" i="3"/>
  <c r="K21" i="3"/>
  <c r="J21" i="3"/>
  <c r="I21" i="3"/>
  <c r="H21" i="3"/>
  <c r="G21" i="3"/>
  <c r="F21" i="3"/>
  <c r="E21" i="3"/>
  <c r="D21" i="3"/>
  <c r="C21" i="3"/>
  <c r="AK20" i="3"/>
  <c r="AE20" i="3"/>
  <c r="AD20" i="3"/>
  <c r="AC20" i="3"/>
  <c r="AB20" i="3"/>
  <c r="AA20" i="3"/>
  <c r="Z20" i="3"/>
  <c r="Y20" i="3"/>
  <c r="X20" i="3"/>
  <c r="W20" i="3"/>
  <c r="V20" i="3"/>
  <c r="U20" i="3"/>
  <c r="T20" i="3"/>
  <c r="S20" i="3"/>
  <c r="R20" i="3"/>
  <c r="Q20" i="3"/>
  <c r="P20" i="3"/>
  <c r="O20" i="3"/>
  <c r="N20" i="3"/>
  <c r="M20" i="3"/>
  <c r="L20" i="3"/>
  <c r="K20" i="3"/>
  <c r="J20" i="3"/>
  <c r="I20" i="3"/>
  <c r="H20" i="3"/>
  <c r="G20" i="3"/>
  <c r="F20" i="3"/>
  <c r="E20" i="3"/>
  <c r="D20" i="3"/>
  <c r="C20" i="3"/>
  <c r="AK19" i="3"/>
  <c r="AE19" i="3"/>
  <c r="AD19" i="3"/>
  <c r="AC19" i="3"/>
  <c r="AB19" i="3"/>
  <c r="AA19" i="3"/>
  <c r="Z19" i="3"/>
  <c r="Y19" i="3"/>
  <c r="X19" i="3"/>
  <c r="W19" i="3"/>
  <c r="V19" i="3"/>
  <c r="U19" i="3"/>
  <c r="T19" i="3"/>
  <c r="S19" i="3"/>
  <c r="R19" i="3"/>
  <c r="Q19" i="3"/>
  <c r="P19" i="3"/>
  <c r="O19" i="3"/>
  <c r="N19" i="3"/>
  <c r="M19" i="3"/>
  <c r="L19" i="3"/>
  <c r="K19" i="3"/>
  <c r="J19" i="3"/>
  <c r="I19" i="3"/>
  <c r="H19" i="3"/>
  <c r="G19" i="3"/>
  <c r="F19" i="3"/>
  <c r="E19" i="3"/>
  <c r="D19" i="3"/>
  <c r="C19" i="3"/>
  <c r="AK18" i="3"/>
  <c r="AE18" i="3"/>
  <c r="AD18" i="3"/>
  <c r="AC18" i="3"/>
  <c r="AB18" i="3"/>
  <c r="AA18" i="3"/>
  <c r="Z18" i="3"/>
  <c r="Y18" i="3"/>
  <c r="X18" i="3"/>
  <c r="W18" i="3"/>
  <c r="V18" i="3"/>
  <c r="U18" i="3"/>
  <c r="T18" i="3"/>
  <c r="S18" i="3"/>
  <c r="R18" i="3"/>
  <c r="Q18" i="3"/>
  <c r="P18" i="3"/>
  <c r="O18" i="3"/>
  <c r="N18" i="3"/>
  <c r="M18" i="3"/>
  <c r="L18" i="3"/>
  <c r="K18" i="3"/>
  <c r="J18" i="3"/>
  <c r="I18" i="3"/>
  <c r="H18" i="3"/>
  <c r="G18" i="3"/>
  <c r="F18" i="3"/>
  <c r="E18" i="3"/>
  <c r="D18" i="3"/>
  <c r="C18" i="3"/>
  <c r="AK17" i="3"/>
  <c r="AE17" i="3"/>
  <c r="AD17" i="3"/>
  <c r="AC17" i="3"/>
  <c r="AB17" i="3"/>
  <c r="AA17" i="3"/>
  <c r="Z17" i="3"/>
  <c r="Y17" i="3"/>
  <c r="X17" i="3"/>
  <c r="W17" i="3"/>
  <c r="V17" i="3"/>
  <c r="U17" i="3"/>
  <c r="T17" i="3"/>
  <c r="S17" i="3"/>
  <c r="R17" i="3"/>
  <c r="Q17" i="3"/>
  <c r="P17" i="3"/>
  <c r="O17" i="3"/>
  <c r="N17" i="3"/>
  <c r="M17" i="3"/>
  <c r="L17" i="3"/>
  <c r="K17" i="3"/>
  <c r="J17" i="3"/>
  <c r="I17" i="3"/>
  <c r="H17" i="3"/>
  <c r="G17" i="3"/>
  <c r="F17" i="3"/>
  <c r="E17" i="3"/>
  <c r="D17" i="3"/>
  <c r="C17" i="3"/>
  <c r="AK16" i="3"/>
  <c r="AE16" i="3"/>
  <c r="AD16" i="3"/>
  <c r="AC16" i="3"/>
  <c r="AB16" i="3"/>
  <c r="AA16" i="3"/>
  <c r="Z16" i="3"/>
  <c r="Y16" i="3"/>
  <c r="X16" i="3"/>
  <c r="W16" i="3"/>
  <c r="V16" i="3"/>
  <c r="U16" i="3"/>
  <c r="T16" i="3"/>
  <c r="S16" i="3"/>
  <c r="R16" i="3"/>
  <c r="Q16" i="3"/>
  <c r="P16" i="3"/>
  <c r="O16" i="3"/>
  <c r="N16" i="3"/>
  <c r="M16" i="3"/>
  <c r="L16" i="3"/>
  <c r="K16" i="3"/>
  <c r="J16" i="3"/>
  <c r="I16" i="3"/>
  <c r="H16" i="3"/>
  <c r="G16" i="3"/>
  <c r="F16" i="3"/>
  <c r="E16" i="3"/>
  <c r="D16" i="3"/>
  <c r="C16" i="3"/>
  <c r="AK15" i="3"/>
  <c r="AE15" i="3"/>
  <c r="AD15" i="3"/>
  <c r="AC15" i="3"/>
  <c r="AB15" i="3"/>
  <c r="AA15" i="3"/>
  <c r="Z15" i="3"/>
  <c r="Y15" i="3"/>
  <c r="X15" i="3"/>
  <c r="W15" i="3"/>
  <c r="V15" i="3"/>
  <c r="U15" i="3"/>
  <c r="T15" i="3"/>
  <c r="S15" i="3"/>
  <c r="R15" i="3"/>
  <c r="Q15" i="3"/>
  <c r="P15" i="3"/>
  <c r="O15" i="3"/>
  <c r="N15" i="3"/>
  <c r="M15" i="3"/>
  <c r="L15" i="3"/>
  <c r="K15" i="3"/>
  <c r="J15" i="3"/>
  <c r="I15" i="3"/>
  <c r="H15" i="3"/>
  <c r="G15" i="3"/>
  <c r="F15" i="3"/>
  <c r="E15" i="3"/>
  <c r="D15" i="3"/>
  <c r="C15" i="3"/>
  <c r="AK14" i="3"/>
  <c r="AE14" i="3"/>
  <c r="AD14" i="3"/>
  <c r="AC14" i="3"/>
  <c r="AB14" i="3"/>
  <c r="AA14" i="3"/>
  <c r="Z14" i="3"/>
  <c r="Y14" i="3"/>
  <c r="X14" i="3"/>
  <c r="W14" i="3"/>
  <c r="V14" i="3"/>
  <c r="U14" i="3"/>
  <c r="T14" i="3"/>
  <c r="S14" i="3"/>
  <c r="R14" i="3"/>
  <c r="Q14" i="3"/>
  <c r="P14" i="3"/>
  <c r="O14" i="3"/>
  <c r="N14" i="3"/>
  <c r="M14" i="3"/>
  <c r="L14" i="3"/>
  <c r="K14" i="3"/>
  <c r="J14" i="3"/>
  <c r="I14" i="3"/>
  <c r="H14" i="3"/>
  <c r="G14" i="3"/>
  <c r="F14" i="3"/>
  <c r="E14" i="3"/>
  <c r="D14" i="3"/>
  <c r="C14" i="3"/>
  <c r="AK13" i="3"/>
  <c r="AE13" i="3"/>
  <c r="AD13" i="3"/>
  <c r="AC13" i="3"/>
  <c r="AB13" i="3"/>
  <c r="AA13" i="3"/>
  <c r="Z13" i="3"/>
  <c r="Y13" i="3"/>
  <c r="X13" i="3"/>
  <c r="W13" i="3"/>
  <c r="V13" i="3"/>
  <c r="U13" i="3"/>
  <c r="T13" i="3"/>
  <c r="S13" i="3"/>
  <c r="R13" i="3"/>
  <c r="Q13" i="3"/>
  <c r="P13" i="3"/>
  <c r="O13" i="3"/>
  <c r="N13" i="3"/>
  <c r="M13" i="3"/>
  <c r="L13" i="3"/>
  <c r="K13" i="3"/>
  <c r="J13" i="3"/>
  <c r="I13" i="3"/>
  <c r="H13" i="3"/>
  <c r="G13" i="3"/>
  <c r="F13" i="3"/>
  <c r="E13" i="3"/>
  <c r="D13" i="3"/>
  <c r="C13" i="3"/>
  <c r="AK12" i="3"/>
  <c r="AE12" i="3"/>
  <c r="AD12" i="3"/>
  <c r="AC12" i="3"/>
  <c r="AB12" i="3"/>
  <c r="AA12" i="3"/>
  <c r="Z12" i="3"/>
  <c r="Y12" i="3"/>
  <c r="X12" i="3"/>
  <c r="W12" i="3"/>
  <c r="V12" i="3"/>
  <c r="U12" i="3"/>
  <c r="T12" i="3"/>
  <c r="S12" i="3"/>
  <c r="R12" i="3"/>
  <c r="Q12" i="3"/>
  <c r="P12" i="3"/>
  <c r="O12" i="3"/>
  <c r="N12" i="3"/>
  <c r="M12" i="3"/>
  <c r="L12" i="3"/>
  <c r="K12" i="3"/>
  <c r="J12" i="3"/>
  <c r="I12" i="3"/>
  <c r="H12" i="3"/>
  <c r="G12" i="3"/>
  <c r="F12" i="3"/>
  <c r="E12" i="3"/>
  <c r="D12" i="3"/>
  <c r="C12" i="3"/>
  <c r="AK11" i="3"/>
  <c r="AE11" i="3"/>
  <c r="AD11" i="3"/>
  <c r="AC11" i="3"/>
  <c r="AB11" i="3"/>
  <c r="AA11" i="3"/>
  <c r="Z11" i="3"/>
  <c r="Y11" i="3"/>
  <c r="X11" i="3"/>
  <c r="W11" i="3"/>
  <c r="V11" i="3"/>
  <c r="U11" i="3"/>
  <c r="T11" i="3"/>
  <c r="S11" i="3"/>
  <c r="R11" i="3"/>
  <c r="Q11" i="3"/>
  <c r="P11" i="3"/>
  <c r="O11" i="3"/>
  <c r="N11" i="3"/>
  <c r="M11" i="3"/>
  <c r="L11" i="3"/>
  <c r="K11" i="3"/>
  <c r="J11" i="3"/>
  <c r="I11" i="3"/>
  <c r="H11" i="3"/>
  <c r="G11" i="3"/>
  <c r="F11" i="3"/>
  <c r="E11" i="3"/>
  <c r="D11" i="3"/>
  <c r="C11" i="3"/>
  <c r="AK10" i="3"/>
  <c r="AE10" i="3"/>
  <c r="AD10" i="3"/>
  <c r="AC10" i="3"/>
  <c r="AB10" i="3"/>
  <c r="AA10" i="3"/>
  <c r="Z10" i="3"/>
  <c r="Y10" i="3"/>
  <c r="X10" i="3"/>
  <c r="W10" i="3"/>
  <c r="V10" i="3"/>
  <c r="U10" i="3"/>
  <c r="T10" i="3"/>
  <c r="S10" i="3"/>
  <c r="R10" i="3"/>
  <c r="Q10" i="3"/>
  <c r="P10" i="3"/>
  <c r="O10" i="3"/>
  <c r="N10" i="3"/>
  <c r="M10" i="3"/>
  <c r="L10" i="3"/>
  <c r="K10" i="3"/>
  <c r="J10" i="3"/>
  <c r="I10" i="3"/>
  <c r="H10" i="3"/>
  <c r="G10" i="3"/>
  <c r="F10" i="3"/>
  <c r="E10" i="3"/>
  <c r="D10" i="3"/>
  <c r="C10" i="3"/>
  <c r="AK9" i="3"/>
  <c r="AE9" i="3"/>
  <c r="AD9" i="3"/>
  <c r="AC9" i="3"/>
  <c r="AB9" i="3"/>
  <c r="AA9" i="3"/>
  <c r="Z9" i="3"/>
  <c r="Y9" i="3"/>
  <c r="X9" i="3"/>
  <c r="W9" i="3"/>
  <c r="V9" i="3"/>
  <c r="U9" i="3"/>
  <c r="T9" i="3"/>
  <c r="S9" i="3"/>
  <c r="R9" i="3"/>
  <c r="Q9" i="3"/>
  <c r="P9" i="3"/>
  <c r="O9" i="3"/>
  <c r="N9" i="3"/>
  <c r="M9" i="3"/>
  <c r="L9" i="3"/>
  <c r="K9" i="3"/>
  <c r="J9" i="3"/>
  <c r="I9" i="3"/>
  <c r="H9" i="3"/>
  <c r="G9" i="3"/>
  <c r="F9" i="3"/>
  <c r="E9" i="3"/>
  <c r="D9" i="3"/>
  <c r="C9" i="3"/>
  <c r="AK8" i="3"/>
  <c r="AE8" i="3"/>
  <c r="AD8" i="3"/>
  <c r="AC8" i="3"/>
  <c r="AB8" i="3"/>
  <c r="AA8" i="3"/>
  <c r="Z8" i="3"/>
  <c r="Y8" i="3"/>
  <c r="X8" i="3"/>
  <c r="W8" i="3"/>
  <c r="V8" i="3"/>
  <c r="U8" i="3"/>
  <c r="T8" i="3"/>
  <c r="S8" i="3"/>
  <c r="R8" i="3"/>
  <c r="Q8" i="3"/>
  <c r="P8" i="3"/>
  <c r="O8" i="3"/>
  <c r="N8" i="3"/>
  <c r="M8" i="3"/>
  <c r="L8" i="3"/>
  <c r="K8" i="3"/>
  <c r="J8" i="3"/>
  <c r="I8" i="3"/>
  <c r="H8" i="3"/>
  <c r="G8" i="3"/>
  <c r="F8" i="3"/>
  <c r="E8" i="3"/>
  <c r="D8" i="3"/>
  <c r="C8" i="3"/>
  <c r="AK7" i="3"/>
  <c r="AE7" i="3"/>
  <c r="AD7" i="3"/>
  <c r="AC7" i="3"/>
  <c r="AB7" i="3"/>
  <c r="AA7" i="3"/>
  <c r="Z7" i="3"/>
  <c r="Y7" i="3"/>
  <c r="X7" i="3"/>
  <c r="W7" i="3"/>
  <c r="V7" i="3"/>
  <c r="U7" i="3"/>
  <c r="T7" i="3"/>
  <c r="S7" i="3"/>
  <c r="R7" i="3"/>
  <c r="Q7" i="3"/>
  <c r="P7" i="3"/>
  <c r="O7" i="3"/>
  <c r="N7" i="3"/>
  <c r="M7" i="3"/>
  <c r="L7" i="3"/>
  <c r="K7" i="3"/>
  <c r="J7" i="3"/>
  <c r="I7" i="3"/>
  <c r="H7" i="3"/>
  <c r="G7" i="3"/>
  <c r="F7" i="3"/>
  <c r="E7" i="3"/>
  <c r="D7" i="3"/>
  <c r="C7" i="3"/>
  <c r="AK6" i="3"/>
  <c r="AE6" i="3"/>
  <c r="AD6" i="3"/>
  <c r="AC6" i="3"/>
  <c r="AB6" i="3"/>
  <c r="AA6" i="3"/>
  <c r="Z6" i="3"/>
  <c r="Y6" i="3"/>
  <c r="X6" i="3"/>
  <c r="W6" i="3"/>
  <c r="V6" i="3"/>
  <c r="U6" i="3"/>
  <c r="T6" i="3"/>
  <c r="S6" i="3"/>
  <c r="R6" i="3"/>
  <c r="Q6" i="3"/>
  <c r="P6" i="3"/>
  <c r="O6" i="3"/>
  <c r="N6" i="3"/>
  <c r="M6" i="3"/>
  <c r="L6" i="3"/>
  <c r="K6" i="3"/>
  <c r="J6" i="3"/>
  <c r="I6" i="3"/>
  <c r="H6" i="3"/>
  <c r="G6" i="3"/>
  <c r="F6" i="3"/>
  <c r="E6" i="3"/>
  <c r="D6" i="3"/>
  <c r="C6" i="3"/>
  <c r="AK5" i="3"/>
  <c r="AE5" i="3"/>
  <c r="AD5" i="3"/>
  <c r="AC5" i="3"/>
  <c r="AB5" i="3"/>
  <c r="AA5" i="3"/>
  <c r="Z5" i="3"/>
  <c r="Y5" i="3"/>
  <c r="X5" i="3"/>
  <c r="W5" i="3"/>
  <c r="V5" i="3"/>
  <c r="U5" i="3"/>
  <c r="T5" i="3"/>
  <c r="S5" i="3"/>
  <c r="R5" i="3"/>
  <c r="Q5" i="3"/>
  <c r="P5" i="3"/>
  <c r="O5" i="3"/>
  <c r="N5" i="3"/>
  <c r="M5" i="3"/>
  <c r="L5" i="3"/>
  <c r="K5" i="3"/>
  <c r="J5" i="3"/>
  <c r="I5" i="3"/>
  <c r="H5" i="3"/>
  <c r="G5" i="3"/>
  <c r="F5" i="3"/>
  <c r="E5" i="3"/>
  <c r="D5" i="3"/>
  <c r="C5" i="3"/>
  <c r="AK4" i="3"/>
  <c r="AE4" i="3"/>
  <c r="AD4" i="3"/>
  <c r="AC4" i="3"/>
  <c r="AB4" i="3"/>
  <c r="AA4" i="3"/>
  <c r="Z4" i="3"/>
  <c r="Y4" i="3"/>
  <c r="X4" i="3"/>
  <c r="W4" i="3"/>
  <c r="V4" i="3"/>
  <c r="U4" i="3"/>
  <c r="T4" i="3"/>
  <c r="S4" i="3"/>
  <c r="R4" i="3"/>
  <c r="Q4" i="3"/>
  <c r="P4" i="3"/>
  <c r="O4" i="3"/>
  <c r="N4" i="3"/>
  <c r="M4" i="3"/>
  <c r="L4" i="3"/>
  <c r="K4" i="3"/>
  <c r="J4" i="3"/>
  <c r="I4" i="3"/>
  <c r="H4" i="3"/>
  <c r="G4" i="3"/>
  <c r="F4" i="3"/>
  <c r="E4" i="3"/>
  <c r="D4" i="3"/>
  <c r="C4" i="3"/>
  <c r="AP3" i="3"/>
  <c r="AP4" i="3" s="1"/>
  <c r="AK3" i="3"/>
  <c r="AE3" i="3"/>
  <c r="AD3" i="3"/>
  <c r="AC3" i="3"/>
  <c r="AB3" i="3"/>
  <c r="AA3" i="3"/>
  <c r="Z3" i="3"/>
  <c r="Y3" i="3"/>
  <c r="X3" i="3"/>
  <c r="W3" i="3"/>
  <c r="V3" i="3"/>
  <c r="U3" i="3"/>
  <c r="T3" i="3"/>
  <c r="S3" i="3"/>
  <c r="R3" i="3"/>
  <c r="Q3" i="3"/>
  <c r="P3" i="3"/>
  <c r="O3" i="3"/>
  <c r="N3" i="3"/>
  <c r="M3" i="3"/>
  <c r="L3" i="3"/>
  <c r="K3" i="3"/>
  <c r="J3" i="3"/>
  <c r="I3" i="3"/>
  <c r="H3" i="3"/>
  <c r="G3" i="3"/>
  <c r="F3" i="3"/>
  <c r="E3" i="3"/>
  <c r="D3" i="3"/>
  <c r="C3" i="3"/>
  <c r="AK6" i="25"/>
  <c r="AJ6" i="25"/>
  <c r="AI6" i="25"/>
  <c r="AL6" i="25" s="1"/>
  <c r="AP12" i="36" s="1"/>
  <c r="AK5" i="25"/>
  <c r="AJ5" i="25"/>
  <c r="AI5" i="25"/>
  <c r="AK4" i="25"/>
  <c r="AJ4" i="25"/>
  <c r="AI4" i="25"/>
  <c r="AN3" i="25"/>
  <c r="AN4" i="25" s="1"/>
  <c r="AK3" i="25"/>
  <c r="AJ3" i="25"/>
  <c r="AI3" i="25"/>
  <c r="AK6" i="24"/>
  <c r="AJ6" i="24"/>
  <c r="AI6" i="24"/>
  <c r="AL6" i="24" s="1"/>
  <c r="AP12" i="35" s="1"/>
  <c r="AK5" i="24"/>
  <c r="AJ5" i="24"/>
  <c r="AI5" i="24"/>
  <c r="AK4" i="24"/>
  <c r="AJ4" i="24"/>
  <c r="AI4" i="24"/>
  <c r="AN3" i="24"/>
  <c r="AN4" i="24" s="1"/>
  <c r="AK3" i="24"/>
  <c r="AJ3" i="24"/>
  <c r="AI3" i="24"/>
  <c r="AK6" i="23"/>
  <c r="AJ6" i="23"/>
  <c r="AI6" i="23"/>
  <c r="AK5" i="23"/>
  <c r="AJ5" i="23"/>
  <c r="AI5" i="23"/>
  <c r="AL5" i="23" s="1"/>
  <c r="AP11" i="11" s="1"/>
  <c r="AK4" i="23"/>
  <c r="AJ4" i="23"/>
  <c r="AI4" i="23"/>
  <c r="AN3" i="23"/>
  <c r="AN4" i="23" s="1"/>
  <c r="AK3" i="23"/>
  <c r="AJ3" i="23"/>
  <c r="AI3" i="23"/>
  <c r="AK6" i="22"/>
  <c r="AJ6" i="22"/>
  <c r="AI6" i="22"/>
  <c r="AK5" i="22"/>
  <c r="AJ5" i="22"/>
  <c r="AI5" i="22"/>
  <c r="AK4" i="22"/>
  <c r="AJ4" i="22"/>
  <c r="AI4" i="22"/>
  <c r="AN3" i="22"/>
  <c r="AN4" i="22" s="1"/>
  <c r="AK3" i="22"/>
  <c r="AJ3" i="22"/>
  <c r="AI3" i="22"/>
  <c r="AK6" i="21"/>
  <c r="AJ6" i="21"/>
  <c r="AI6" i="21"/>
  <c r="AK5" i="21"/>
  <c r="AJ5" i="21"/>
  <c r="AI5" i="21"/>
  <c r="AK4" i="21"/>
  <c r="AJ4" i="21"/>
  <c r="AI4" i="21"/>
  <c r="AN3" i="21"/>
  <c r="AN4" i="21" s="1"/>
  <c r="AK3" i="21"/>
  <c r="AJ3" i="21"/>
  <c r="AI3" i="21"/>
  <c r="AK6" i="20"/>
  <c r="AJ6" i="20"/>
  <c r="AI6" i="20"/>
  <c r="AK5" i="20"/>
  <c r="AJ5" i="20"/>
  <c r="AI5" i="20"/>
  <c r="AK4" i="20"/>
  <c r="AJ4" i="20"/>
  <c r="AI4" i="20"/>
  <c r="AN3" i="20"/>
  <c r="AN4" i="20" s="1"/>
  <c r="AK3" i="20"/>
  <c r="AJ3" i="20"/>
  <c r="AI3" i="20"/>
  <c r="AK6" i="19"/>
  <c r="AJ6" i="19"/>
  <c r="AI6" i="19"/>
  <c r="AK5" i="19"/>
  <c r="AJ5" i="19"/>
  <c r="AI5" i="19"/>
  <c r="AK4" i="19"/>
  <c r="AJ4" i="19"/>
  <c r="AI4" i="19"/>
  <c r="AN3" i="19"/>
  <c r="AN4" i="19" s="1"/>
  <c r="AK3" i="19"/>
  <c r="AJ3" i="19"/>
  <c r="AI3" i="19"/>
  <c r="AK6" i="18"/>
  <c r="AJ6" i="18"/>
  <c r="AI6" i="18"/>
  <c r="AK5" i="18"/>
  <c r="AJ5" i="18"/>
  <c r="AI5" i="18"/>
  <c r="AK4" i="18"/>
  <c r="AJ4" i="18"/>
  <c r="AI4" i="18"/>
  <c r="AN3" i="18"/>
  <c r="AN4" i="18" s="1"/>
  <c r="AK3" i="18"/>
  <c r="AJ3" i="18"/>
  <c r="AI3" i="18"/>
  <c r="AK6" i="17"/>
  <c r="AJ6" i="17"/>
  <c r="AI6" i="17"/>
  <c r="AK5" i="17"/>
  <c r="AJ5" i="17"/>
  <c r="AI5" i="17"/>
  <c r="AK4" i="17"/>
  <c r="AJ4" i="17"/>
  <c r="AI4" i="17"/>
  <c r="AN3" i="17"/>
  <c r="AN4" i="17" s="1"/>
  <c r="AK3" i="17"/>
  <c r="AJ3" i="17"/>
  <c r="AI3" i="17"/>
  <c r="AK6" i="16"/>
  <c r="AJ6" i="16"/>
  <c r="AI6" i="16"/>
  <c r="AK5" i="16"/>
  <c r="AJ5" i="16"/>
  <c r="AI5" i="16"/>
  <c r="AK4" i="16"/>
  <c r="AJ4" i="16"/>
  <c r="AI4" i="16"/>
  <c r="AN3" i="16"/>
  <c r="AN4" i="16" s="1"/>
  <c r="AK3" i="16"/>
  <c r="AJ3" i="16"/>
  <c r="AI3" i="16"/>
  <c r="AK6" i="15"/>
  <c r="AJ6" i="15"/>
  <c r="AI6" i="15"/>
  <c r="AK5" i="15"/>
  <c r="AJ5" i="15"/>
  <c r="AI5" i="15"/>
  <c r="AK4" i="15"/>
  <c r="AJ4" i="15"/>
  <c r="AI4" i="15"/>
  <c r="AN3" i="15"/>
  <c r="AN4" i="15" s="1"/>
  <c r="AK3" i="15"/>
  <c r="AJ3" i="15"/>
  <c r="AI3" i="15"/>
  <c r="AK4" i="14"/>
  <c r="AK5" i="14"/>
  <c r="AK6" i="14"/>
  <c r="AK3" i="14"/>
  <c r="AJ4" i="14"/>
  <c r="AJ5" i="14"/>
  <c r="AJ6" i="14"/>
  <c r="AJ3" i="14"/>
  <c r="AI4" i="14"/>
  <c r="AI5" i="14"/>
  <c r="AI6" i="14"/>
  <c r="AL6" i="14" s="1"/>
  <c r="AP12" i="2" s="1"/>
  <c r="AI3" i="14"/>
  <c r="AN3" i="14"/>
  <c r="AN4" i="14" s="1"/>
  <c r="AP15" i="35" l="1"/>
  <c r="AL5" i="14"/>
  <c r="AP11" i="2" s="1"/>
  <c r="AL4" i="14"/>
  <c r="AP10" i="2" s="1"/>
  <c r="AL3" i="16"/>
  <c r="AP9" i="4" s="1"/>
  <c r="AL4" i="16"/>
  <c r="AP10" i="4" s="1"/>
  <c r="AL5" i="17"/>
  <c r="AP11" i="5" s="1"/>
  <c r="AL6" i="18"/>
  <c r="AP12" i="6" s="1"/>
  <c r="AL3" i="19"/>
  <c r="AP9" i="7" s="1"/>
  <c r="AL5" i="20"/>
  <c r="AP11" i="8" s="1"/>
  <c r="AL3" i="20"/>
  <c r="AP9" i="8" s="1"/>
  <c r="AL4" i="20"/>
  <c r="AP10" i="8" s="1"/>
  <c r="AL6" i="21"/>
  <c r="AP12" i="9" s="1"/>
  <c r="AL5" i="21"/>
  <c r="AP11" i="9" s="1"/>
  <c r="AL3" i="23"/>
  <c r="AP9" i="11" s="1"/>
  <c r="AL5" i="24"/>
  <c r="AP11" i="35" s="1"/>
  <c r="AH4" i="3"/>
  <c r="AL4" i="3" s="1"/>
  <c r="AH6" i="3"/>
  <c r="AM6" i="3" s="1"/>
  <c r="AH8" i="3"/>
  <c r="AL8" i="3" s="1"/>
  <c r="AH10" i="3"/>
  <c r="AH12" i="3"/>
  <c r="AH14" i="3"/>
  <c r="AH16" i="3"/>
  <c r="AH18" i="3"/>
  <c r="AH20" i="3"/>
  <c r="AH22" i="3"/>
  <c r="AH24" i="3"/>
  <c r="AH26" i="3"/>
  <c r="AH28" i="3"/>
  <c r="AH30" i="3"/>
  <c r="AH32" i="3"/>
  <c r="AH34" i="3"/>
  <c r="AH36" i="3"/>
  <c r="AH38" i="3"/>
  <c r="AH40" i="3"/>
  <c r="AH42" i="3"/>
  <c r="AH44" i="3"/>
  <c r="AH46" i="3"/>
  <c r="AH48" i="3"/>
  <c r="AH50" i="3"/>
  <c r="AH52" i="3"/>
  <c r="AH54" i="3"/>
  <c r="AH56" i="3"/>
  <c r="AH5" i="3"/>
  <c r="AL5" i="3" s="1"/>
  <c r="AH9" i="3"/>
  <c r="AH11" i="3"/>
  <c r="AH13" i="3"/>
  <c r="AH15" i="3"/>
  <c r="AH17" i="3"/>
  <c r="AH19" i="3"/>
  <c r="AH21" i="3"/>
  <c r="AH23" i="3"/>
  <c r="AH25" i="3"/>
  <c r="AH27" i="3"/>
  <c r="AH29" i="3"/>
  <c r="AH31" i="3"/>
  <c r="AH33" i="3"/>
  <c r="AH35" i="3"/>
  <c r="AH37" i="3"/>
  <c r="AH39" i="3"/>
  <c r="AH41" i="3"/>
  <c r="AH43" i="3"/>
  <c r="AH45" i="3"/>
  <c r="AH47" i="3"/>
  <c r="AH49" i="3"/>
  <c r="AH51" i="3"/>
  <c r="AH53" i="3"/>
  <c r="AH55" i="3"/>
  <c r="AH57" i="3"/>
  <c r="AH7" i="3"/>
  <c r="AL7" i="3" s="1"/>
  <c r="AH3" i="3"/>
  <c r="AL6" i="15"/>
  <c r="AP12" i="3" s="1"/>
  <c r="AL5" i="25"/>
  <c r="AP11" i="36" s="1"/>
  <c r="AL3" i="25"/>
  <c r="AP9" i="36" s="1"/>
  <c r="AL4" i="25"/>
  <c r="AP10" i="36" s="1"/>
  <c r="AL6" i="23"/>
  <c r="AP12" i="11" s="1"/>
  <c r="AL6" i="22"/>
  <c r="AP12" i="10" s="1"/>
  <c r="AL3" i="21"/>
  <c r="AP9" i="9" s="1"/>
  <c r="AL4" i="21"/>
  <c r="AP10" i="9" s="1"/>
  <c r="AL6" i="20"/>
  <c r="AP12" i="8" s="1"/>
  <c r="AL6" i="19"/>
  <c r="AP12" i="7" s="1"/>
  <c r="AL5" i="19"/>
  <c r="AP11" i="7" s="1"/>
  <c r="AL5" i="18"/>
  <c r="AP11" i="6" s="1"/>
  <c r="AL3" i="18"/>
  <c r="AP9" i="6" s="1"/>
  <c r="AL4" i="18"/>
  <c r="AP10" i="6" s="1"/>
  <c r="AL3" i="17"/>
  <c r="AP9" i="5" s="1"/>
  <c r="AL4" i="17"/>
  <c r="AP10" i="5" s="1"/>
  <c r="AL6" i="16"/>
  <c r="AP12" i="4" s="1"/>
  <c r="AL5" i="16"/>
  <c r="AP11" i="4" s="1"/>
  <c r="AL5" i="15"/>
  <c r="AP11" i="3" s="1"/>
  <c r="AL3" i="15"/>
  <c r="AP9" i="3" s="1"/>
  <c r="AL4" i="15"/>
  <c r="AP10" i="3" s="1"/>
  <c r="AL3" i="14"/>
  <c r="AP9" i="2" s="1"/>
  <c r="AH4" i="11"/>
  <c r="AH5" i="11"/>
  <c r="AH7" i="11"/>
  <c r="AH8" i="11"/>
  <c r="AH9" i="11"/>
  <c r="AH13" i="11"/>
  <c r="AH15" i="11"/>
  <c r="AH16" i="11"/>
  <c r="AH17" i="11"/>
  <c r="AH18" i="11"/>
  <c r="AH19" i="11"/>
  <c r="AH21" i="11"/>
  <c r="AH22" i="11"/>
  <c r="AH23" i="11"/>
  <c r="AH25" i="11"/>
  <c r="AH27" i="11"/>
  <c r="AH29" i="11"/>
  <c r="AH31" i="11"/>
  <c r="AH33" i="11"/>
  <c r="AH35" i="11"/>
  <c r="AH37" i="11"/>
  <c r="AH39" i="11"/>
  <c r="AH41" i="11"/>
  <c r="AH43" i="11"/>
  <c r="AH45" i="11"/>
  <c r="AH47" i="11"/>
  <c r="AH49" i="11"/>
  <c r="AH51" i="11"/>
  <c r="AH53" i="11"/>
  <c r="AH54" i="11"/>
  <c r="AH55" i="11"/>
  <c r="AH57" i="11"/>
  <c r="AH10" i="11"/>
  <c r="AH26" i="11"/>
  <c r="AH30" i="11"/>
  <c r="AH34" i="11"/>
  <c r="AH38" i="11"/>
  <c r="AH40" i="11"/>
  <c r="AH42" i="11"/>
  <c r="AH44" i="11"/>
  <c r="AH46" i="11"/>
  <c r="AH48" i="11"/>
  <c r="AH50" i="11"/>
  <c r="AH52" i="11"/>
  <c r="AH56" i="11"/>
  <c r="AH3" i="11"/>
  <c r="AM3" i="11" s="1"/>
  <c r="AH11" i="11"/>
  <c r="AH6" i="11"/>
  <c r="AH12" i="11"/>
  <c r="AH14" i="11"/>
  <c r="AH20" i="11"/>
  <c r="AH24" i="11"/>
  <c r="AH28" i="11"/>
  <c r="AH32" i="11"/>
  <c r="AH36" i="11"/>
  <c r="AD2" i="11"/>
  <c r="AD1" i="11" s="1"/>
  <c r="Z2" i="11"/>
  <c r="Z1" i="11" s="1"/>
  <c r="V2" i="11"/>
  <c r="V1" i="11" s="1"/>
  <c r="R2" i="11"/>
  <c r="R1" i="11" s="1"/>
  <c r="N2" i="11"/>
  <c r="N1" i="11" s="1"/>
  <c r="J2" i="11"/>
  <c r="J1" i="11" s="1"/>
  <c r="F2" i="11"/>
  <c r="F1" i="11" s="1"/>
  <c r="AG2" i="11"/>
  <c r="AG1" i="11" s="1"/>
  <c r="AC2" i="11"/>
  <c r="AC1" i="11" s="1"/>
  <c r="Y2" i="11"/>
  <c r="Y1" i="11" s="1"/>
  <c r="U2" i="11"/>
  <c r="U1" i="11" s="1"/>
  <c r="Q2" i="11"/>
  <c r="Q1" i="11" s="1"/>
  <c r="M2" i="11"/>
  <c r="M1" i="11" s="1"/>
  <c r="I2" i="11"/>
  <c r="I1" i="11" s="1"/>
  <c r="E2" i="11"/>
  <c r="E1" i="11" s="1"/>
  <c r="AF2" i="11"/>
  <c r="AF1" i="11" s="1"/>
  <c r="AB2" i="11"/>
  <c r="AB1" i="11" s="1"/>
  <c r="X2" i="11"/>
  <c r="X1" i="11" s="1"/>
  <c r="T2" i="11"/>
  <c r="T1" i="11" s="1"/>
  <c r="P2" i="11"/>
  <c r="P1" i="11" s="1"/>
  <c r="L2" i="11"/>
  <c r="L1" i="11" s="1"/>
  <c r="H2" i="11"/>
  <c r="H1" i="11" s="1"/>
  <c r="D2" i="11"/>
  <c r="D1" i="11" s="1"/>
  <c r="AE2" i="11"/>
  <c r="AE1" i="11" s="1"/>
  <c r="AA2" i="11"/>
  <c r="AA1" i="11" s="1"/>
  <c r="W2" i="11"/>
  <c r="W1" i="11" s="1"/>
  <c r="S2" i="11"/>
  <c r="S1" i="11" s="1"/>
  <c r="O2" i="11"/>
  <c r="O1" i="11" s="1"/>
  <c r="K2" i="11"/>
  <c r="K1" i="11" s="1"/>
  <c r="G2" i="11"/>
  <c r="G1" i="11" s="1"/>
  <c r="C2" i="11"/>
  <c r="C1" i="11" s="1"/>
  <c r="AH7" i="10"/>
  <c r="AL7" i="10" s="1"/>
  <c r="AH8" i="10"/>
  <c r="AM8" i="10" s="1"/>
  <c r="AH13" i="10"/>
  <c r="AH15" i="10"/>
  <c r="AH16" i="10"/>
  <c r="AH17" i="10"/>
  <c r="AH18" i="10"/>
  <c r="AH19" i="10"/>
  <c r="AH21" i="10"/>
  <c r="AH22" i="10"/>
  <c r="AH23" i="10"/>
  <c r="AH25" i="10"/>
  <c r="AH26" i="10"/>
  <c r="AH27" i="10"/>
  <c r="AH29" i="10"/>
  <c r="AH31" i="10"/>
  <c r="AH33" i="10"/>
  <c r="AH35" i="10"/>
  <c r="AH37" i="10"/>
  <c r="AH39" i="10"/>
  <c r="AH41" i="10"/>
  <c r="AH43" i="10"/>
  <c r="AH44" i="10"/>
  <c r="AH45" i="10"/>
  <c r="AH46" i="10"/>
  <c r="AH47" i="10"/>
  <c r="AH48" i="10"/>
  <c r="AH49" i="10"/>
  <c r="AH50" i="10"/>
  <c r="AH51" i="10"/>
  <c r="AH53" i="10"/>
  <c r="AH54" i="10"/>
  <c r="AH55" i="10"/>
  <c r="AH57" i="10"/>
  <c r="AH5" i="10"/>
  <c r="AM5" i="10" s="1"/>
  <c r="AH9" i="10"/>
  <c r="AH10" i="10"/>
  <c r="AH30" i="10"/>
  <c r="AH34" i="10"/>
  <c r="AH36" i="10"/>
  <c r="AH38" i="10"/>
  <c r="AH40" i="10"/>
  <c r="AH42" i="10"/>
  <c r="AH52" i="10"/>
  <c r="AH56" i="10"/>
  <c r="AH3" i="10"/>
  <c r="AH4" i="10"/>
  <c r="AL4" i="10" s="1"/>
  <c r="AH11" i="10"/>
  <c r="AH6" i="10"/>
  <c r="AL6" i="10" s="1"/>
  <c r="AH12" i="10"/>
  <c r="AH14" i="10"/>
  <c r="AH20" i="10"/>
  <c r="AH24" i="10"/>
  <c r="AH28" i="10"/>
  <c r="AH32" i="10"/>
  <c r="AM19" i="10"/>
  <c r="AD2" i="10"/>
  <c r="AD1" i="10" s="1"/>
  <c r="Z2" i="10"/>
  <c r="Z1" i="10" s="1"/>
  <c r="V2" i="10"/>
  <c r="V1" i="10" s="1"/>
  <c r="R2" i="10"/>
  <c r="R1" i="10" s="1"/>
  <c r="N2" i="10"/>
  <c r="N1" i="10" s="1"/>
  <c r="J2" i="10"/>
  <c r="J1" i="10" s="1"/>
  <c r="F2" i="10"/>
  <c r="F1" i="10" s="1"/>
  <c r="AG2" i="10"/>
  <c r="AG1" i="10" s="1"/>
  <c r="AC2" i="10"/>
  <c r="AC1" i="10" s="1"/>
  <c r="Y2" i="10"/>
  <c r="Y1" i="10" s="1"/>
  <c r="U2" i="10"/>
  <c r="U1" i="10" s="1"/>
  <c r="Q2" i="10"/>
  <c r="Q1" i="10" s="1"/>
  <c r="M2" i="10"/>
  <c r="M1" i="10" s="1"/>
  <c r="I2" i="10"/>
  <c r="I1" i="10" s="1"/>
  <c r="E2" i="10"/>
  <c r="E1" i="10" s="1"/>
  <c r="AF2" i="10"/>
  <c r="AF1" i="10" s="1"/>
  <c r="AB2" i="10"/>
  <c r="AB1" i="10" s="1"/>
  <c r="X2" i="10"/>
  <c r="X1" i="10" s="1"/>
  <c r="T2" i="10"/>
  <c r="T1" i="10" s="1"/>
  <c r="P2" i="10"/>
  <c r="P1" i="10" s="1"/>
  <c r="L2" i="10"/>
  <c r="L1" i="10" s="1"/>
  <c r="H2" i="10"/>
  <c r="H1" i="10" s="1"/>
  <c r="D2" i="10"/>
  <c r="D1" i="10" s="1"/>
  <c r="AE2" i="10"/>
  <c r="AE1" i="10" s="1"/>
  <c r="AA2" i="10"/>
  <c r="AA1" i="10" s="1"/>
  <c r="W2" i="10"/>
  <c r="W1" i="10" s="1"/>
  <c r="S2" i="10"/>
  <c r="S1" i="10" s="1"/>
  <c r="O2" i="10"/>
  <c r="O1" i="10" s="1"/>
  <c r="K2" i="10"/>
  <c r="K1" i="10" s="1"/>
  <c r="G2" i="10"/>
  <c r="G1" i="10" s="1"/>
  <c r="C2" i="10"/>
  <c r="C1" i="10" s="1"/>
  <c r="AH12" i="9"/>
  <c r="J11" i="1" s="1"/>
  <c r="AH14" i="9"/>
  <c r="J13" i="1" s="1"/>
  <c r="AH18" i="9"/>
  <c r="AH20" i="9"/>
  <c r="J19" i="1" s="1"/>
  <c r="AH22" i="9"/>
  <c r="AH24" i="9"/>
  <c r="J23" i="1" s="1"/>
  <c r="AH26" i="9"/>
  <c r="AH28" i="9"/>
  <c r="J27" i="1" s="1"/>
  <c r="AH30" i="9"/>
  <c r="AH32" i="9"/>
  <c r="J31" i="1" s="1"/>
  <c r="AH34" i="9"/>
  <c r="AH36" i="9"/>
  <c r="J35" i="1" s="1"/>
  <c r="AH38" i="9"/>
  <c r="AH40" i="9"/>
  <c r="J39" i="1" s="1"/>
  <c r="AH42" i="9"/>
  <c r="AH44" i="9"/>
  <c r="J43" i="1" s="1"/>
  <c r="AH46" i="9"/>
  <c r="AH48" i="9"/>
  <c r="J47" i="1" s="1"/>
  <c r="AH50" i="9"/>
  <c r="AH51" i="9"/>
  <c r="J50" i="1" s="1"/>
  <c r="AH54" i="9"/>
  <c r="AH55" i="9"/>
  <c r="J54" i="1" s="1"/>
  <c r="AH3" i="9"/>
  <c r="AH6" i="9"/>
  <c r="AH8" i="9"/>
  <c r="AL8" i="9" s="1"/>
  <c r="AH56" i="9"/>
  <c r="J55" i="1" s="1"/>
  <c r="AH4" i="9"/>
  <c r="AH5" i="9"/>
  <c r="AH9" i="9"/>
  <c r="J8" i="1" s="1"/>
  <c r="AH13" i="9"/>
  <c r="J12" i="1" s="1"/>
  <c r="AH19" i="9"/>
  <c r="J18" i="1" s="1"/>
  <c r="AH23" i="9"/>
  <c r="J22" i="1" s="1"/>
  <c r="AH27" i="9"/>
  <c r="AH31" i="9"/>
  <c r="J30" i="1" s="1"/>
  <c r="AH35" i="9"/>
  <c r="J34" i="1" s="1"/>
  <c r="AH39" i="9"/>
  <c r="J38" i="1" s="1"/>
  <c r="AH43" i="9"/>
  <c r="AH47" i="9"/>
  <c r="J46" i="1" s="1"/>
  <c r="AH10" i="9"/>
  <c r="AH52" i="9"/>
  <c r="J51" i="1" s="1"/>
  <c r="AH7" i="9"/>
  <c r="AL7" i="9" s="1"/>
  <c r="AH11" i="9"/>
  <c r="J10" i="1" s="1"/>
  <c r="AH15" i="9"/>
  <c r="AH16" i="9"/>
  <c r="AH17" i="9"/>
  <c r="AH21" i="9"/>
  <c r="AH25" i="9"/>
  <c r="AH29" i="9"/>
  <c r="AH33" i="9"/>
  <c r="AH37" i="9"/>
  <c r="AH41" i="9"/>
  <c r="AH45" i="9"/>
  <c r="AH49" i="9"/>
  <c r="AH53" i="9"/>
  <c r="AH57" i="9"/>
  <c r="AM3" i="9"/>
  <c r="AL3" i="9"/>
  <c r="AL6" i="9"/>
  <c r="AM6" i="9"/>
  <c r="AM12" i="9"/>
  <c r="AL12" i="9"/>
  <c r="AL14" i="9"/>
  <c r="AM14" i="9"/>
  <c r="AL20" i="9"/>
  <c r="AM20" i="9"/>
  <c r="AL24" i="9"/>
  <c r="AM24" i="9"/>
  <c r="AL28" i="9"/>
  <c r="AM28" i="9"/>
  <c r="AL32" i="9"/>
  <c r="AM32" i="9"/>
  <c r="AL36" i="9"/>
  <c r="AM36" i="9"/>
  <c r="AL40" i="9"/>
  <c r="AM40" i="9"/>
  <c r="AL44" i="9"/>
  <c r="AM44" i="9"/>
  <c r="AL48" i="9"/>
  <c r="AM48" i="9"/>
  <c r="AM51" i="9"/>
  <c r="AL51" i="9"/>
  <c r="AM55" i="9"/>
  <c r="AL55" i="9"/>
  <c r="AL56" i="9"/>
  <c r="AM56" i="9"/>
  <c r="AM4" i="9"/>
  <c r="AL4" i="9"/>
  <c r="AM5" i="9"/>
  <c r="AL5" i="9"/>
  <c r="AM9" i="9"/>
  <c r="AL9" i="9"/>
  <c r="AM13" i="9"/>
  <c r="AL13" i="9"/>
  <c r="AM19" i="9"/>
  <c r="AL19" i="9"/>
  <c r="AM23" i="9"/>
  <c r="AL23" i="9"/>
  <c r="AL27" i="9"/>
  <c r="AM31" i="9"/>
  <c r="AL31" i="9"/>
  <c r="AM35" i="9"/>
  <c r="AL35" i="9"/>
  <c r="AM39" i="9"/>
  <c r="AL39" i="9"/>
  <c r="AM47" i="9"/>
  <c r="AL47" i="9"/>
  <c r="AM10" i="9"/>
  <c r="AL52" i="9"/>
  <c r="AM52" i="9"/>
  <c r="AD2" i="9"/>
  <c r="AD1" i="9" s="1"/>
  <c r="Z2" i="9"/>
  <c r="Z1" i="9" s="1"/>
  <c r="V2" i="9"/>
  <c r="V1" i="9" s="1"/>
  <c r="R2" i="9"/>
  <c r="R1" i="9" s="1"/>
  <c r="N2" i="9"/>
  <c r="N1" i="9" s="1"/>
  <c r="J2" i="9"/>
  <c r="J1" i="9" s="1"/>
  <c r="F2" i="9"/>
  <c r="F1" i="9" s="1"/>
  <c r="AG2" i="9"/>
  <c r="AG1" i="9" s="1"/>
  <c r="AC2" i="9"/>
  <c r="AC1" i="9" s="1"/>
  <c r="Y2" i="9"/>
  <c r="Y1" i="9" s="1"/>
  <c r="U2" i="9"/>
  <c r="U1" i="9" s="1"/>
  <c r="Q2" i="9"/>
  <c r="Q1" i="9" s="1"/>
  <c r="M2" i="9"/>
  <c r="M1" i="9" s="1"/>
  <c r="I2" i="9"/>
  <c r="I1" i="9" s="1"/>
  <c r="E2" i="9"/>
  <c r="E1" i="9" s="1"/>
  <c r="AF2" i="9"/>
  <c r="AF1" i="9" s="1"/>
  <c r="AB2" i="9"/>
  <c r="AB1" i="9" s="1"/>
  <c r="X2" i="9"/>
  <c r="X1" i="9" s="1"/>
  <c r="T2" i="9"/>
  <c r="T1" i="9" s="1"/>
  <c r="P2" i="9"/>
  <c r="P1" i="9" s="1"/>
  <c r="L2" i="9"/>
  <c r="L1" i="9" s="1"/>
  <c r="H2" i="9"/>
  <c r="H1" i="9" s="1"/>
  <c r="D2" i="9"/>
  <c r="D1" i="9" s="1"/>
  <c r="AE2" i="9"/>
  <c r="AE1" i="9" s="1"/>
  <c r="AA2" i="9"/>
  <c r="AA1" i="9" s="1"/>
  <c r="W2" i="9"/>
  <c r="W1" i="9" s="1"/>
  <c r="S2" i="9"/>
  <c r="S1" i="9" s="1"/>
  <c r="O2" i="9"/>
  <c r="O1" i="9" s="1"/>
  <c r="K2" i="9"/>
  <c r="K1" i="9" s="1"/>
  <c r="G2" i="9"/>
  <c r="G1" i="9" s="1"/>
  <c r="C2" i="9"/>
  <c r="C1" i="9" s="1"/>
  <c r="AM8" i="9"/>
  <c r="AM11" i="9"/>
  <c r="AL11" i="9"/>
  <c r="AM16" i="9"/>
  <c r="AM18" i="9"/>
  <c r="AM21" i="9"/>
  <c r="AM22" i="9"/>
  <c r="AM26" i="9"/>
  <c r="AM29" i="9"/>
  <c r="AM30" i="9"/>
  <c r="AM34" i="9"/>
  <c r="AM37" i="9"/>
  <c r="AM38" i="9"/>
  <c r="AM42" i="9"/>
  <c r="AM45" i="9"/>
  <c r="AM46" i="9"/>
  <c r="AM50" i="9"/>
  <c r="AM54" i="9"/>
  <c r="AH4" i="8"/>
  <c r="AL4" i="8" s="1"/>
  <c r="AH5" i="8"/>
  <c r="AM5" i="8" s="1"/>
  <c r="AH9" i="8"/>
  <c r="AH13" i="8"/>
  <c r="AH31" i="8"/>
  <c r="AH35" i="8"/>
  <c r="AH39" i="8"/>
  <c r="AH6" i="8"/>
  <c r="AL6" i="8" s="1"/>
  <c r="AH7" i="8"/>
  <c r="AL7" i="8" s="1"/>
  <c r="AH8" i="8"/>
  <c r="AL8" i="8" s="1"/>
  <c r="AH12" i="8"/>
  <c r="AH15" i="8"/>
  <c r="AH16" i="8"/>
  <c r="AH17" i="8"/>
  <c r="AH18" i="8"/>
  <c r="AH19" i="8"/>
  <c r="AH21" i="8"/>
  <c r="AH22" i="8"/>
  <c r="AH23" i="8"/>
  <c r="AH25" i="8"/>
  <c r="AH26" i="8"/>
  <c r="AH27" i="8"/>
  <c r="AH29" i="8"/>
  <c r="AH30" i="8"/>
  <c r="AH33" i="8"/>
  <c r="AH34" i="8"/>
  <c r="AH37" i="8"/>
  <c r="AH38" i="8"/>
  <c r="AH41" i="8"/>
  <c r="AH42" i="8"/>
  <c r="AH43" i="8"/>
  <c r="AH45" i="8"/>
  <c r="AH46" i="8"/>
  <c r="AH47" i="8"/>
  <c r="AH49" i="8"/>
  <c r="AH50" i="8"/>
  <c r="AH51" i="8"/>
  <c r="AH53" i="8"/>
  <c r="AH54" i="8"/>
  <c r="AH55" i="8"/>
  <c r="AH57" i="8"/>
  <c r="AH3" i="8"/>
  <c r="AH10" i="8"/>
  <c r="AH14" i="8"/>
  <c r="AH20" i="8"/>
  <c r="AH24" i="8"/>
  <c r="AH32" i="8"/>
  <c r="AH36" i="8"/>
  <c r="AH40" i="8"/>
  <c r="AH44" i="8"/>
  <c r="AH48" i="8"/>
  <c r="AH52" i="8"/>
  <c r="AH56" i="8"/>
  <c r="AH11" i="8"/>
  <c r="AH28" i="8"/>
  <c r="AD2" i="8"/>
  <c r="AD1" i="8" s="1"/>
  <c r="Z2" i="8"/>
  <c r="Z1" i="8" s="1"/>
  <c r="V2" i="8"/>
  <c r="V1" i="8" s="1"/>
  <c r="R2" i="8"/>
  <c r="R1" i="8" s="1"/>
  <c r="N2" i="8"/>
  <c r="N1" i="8" s="1"/>
  <c r="J2" i="8"/>
  <c r="J1" i="8" s="1"/>
  <c r="F2" i="8"/>
  <c r="F1" i="8" s="1"/>
  <c r="AG2" i="8"/>
  <c r="AG1" i="8" s="1"/>
  <c r="AC2" i="8"/>
  <c r="AC1" i="8" s="1"/>
  <c r="Y2" i="8"/>
  <c r="Y1" i="8" s="1"/>
  <c r="U2" i="8"/>
  <c r="U1" i="8" s="1"/>
  <c r="Q2" i="8"/>
  <c r="Q1" i="8" s="1"/>
  <c r="M2" i="8"/>
  <c r="M1" i="8" s="1"/>
  <c r="I2" i="8"/>
  <c r="I1" i="8" s="1"/>
  <c r="E2" i="8"/>
  <c r="E1" i="8" s="1"/>
  <c r="AF2" i="8"/>
  <c r="AF1" i="8" s="1"/>
  <c r="AB2" i="8"/>
  <c r="AB1" i="8" s="1"/>
  <c r="X2" i="8"/>
  <c r="X1" i="8" s="1"/>
  <c r="T2" i="8"/>
  <c r="T1" i="8" s="1"/>
  <c r="P2" i="8"/>
  <c r="P1" i="8" s="1"/>
  <c r="L2" i="8"/>
  <c r="L1" i="8" s="1"/>
  <c r="H2" i="8"/>
  <c r="H1" i="8" s="1"/>
  <c r="D2" i="8"/>
  <c r="D1" i="8" s="1"/>
  <c r="AE2" i="8"/>
  <c r="AE1" i="8" s="1"/>
  <c r="AA2" i="8"/>
  <c r="AA1" i="8" s="1"/>
  <c r="W2" i="8"/>
  <c r="W1" i="8" s="1"/>
  <c r="S2" i="8"/>
  <c r="S1" i="8" s="1"/>
  <c r="O2" i="8"/>
  <c r="O1" i="8" s="1"/>
  <c r="K2" i="8"/>
  <c r="K1" i="8" s="1"/>
  <c r="G2" i="8"/>
  <c r="G1" i="8" s="1"/>
  <c r="C2" i="8"/>
  <c r="C1" i="8" s="1"/>
  <c r="AH4" i="7"/>
  <c r="AL4" i="7" s="1"/>
  <c r="AH5" i="7"/>
  <c r="AM5" i="7" s="1"/>
  <c r="AH7" i="7"/>
  <c r="AL7" i="7" s="1"/>
  <c r="AH9" i="7"/>
  <c r="AH13" i="7"/>
  <c r="AH15" i="7"/>
  <c r="AH16" i="7"/>
  <c r="AH17" i="7"/>
  <c r="AH18" i="7"/>
  <c r="AH19" i="7"/>
  <c r="AH20" i="7"/>
  <c r="AH21" i="7"/>
  <c r="AH22" i="7"/>
  <c r="AH23" i="7"/>
  <c r="AH25" i="7"/>
  <c r="AH26" i="7"/>
  <c r="AH27" i="7"/>
  <c r="AH29" i="7"/>
  <c r="AH30" i="7"/>
  <c r="AH31" i="7"/>
  <c r="AH33" i="7"/>
  <c r="AH35" i="7"/>
  <c r="AH37" i="7"/>
  <c r="AH38" i="7"/>
  <c r="AH39" i="7"/>
  <c r="AH41" i="7"/>
  <c r="AH43" i="7"/>
  <c r="AH45" i="7"/>
  <c r="AH47" i="7"/>
  <c r="AH49" i="7"/>
  <c r="AH51" i="7"/>
  <c r="AH53" i="7"/>
  <c r="AH55" i="7"/>
  <c r="AH57" i="7"/>
  <c r="AH3" i="7"/>
  <c r="AH8" i="7"/>
  <c r="AL8" i="7" s="1"/>
  <c r="AH10" i="7"/>
  <c r="AH24" i="7"/>
  <c r="AH28" i="7"/>
  <c r="AH32" i="7"/>
  <c r="AH34" i="7"/>
  <c r="AH36" i="7"/>
  <c r="AH42" i="7"/>
  <c r="AH44" i="7"/>
  <c r="AH46" i="7"/>
  <c r="AH48" i="7"/>
  <c r="AH50" i="7"/>
  <c r="AH52" i="7"/>
  <c r="AH54" i="7"/>
  <c r="AH56" i="7"/>
  <c r="AH11" i="7"/>
  <c r="AH6" i="7"/>
  <c r="AL6" i="7" s="1"/>
  <c r="AH12" i="7"/>
  <c r="AH14" i="7"/>
  <c r="AH40" i="7"/>
  <c r="AD2" i="7"/>
  <c r="AD1" i="7" s="1"/>
  <c r="Z2" i="7"/>
  <c r="Z1" i="7" s="1"/>
  <c r="V2" i="7"/>
  <c r="V1" i="7" s="1"/>
  <c r="R2" i="7"/>
  <c r="R1" i="7" s="1"/>
  <c r="N2" i="7"/>
  <c r="N1" i="7" s="1"/>
  <c r="J2" i="7"/>
  <c r="J1" i="7" s="1"/>
  <c r="F2" i="7"/>
  <c r="F1" i="7" s="1"/>
  <c r="AG2" i="7"/>
  <c r="AG1" i="7" s="1"/>
  <c r="AC2" i="7"/>
  <c r="AC1" i="7" s="1"/>
  <c r="Y2" i="7"/>
  <c r="Y1" i="7" s="1"/>
  <c r="U2" i="7"/>
  <c r="U1" i="7" s="1"/>
  <c r="Q2" i="7"/>
  <c r="Q1" i="7" s="1"/>
  <c r="M2" i="7"/>
  <c r="M1" i="7" s="1"/>
  <c r="I2" i="7"/>
  <c r="I1" i="7" s="1"/>
  <c r="E2" i="7"/>
  <c r="E1" i="7" s="1"/>
  <c r="AF2" i="7"/>
  <c r="AF1" i="7" s="1"/>
  <c r="AB2" i="7"/>
  <c r="AB1" i="7" s="1"/>
  <c r="X2" i="7"/>
  <c r="X1" i="7" s="1"/>
  <c r="T2" i="7"/>
  <c r="T1" i="7" s="1"/>
  <c r="P2" i="7"/>
  <c r="P1" i="7" s="1"/>
  <c r="L2" i="7"/>
  <c r="L1" i="7" s="1"/>
  <c r="H2" i="7"/>
  <c r="H1" i="7" s="1"/>
  <c r="D2" i="7"/>
  <c r="D1" i="7" s="1"/>
  <c r="AE2" i="7"/>
  <c r="AE1" i="7" s="1"/>
  <c r="AA2" i="7"/>
  <c r="AA1" i="7" s="1"/>
  <c r="W2" i="7"/>
  <c r="W1" i="7" s="1"/>
  <c r="S2" i="7"/>
  <c r="S1" i="7" s="1"/>
  <c r="O2" i="7"/>
  <c r="O1" i="7" s="1"/>
  <c r="K2" i="7"/>
  <c r="K1" i="7" s="1"/>
  <c r="G2" i="7"/>
  <c r="G1" i="7" s="1"/>
  <c r="C2" i="7"/>
  <c r="C1" i="7" s="1"/>
  <c r="AH4" i="6"/>
  <c r="AL4" i="6" s="1"/>
  <c r="AH5" i="6"/>
  <c r="AL5" i="6" s="1"/>
  <c r="AH10" i="6"/>
  <c r="AH51" i="6"/>
  <c r="AH55" i="6"/>
  <c r="AH3" i="6"/>
  <c r="AH8" i="6"/>
  <c r="AL8" i="6" s="1"/>
  <c r="AH9" i="6"/>
  <c r="AH13" i="6"/>
  <c r="AH18" i="6"/>
  <c r="AH19" i="6"/>
  <c r="AH22" i="6"/>
  <c r="AH23" i="6"/>
  <c r="AH26" i="6"/>
  <c r="AH27" i="6"/>
  <c r="AH30" i="6"/>
  <c r="AH31" i="6"/>
  <c r="AH34" i="6"/>
  <c r="AH35" i="6"/>
  <c r="AH38" i="6"/>
  <c r="AH39" i="6"/>
  <c r="AH42" i="6"/>
  <c r="AH43" i="6"/>
  <c r="AH46" i="6"/>
  <c r="AH47" i="6"/>
  <c r="AH50" i="6"/>
  <c r="AH54" i="6"/>
  <c r="AH6" i="6"/>
  <c r="AL6" i="6" s="1"/>
  <c r="AH11" i="6"/>
  <c r="AH14" i="6"/>
  <c r="AH20" i="6"/>
  <c r="AH24" i="6"/>
  <c r="AH28" i="6"/>
  <c r="AH32" i="6"/>
  <c r="AH36" i="6"/>
  <c r="AH40" i="6"/>
  <c r="AH44" i="6"/>
  <c r="AH48" i="6"/>
  <c r="AH52" i="6"/>
  <c r="AH56" i="6"/>
  <c r="AH7" i="6"/>
  <c r="AL7" i="6" s="1"/>
  <c r="AH12" i="6"/>
  <c r="AH15" i="6"/>
  <c r="AH16" i="6"/>
  <c r="AH17" i="6"/>
  <c r="AH21" i="6"/>
  <c r="AH25" i="6"/>
  <c r="AH29" i="6"/>
  <c r="AH33" i="6"/>
  <c r="AH37" i="6"/>
  <c r="AH41" i="6"/>
  <c r="AH45" i="6"/>
  <c r="AH49" i="6"/>
  <c r="AH53" i="6"/>
  <c r="AH57" i="6"/>
  <c r="AM9" i="6"/>
  <c r="AM23" i="6"/>
  <c r="AD2" i="6"/>
  <c r="AD1" i="6" s="1"/>
  <c r="Z2" i="6"/>
  <c r="Z1" i="6" s="1"/>
  <c r="V2" i="6"/>
  <c r="V1" i="6" s="1"/>
  <c r="R2" i="6"/>
  <c r="R1" i="6" s="1"/>
  <c r="N2" i="6"/>
  <c r="N1" i="6" s="1"/>
  <c r="J2" i="6"/>
  <c r="J1" i="6" s="1"/>
  <c r="F2" i="6"/>
  <c r="F1" i="6" s="1"/>
  <c r="T2" i="6"/>
  <c r="T1" i="6" s="1"/>
  <c r="S2" i="6"/>
  <c r="S1" i="6" s="1"/>
  <c r="G2" i="6"/>
  <c r="G1" i="6" s="1"/>
  <c r="AG2" i="6"/>
  <c r="AG1" i="6" s="1"/>
  <c r="AC2" i="6"/>
  <c r="AC1" i="6" s="1"/>
  <c r="Y2" i="6"/>
  <c r="Y1" i="6" s="1"/>
  <c r="U2" i="6"/>
  <c r="U1" i="6" s="1"/>
  <c r="Q2" i="6"/>
  <c r="Q1" i="6" s="1"/>
  <c r="M2" i="6"/>
  <c r="M1" i="6" s="1"/>
  <c r="I2" i="6"/>
  <c r="I1" i="6" s="1"/>
  <c r="E2" i="6"/>
  <c r="E1" i="6" s="1"/>
  <c r="AB2" i="6"/>
  <c r="AB1" i="6" s="1"/>
  <c r="P2" i="6"/>
  <c r="P1" i="6" s="1"/>
  <c r="H2" i="6"/>
  <c r="H1" i="6" s="1"/>
  <c r="W2" i="6"/>
  <c r="W1" i="6" s="1"/>
  <c r="C2" i="6"/>
  <c r="C1" i="6" s="1"/>
  <c r="AF2" i="6"/>
  <c r="AF1" i="6" s="1"/>
  <c r="X2" i="6"/>
  <c r="X1" i="6" s="1"/>
  <c r="L2" i="6"/>
  <c r="L1" i="6" s="1"/>
  <c r="D2" i="6"/>
  <c r="D1" i="6" s="1"/>
  <c r="AA2" i="6"/>
  <c r="AA1" i="6" s="1"/>
  <c r="K2" i="6"/>
  <c r="K1" i="6" s="1"/>
  <c r="AE2" i="6"/>
  <c r="AE1" i="6" s="1"/>
  <c r="O2" i="6"/>
  <c r="O1" i="6" s="1"/>
  <c r="AH18" i="5"/>
  <c r="AH22" i="5"/>
  <c r="AH30" i="5"/>
  <c r="AH34" i="5"/>
  <c r="AH38" i="5"/>
  <c r="AH42" i="5"/>
  <c r="AH52" i="5"/>
  <c r="AH46" i="5"/>
  <c r="AH50" i="5"/>
  <c r="AH54" i="5"/>
  <c r="AH8" i="5"/>
  <c r="AM8" i="5" s="1"/>
  <c r="AH12" i="5"/>
  <c r="AH26" i="5"/>
  <c r="AH7" i="5"/>
  <c r="AL7" i="5" s="1"/>
  <c r="AH11" i="5"/>
  <c r="AH15" i="5"/>
  <c r="AH16" i="5"/>
  <c r="AH17" i="5"/>
  <c r="AH21" i="5"/>
  <c r="AH25" i="5"/>
  <c r="AH29" i="5"/>
  <c r="AH33" i="5"/>
  <c r="AH37" i="5"/>
  <c r="AH41" i="5"/>
  <c r="AH43" i="5"/>
  <c r="AH45" i="5"/>
  <c r="AH47" i="5"/>
  <c r="AH49" i="5"/>
  <c r="AH51" i="5"/>
  <c r="AH53" i="5"/>
  <c r="AH55" i="5"/>
  <c r="AH57" i="5"/>
  <c r="AH3" i="5"/>
  <c r="AH4" i="5"/>
  <c r="AL4" i="5" s="1"/>
  <c r="AH5" i="5"/>
  <c r="AM5" i="5" s="1"/>
  <c r="AH9" i="5"/>
  <c r="AH13" i="5"/>
  <c r="AH19" i="5"/>
  <c r="AH23" i="5"/>
  <c r="AH27" i="5"/>
  <c r="AH31" i="5"/>
  <c r="AH35" i="5"/>
  <c r="AH39" i="5"/>
  <c r="AH6" i="5"/>
  <c r="AL6" i="5" s="1"/>
  <c r="AH10" i="5"/>
  <c r="AH14" i="5"/>
  <c r="AH20" i="5"/>
  <c r="AH24" i="5"/>
  <c r="AH28" i="5"/>
  <c r="AH32" i="5"/>
  <c r="AH36" i="5"/>
  <c r="AH40" i="5"/>
  <c r="AH44" i="5"/>
  <c r="AH48" i="5"/>
  <c r="AM52" i="5"/>
  <c r="AH56" i="5"/>
  <c r="AD2" i="5"/>
  <c r="AD1" i="5" s="1"/>
  <c r="Z2" i="5"/>
  <c r="Z1" i="5" s="1"/>
  <c r="V2" i="5"/>
  <c r="V1" i="5" s="1"/>
  <c r="R2" i="5"/>
  <c r="R1" i="5" s="1"/>
  <c r="N2" i="5"/>
  <c r="N1" i="5" s="1"/>
  <c r="J2" i="5"/>
  <c r="J1" i="5" s="1"/>
  <c r="F2" i="5"/>
  <c r="F1" i="5" s="1"/>
  <c r="AC2" i="5"/>
  <c r="AC1" i="5" s="1"/>
  <c r="Y2" i="5"/>
  <c r="Y1" i="5" s="1"/>
  <c r="U2" i="5"/>
  <c r="U1" i="5" s="1"/>
  <c r="Q2" i="5"/>
  <c r="Q1" i="5" s="1"/>
  <c r="M2" i="5"/>
  <c r="M1" i="5" s="1"/>
  <c r="I2" i="5"/>
  <c r="I1" i="5" s="1"/>
  <c r="E2" i="5"/>
  <c r="E1" i="5" s="1"/>
  <c r="AF2" i="5"/>
  <c r="AF1" i="5" s="1"/>
  <c r="AB2" i="5"/>
  <c r="AB1" i="5" s="1"/>
  <c r="X2" i="5"/>
  <c r="X1" i="5" s="1"/>
  <c r="T2" i="5"/>
  <c r="T1" i="5" s="1"/>
  <c r="P2" i="5"/>
  <c r="P1" i="5" s="1"/>
  <c r="L2" i="5"/>
  <c r="L1" i="5" s="1"/>
  <c r="H2" i="5"/>
  <c r="H1" i="5" s="1"/>
  <c r="D2" i="5"/>
  <c r="D1" i="5" s="1"/>
  <c r="AE2" i="5"/>
  <c r="AE1" i="5" s="1"/>
  <c r="AA2" i="5"/>
  <c r="AA1" i="5" s="1"/>
  <c r="W2" i="5"/>
  <c r="W1" i="5" s="1"/>
  <c r="S2" i="5"/>
  <c r="S1" i="5" s="1"/>
  <c r="O2" i="5"/>
  <c r="O1" i="5" s="1"/>
  <c r="K2" i="5"/>
  <c r="K1" i="5" s="1"/>
  <c r="G2" i="5"/>
  <c r="G1" i="5" s="1"/>
  <c r="C2" i="5"/>
  <c r="C1" i="5" s="1"/>
  <c r="AH10" i="4"/>
  <c r="AH22" i="4"/>
  <c r="AH26" i="4"/>
  <c r="AH30" i="4"/>
  <c r="AH34" i="4"/>
  <c r="AH38" i="4"/>
  <c r="AH42" i="4"/>
  <c r="AH44" i="4"/>
  <c r="AH46" i="4"/>
  <c r="AH48" i="4"/>
  <c r="AH50" i="4"/>
  <c r="AH52" i="4"/>
  <c r="AH54" i="4"/>
  <c r="AH56" i="4"/>
  <c r="AH4" i="4"/>
  <c r="AL4" i="4" s="1"/>
  <c r="AH5" i="4"/>
  <c r="AM5" i="4" s="1"/>
  <c r="AH7" i="4"/>
  <c r="AL7" i="4" s="1"/>
  <c r="AH8" i="4"/>
  <c r="AL8" i="4" s="1"/>
  <c r="AH9" i="4"/>
  <c r="AH13" i="4"/>
  <c r="AH15" i="4"/>
  <c r="AH16" i="4"/>
  <c r="AH17" i="4"/>
  <c r="AH18" i="4"/>
  <c r="AH19" i="4"/>
  <c r="AH21" i="4"/>
  <c r="AH23" i="4"/>
  <c r="AH25" i="4"/>
  <c r="AH27" i="4"/>
  <c r="AH29" i="4"/>
  <c r="AH31" i="4"/>
  <c r="AH33" i="4"/>
  <c r="AH35" i="4"/>
  <c r="AH37" i="4"/>
  <c r="AH39" i="4"/>
  <c r="AH41" i="4"/>
  <c r="AH43" i="4"/>
  <c r="AH45" i="4"/>
  <c r="AH47" i="4"/>
  <c r="AH49" i="4"/>
  <c r="AH51" i="4"/>
  <c r="AH53" i="4"/>
  <c r="AH55" i="4"/>
  <c r="AH57" i="4"/>
  <c r="AH3" i="4"/>
  <c r="AH11" i="4"/>
  <c r="AH6" i="4"/>
  <c r="AM6" i="4" s="1"/>
  <c r="AH12" i="4"/>
  <c r="AH14" i="4"/>
  <c r="AH20" i="4"/>
  <c r="AH24" i="4"/>
  <c r="AH28" i="4"/>
  <c r="AH32" i="4"/>
  <c r="AH36" i="4"/>
  <c r="AH40" i="4"/>
  <c r="AD2" i="4"/>
  <c r="AD1" i="4" s="1"/>
  <c r="Z2" i="4"/>
  <c r="Z1" i="4" s="1"/>
  <c r="V2" i="4"/>
  <c r="V1" i="4" s="1"/>
  <c r="R2" i="4"/>
  <c r="R1" i="4" s="1"/>
  <c r="N2" i="4"/>
  <c r="N1" i="4" s="1"/>
  <c r="J2" i="4"/>
  <c r="J1" i="4" s="1"/>
  <c r="F2" i="4"/>
  <c r="F1" i="4" s="1"/>
  <c r="AG2" i="4"/>
  <c r="AG1" i="4" s="1"/>
  <c r="AC2" i="4"/>
  <c r="AC1" i="4" s="1"/>
  <c r="Y2" i="4"/>
  <c r="Y1" i="4" s="1"/>
  <c r="U2" i="4"/>
  <c r="U1" i="4" s="1"/>
  <c r="Q2" i="4"/>
  <c r="Q1" i="4" s="1"/>
  <c r="M2" i="4"/>
  <c r="M1" i="4" s="1"/>
  <c r="I2" i="4"/>
  <c r="I1" i="4" s="1"/>
  <c r="E2" i="4"/>
  <c r="E1" i="4" s="1"/>
  <c r="AF2" i="4"/>
  <c r="AF1" i="4" s="1"/>
  <c r="AB2" i="4"/>
  <c r="AB1" i="4" s="1"/>
  <c r="X2" i="4"/>
  <c r="X1" i="4" s="1"/>
  <c r="T2" i="4"/>
  <c r="T1" i="4" s="1"/>
  <c r="P2" i="4"/>
  <c r="P1" i="4" s="1"/>
  <c r="L2" i="4"/>
  <c r="L1" i="4" s="1"/>
  <c r="H2" i="4"/>
  <c r="H1" i="4" s="1"/>
  <c r="D2" i="4"/>
  <c r="D1" i="4" s="1"/>
  <c r="AE2" i="4"/>
  <c r="AE1" i="4" s="1"/>
  <c r="AA2" i="4"/>
  <c r="AA1" i="4" s="1"/>
  <c r="W2" i="4"/>
  <c r="W1" i="4" s="1"/>
  <c r="S2" i="4"/>
  <c r="S1" i="4" s="1"/>
  <c r="O2" i="4"/>
  <c r="O1" i="4" s="1"/>
  <c r="K2" i="4"/>
  <c r="K1" i="4" s="1"/>
  <c r="G2" i="4"/>
  <c r="G1" i="4" s="1"/>
  <c r="C2" i="4"/>
  <c r="C1" i="4" s="1"/>
  <c r="AD2" i="3"/>
  <c r="AD1" i="3" s="1"/>
  <c r="Z2" i="3"/>
  <c r="Z1" i="3" s="1"/>
  <c r="V2" i="3"/>
  <c r="V1" i="3" s="1"/>
  <c r="R2" i="3"/>
  <c r="R1" i="3" s="1"/>
  <c r="N2" i="3"/>
  <c r="N1" i="3" s="1"/>
  <c r="J2" i="3"/>
  <c r="J1" i="3" s="1"/>
  <c r="F2" i="3"/>
  <c r="F1" i="3" s="1"/>
  <c r="AA2" i="3"/>
  <c r="AA1" i="3" s="1"/>
  <c r="K2" i="3"/>
  <c r="K1" i="3" s="1"/>
  <c r="AG2" i="3"/>
  <c r="AG1" i="3" s="1"/>
  <c r="AC2" i="3"/>
  <c r="AC1" i="3" s="1"/>
  <c r="Y2" i="3"/>
  <c r="Y1" i="3" s="1"/>
  <c r="U2" i="3"/>
  <c r="U1" i="3" s="1"/>
  <c r="Q2" i="3"/>
  <c r="Q1" i="3" s="1"/>
  <c r="M2" i="3"/>
  <c r="M1" i="3" s="1"/>
  <c r="I2" i="3"/>
  <c r="I1" i="3" s="1"/>
  <c r="E2" i="3"/>
  <c r="E1" i="3" s="1"/>
  <c r="AE2" i="3"/>
  <c r="AE1" i="3" s="1"/>
  <c r="S2" i="3"/>
  <c r="S1" i="3" s="1"/>
  <c r="G2" i="3"/>
  <c r="G1" i="3" s="1"/>
  <c r="AF2" i="3"/>
  <c r="AF1" i="3" s="1"/>
  <c r="AB2" i="3"/>
  <c r="AB1" i="3" s="1"/>
  <c r="X2" i="3"/>
  <c r="X1" i="3" s="1"/>
  <c r="T2" i="3"/>
  <c r="T1" i="3" s="1"/>
  <c r="P2" i="3"/>
  <c r="P1" i="3" s="1"/>
  <c r="L2" i="3"/>
  <c r="L1" i="3" s="1"/>
  <c r="H2" i="3"/>
  <c r="H1" i="3" s="1"/>
  <c r="D2" i="3"/>
  <c r="D1" i="3" s="1"/>
  <c r="W2" i="3"/>
  <c r="W1" i="3" s="1"/>
  <c r="O2" i="3"/>
  <c r="O1" i="3" s="1"/>
  <c r="C2" i="3"/>
  <c r="C1" i="3" s="1"/>
  <c r="AL4" i="23"/>
  <c r="AP10" i="11" s="1"/>
  <c r="AL4" i="24"/>
  <c r="AP10" i="35" s="1"/>
  <c r="AL3" i="24"/>
  <c r="AP9" i="35" s="1"/>
  <c r="AE2" i="25"/>
  <c r="AE1" i="25" s="1"/>
  <c r="AA2" i="25"/>
  <c r="AA1" i="25" s="1"/>
  <c r="W2" i="25"/>
  <c r="W1" i="25" s="1"/>
  <c r="S2" i="25"/>
  <c r="S1" i="25" s="1"/>
  <c r="O2" i="25"/>
  <c r="O1" i="25" s="1"/>
  <c r="K2" i="25"/>
  <c r="K1" i="25" s="1"/>
  <c r="G2" i="25"/>
  <c r="G1" i="25" s="1"/>
  <c r="C2" i="25"/>
  <c r="C1" i="25" s="1"/>
  <c r="AG2" i="25"/>
  <c r="AG1" i="25" s="1"/>
  <c r="AC2" i="25"/>
  <c r="AC1" i="25" s="1"/>
  <c r="Y2" i="25"/>
  <c r="Y1" i="25" s="1"/>
  <c r="U2" i="25"/>
  <c r="U1" i="25" s="1"/>
  <c r="Q2" i="25"/>
  <c r="Q1" i="25" s="1"/>
  <c r="M2" i="25"/>
  <c r="M1" i="25" s="1"/>
  <c r="I2" i="25"/>
  <c r="I1" i="25" s="1"/>
  <c r="E2" i="25"/>
  <c r="E1" i="25" s="1"/>
  <c r="Z2" i="25"/>
  <c r="Z1" i="25" s="1"/>
  <c r="J2" i="25"/>
  <c r="J1" i="25" s="1"/>
  <c r="AF2" i="25"/>
  <c r="AF1" i="25" s="1"/>
  <c r="AB2" i="25"/>
  <c r="AB1" i="25" s="1"/>
  <c r="X2" i="25"/>
  <c r="X1" i="25" s="1"/>
  <c r="T2" i="25"/>
  <c r="T1" i="25" s="1"/>
  <c r="P2" i="25"/>
  <c r="P1" i="25" s="1"/>
  <c r="L2" i="25"/>
  <c r="L1" i="25" s="1"/>
  <c r="H2" i="25"/>
  <c r="H1" i="25" s="1"/>
  <c r="D2" i="25"/>
  <c r="D1" i="25" s="1"/>
  <c r="AD2" i="25"/>
  <c r="AD1" i="25" s="1"/>
  <c r="V2" i="25"/>
  <c r="V1" i="25" s="1"/>
  <c r="R2" i="25"/>
  <c r="R1" i="25" s="1"/>
  <c r="N2" i="25"/>
  <c r="N1" i="25" s="1"/>
  <c r="F2" i="25"/>
  <c r="F1" i="25" s="1"/>
  <c r="AE2" i="24"/>
  <c r="AE1" i="24" s="1"/>
  <c r="AA2" i="24"/>
  <c r="AA1" i="24" s="1"/>
  <c r="W2" i="24"/>
  <c r="W1" i="24" s="1"/>
  <c r="S2" i="24"/>
  <c r="S1" i="24" s="1"/>
  <c r="O2" i="24"/>
  <c r="O1" i="24" s="1"/>
  <c r="K2" i="24"/>
  <c r="K1" i="24" s="1"/>
  <c r="G2" i="24"/>
  <c r="G1" i="24" s="1"/>
  <c r="C2" i="24"/>
  <c r="C1" i="24" s="1"/>
  <c r="AG2" i="24"/>
  <c r="AG1" i="24" s="1"/>
  <c r="AC2" i="24"/>
  <c r="AC1" i="24" s="1"/>
  <c r="Y2" i="24"/>
  <c r="Y1" i="24" s="1"/>
  <c r="U2" i="24"/>
  <c r="U1" i="24" s="1"/>
  <c r="Q2" i="24"/>
  <c r="Q1" i="24" s="1"/>
  <c r="M2" i="24"/>
  <c r="M1" i="24" s="1"/>
  <c r="I2" i="24"/>
  <c r="I1" i="24" s="1"/>
  <c r="E2" i="24"/>
  <c r="E1" i="24" s="1"/>
  <c r="J2" i="24"/>
  <c r="J1" i="24" s="1"/>
  <c r="AF2" i="24"/>
  <c r="AF1" i="24" s="1"/>
  <c r="AB2" i="24"/>
  <c r="AB1" i="24" s="1"/>
  <c r="X2" i="24"/>
  <c r="X1" i="24" s="1"/>
  <c r="T2" i="24"/>
  <c r="T1" i="24" s="1"/>
  <c r="P2" i="24"/>
  <c r="P1" i="24" s="1"/>
  <c r="L2" i="24"/>
  <c r="L1" i="24" s="1"/>
  <c r="H2" i="24"/>
  <c r="H1" i="24" s="1"/>
  <c r="D2" i="24"/>
  <c r="D1" i="24" s="1"/>
  <c r="AD2" i="24"/>
  <c r="AD1" i="24" s="1"/>
  <c r="Z2" i="24"/>
  <c r="Z1" i="24" s="1"/>
  <c r="V2" i="24"/>
  <c r="V1" i="24" s="1"/>
  <c r="R2" i="24"/>
  <c r="R1" i="24" s="1"/>
  <c r="N2" i="24"/>
  <c r="N1" i="24" s="1"/>
  <c r="F2" i="24"/>
  <c r="F1" i="24" s="1"/>
  <c r="AE2" i="23"/>
  <c r="AE1" i="23" s="1"/>
  <c r="AA2" i="23"/>
  <c r="AA1" i="23" s="1"/>
  <c r="W2" i="23"/>
  <c r="W1" i="23" s="1"/>
  <c r="S2" i="23"/>
  <c r="S1" i="23" s="1"/>
  <c r="O2" i="23"/>
  <c r="O1" i="23" s="1"/>
  <c r="K2" i="23"/>
  <c r="K1" i="23" s="1"/>
  <c r="G2" i="23"/>
  <c r="G1" i="23" s="1"/>
  <c r="C2" i="23"/>
  <c r="C1" i="23" s="1"/>
  <c r="AD2" i="23"/>
  <c r="AD1" i="23" s="1"/>
  <c r="Z2" i="23"/>
  <c r="Z1" i="23" s="1"/>
  <c r="V2" i="23"/>
  <c r="V1" i="23" s="1"/>
  <c r="J2" i="23"/>
  <c r="J1" i="23" s="1"/>
  <c r="F2" i="23"/>
  <c r="F1" i="23" s="1"/>
  <c r="AG2" i="23"/>
  <c r="AG1" i="23" s="1"/>
  <c r="AC2" i="23"/>
  <c r="AC1" i="23" s="1"/>
  <c r="Y2" i="23"/>
  <c r="Y1" i="23" s="1"/>
  <c r="U2" i="23"/>
  <c r="U1" i="23" s="1"/>
  <c r="Q2" i="23"/>
  <c r="Q1" i="23" s="1"/>
  <c r="M2" i="23"/>
  <c r="M1" i="23" s="1"/>
  <c r="I2" i="23"/>
  <c r="I1" i="23" s="1"/>
  <c r="E2" i="23"/>
  <c r="E1" i="23" s="1"/>
  <c r="R2" i="23"/>
  <c r="R1" i="23" s="1"/>
  <c r="AF2" i="23"/>
  <c r="AF1" i="23" s="1"/>
  <c r="AB2" i="23"/>
  <c r="AB1" i="23" s="1"/>
  <c r="X2" i="23"/>
  <c r="X1" i="23" s="1"/>
  <c r="T2" i="23"/>
  <c r="T1" i="23" s="1"/>
  <c r="P2" i="23"/>
  <c r="P1" i="23" s="1"/>
  <c r="L2" i="23"/>
  <c r="L1" i="23" s="1"/>
  <c r="H2" i="23"/>
  <c r="H1" i="23" s="1"/>
  <c r="D2" i="23"/>
  <c r="D1" i="23" s="1"/>
  <c r="N2" i="23"/>
  <c r="N1" i="23" s="1"/>
  <c r="AL5" i="22"/>
  <c r="AP11" i="10" s="1"/>
  <c r="AL3" i="22"/>
  <c r="AP9" i="10" s="1"/>
  <c r="AL4" i="22"/>
  <c r="AP10" i="10" s="1"/>
  <c r="AE2" i="22"/>
  <c r="AE1" i="22" s="1"/>
  <c r="AA2" i="22"/>
  <c r="AA1" i="22" s="1"/>
  <c r="W2" i="22"/>
  <c r="W1" i="22" s="1"/>
  <c r="S2" i="22"/>
  <c r="S1" i="22" s="1"/>
  <c r="O2" i="22"/>
  <c r="O1" i="22" s="1"/>
  <c r="K2" i="22"/>
  <c r="K1" i="22" s="1"/>
  <c r="G2" i="22"/>
  <c r="G1" i="22" s="1"/>
  <c r="C2" i="22"/>
  <c r="C1" i="22" s="1"/>
  <c r="AD2" i="22"/>
  <c r="AD1" i="22" s="1"/>
  <c r="Z2" i="22"/>
  <c r="Z1" i="22" s="1"/>
  <c r="V2" i="22"/>
  <c r="V1" i="22" s="1"/>
  <c r="R2" i="22"/>
  <c r="R1" i="22" s="1"/>
  <c r="J2" i="22"/>
  <c r="J1" i="22" s="1"/>
  <c r="F2" i="22"/>
  <c r="F1" i="22" s="1"/>
  <c r="AG2" i="22"/>
  <c r="AG1" i="22" s="1"/>
  <c r="AC2" i="22"/>
  <c r="AC1" i="22" s="1"/>
  <c r="Y2" i="22"/>
  <c r="Y1" i="22" s="1"/>
  <c r="U2" i="22"/>
  <c r="U1" i="22" s="1"/>
  <c r="Q2" i="22"/>
  <c r="Q1" i="22" s="1"/>
  <c r="M2" i="22"/>
  <c r="M1" i="22" s="1"/>
  <c r="I2" i="22"/>
  <c r="I1" i="22" s="1"/>
  <c r="E2" i="22"/>
  <c r="E1" i="22" s="1"/>
  <c r="N2" i="22"/>
  <c r="N1" i="22" s="1"/>
  <c r="AF2" i="22"/>
  <c r="AF1" i="22" s="1"/>
  <c r="AB2" i="22"/>
  <c r="AB1" i="22" s="1"/>
  <c r="X2" i="22"/>
  <c r="X1" i="22" s="1"/>
  <c r="T2" i="22"/>
  <c r="T1" i="22" s="1"/>
  <c r="P2" i="22"/>
  <c r="P1" i="22" s="1"/>
  <c r="L2" i="22"/>
  <c r="L1" i="22" s="1"/>
  <c r="H2" i="22"/>
  <c r="H1" i="22" s="1"/>
  <c r="D2" i="22"/>
  <c r="D1" i="22" s="1"/>
  <c r="AE2" i="21"/>
  <c r="AE1" i="21" s="1"/>
  <c r="AA2" i="21"/>
  <c r="AA1" i="21" s="1"/>
  <c r="W2" i="21"/>
  <c r="W1" i="21" s="1"/>
  <c r="S2" i="21"/>
  <c r="S1" i="21" s="1"/>
  <c r="O2" i="21"/>
  <c r="O1" i="21" s="1"/>
  <c r="K2" i="21"/>
  <c r="K1" i="21" s="1"/>
  <c r="G2" i="21"/>
  <c r="G1" i="21" s="1"/>
  <c r="C2" i="21"/>
  <c r="C1" i="21" s="1"/>
  <c r="AD2" i="21"/>
  <c r="AD1" i="21" s="1"/>
  <c r="Z2" i="21"/>
  <c r="Z1" i="21" s="1"/>
  <c r="V2" i="21"/>
  <c r="V1" i="21" s="1"/>
  <c r="R2" i="21"/>
  <c r="R1" i="21" s="1"/>
  <c r="N2" i="21"/>
  <c r="N1" i="21" s="1"/>
  <c r="J2" i="21"/>
  <c r="J1" i="21" s="1"/>
  <c r="AG2" i="21"/>
  <c r="AG1" i="21" s="1"/>
  <c r="AC2" i="21"/>
  <c r="AC1" i="21" s="1"/>
  <c r="Y2" i="21"/>
  <c r="Y1" i="21" s="1"/>
  <c r="U2" i="21"/>
  <c r="U1" i="21" s="1"/>
  <c r="Q2" i="21"/>
  <c r="Q1" i="21" s="1"/>
  <c r="M2" i="21"/>
  <c r="M1" i="21" s="1"/>
  <c r="I2" i="21"/>
  <c r="I1" i="21" s="1"/>
  <c r="E2" i="21"/>
  <c r="E1" i="21" s="1"/>
  <c r="F2" i="21"/>
  <c r="F1" i="21" s="1"/>
  <c r="AF2" i="21"/>
  <c r="AF1" i="21" s="1"/>
  <c r="AB2" i="21"/>
  <c r="AB1" i="21" s="1"/>
  <c r="X2" i="21"/>
  <c r="X1" i="21" s="1"/>
  <c r="T2" i="21"/>
  <c r="T1" i="21" s="1"/>
  <c r="P2" i="21"/>
  <c r="P1" i="21" s="1"/>
  <c r="L2" i="21"/>
  <c r="L1" i="21" s="1"/>
  <c r="H2" i="21"/>
  <c r="H1" i="21" s="1"/>
  <c r="D2" i="21"/>
  <c r="D1" i="21" s="1"/>
  <c r="AE2" i="20"/>
  <c r="AE1" i="20" s="1"/>
  <c r="AA2" i="20"/>
  <c r="AA1" i="20" s="1"/>
  <c r="W2" i="20"/>
  <c r="W1" i="20" s="1"/>
  <c r="S2" i="20"/>
  <c r="S1" i="20" s="1"/>
  <c r="O2" i="20"/>
  <c r="O1" i="20" s="1"/>
  <c r="K2" i="20"/>
  <c r="K1" i="20" s="1"/>
  <c r="G2" i="20"/>
  <c r="G1" i="20" s="1"/>
  <c r="C2" i="20"/>
  <c r="C1" i="20" s="1"/>
  <c r="AD2" i="20"/>
  <c r="AD1" i="20" s="1"/>
  <c r="Z2" i="20"/>
  <c r="Z1" i="20" s="1"/>
  <c r="V2" i="20"/>
  <c r="V1" i="20" s="1"/>
  <c r="R2" i="20"/>
  <c r="R1" i="20" s="1"/>
  <c r="N2" i="20"/>
  <c r="N1" i="20" s="1"/>
  <c r="J2" i="20"/>
  <c r="J1" i="20" s="1"/>
  <c r="F2" i="20"/>
  <c r="F1" i="20" s="1"/>
  <c r="AG2" i="20"/>
  <c r="AG1" i="20" s="1"/>
  <c r="AC2" i="20"/>
  <c r="AC1" i="20" s="1"/>
  <c r="Y2" i="20"/>
  <c r="Y1" i="20" s="1"/>
  <c r="U2" i="20"/>
  <c r="U1" i="20" s="1"/>
  <c r="Q2" i="20"/>
  <c r="Q1" i="20" s="1"/>
  <c r="M2" i="20"/>
  <c r="M1" i="20" s="1"/>
  <c r="I2" i="20"/>
  <c r="I1" i="20" s="1"/>
  <c r="E2" i="20"/>
  <c r="E1" i="20" s="1"/>
  <c r="AF2" i="20"/>
  <c r="AF1" i="20" s="1"/>
  <c r="AB2" i="20"/>
  <c r="AB1" i="20" s="1"/>
  <c r="X2" i="20"/>
  <c r="X1" i="20" s="1"/>
  <c r="T2" i="20"/>
  <c r="T1" i="20" s="1"/>
  <c r="P2" i="20"/>
  <c r="P1" i="20" s="1"/>
  <c r="L2" i="20"/>
  <c r="L1" i="20" s="1"/>
  <c r="H2" i="20"/>
  <c r="H1" i="20" s="1"/>
  <c r="D2" i="20"/>
  <c r="D1" i="20" s="1"/>
  <c r="AL4" i="19"/>
  <c r="AP10" i="7" s="1"/>
  <c r="AE2" i="19"/>
  <c r="AE1" i="19" s="1"/>
  <c r="AA2" i="19"/>
  <c r="AA1" i="19" s="1"/>
  <c r="W2" i="19"/>
  <c r="W1" i="19" s="1"/>
  <c r="S2" i="19"/>
  <c r="S1" i="19" s="1"/>
  <c r="O2" i="19"/>
  <c r="O1" i="19" s="1"/>
  <c r="K2" i="19"/>
  <c r="K1" i="19" s="1"/>
  <c r="G2" i="19"/>
  <c r="G1" i="19" s="1"/>
  <c r="C2" i="19"/>
  <c r="C1" i="19" s="1"/>
  <c r="AD2" i="19"/>
  <c r="AD1" i="19" s="1"/>
  <c r="Z2" i="19"/>
  <c r="Z1" i="19" s="1"/>
  <c r="V2" i="19"/>
  <c r="V1" i="19" s="1"/>
  <c r="R2" i="19"/>
  <c r="R1" i="19" s="1"/>
  <c r="N2" i="19"/>
  <c r="N1" i="19" s="1"/>
  <c r="J2" i="19"/>
  <c r="J1" i="19" s="1"/>
  <c r="F2" i="19"/>
  <c r="F1" i="19" s="1"/>
  <c r="AG2" i="19"/>
  <c r="AG1" i="19" s="1"/>
  <c r="AC2" i="19"/>
  <c r="AC1" i="19" s="1"/>
  <c r="Y2" i="19"/>
  <c r="Y1" i="19" s="1"/>
  <c r="U2" i="19"/>
  <c r="U1" i="19" s="1"/>
  <c r="Q2" i="19"/>
  <c r="Q1" i="19" s="1"/>
  <c r="M2" i="19"/>
  <c r="M1" i="19" s="1"/>
  <c r="I2" i="19"/>
  <c r="I1" i="19" s="1"/>
  <c r="E2" i="19"/>
  <c r="E1" i="19" s="1"/>
  <c r="AF2" i="19"/>
  <c r="AF1" i="19" s="1"/>
  <c r="AB2" i="19"/>
  <c r="AB1" i="19" s="1"/>
  <c r="X2" i="19"/>
  <c r="X1" i="19" s="1"/>
  <c r="T2" i="19"/>
  <c r="T1" i="19" s="1"/>
  <c r="P2" i="19"/>
  <c r="P1" i="19" s="1"/>
  <c r="L2" i="19"/>
  <c r="L1" i="19" s="1"/>
  <c r="H2" i="19"/>
  <c r="H1" i="19" s="1"/>
  <c r="D2" i="19"/>
  <c r="D1" i="19" s="1"/>
  <c r="AE2" i="18"/>
  <c r="AE1" i="18" s="1"/>
  <c r="AA2" i="18"/>
  <c r="AA1" i="18" s="1"/>
  <c r="W2" i="18"/>
  <c r="W1" i="18" s="1"/>
  <c r="S2" i="18"/>
  <c r="S1" i="18" s="1"/>
  <c r="O2" i="18"/>
  <c r="O1" i="18" s="1"/>
  <c r="K2" i="18"/>
  <c r="K1" i="18" s="1"/>
  <c r="G2" i="18"/>
  <c r="G1" i="18" s="1"/>
  <c r="C2" i="18"/>
  <c r="C1" i="18" s="1"/>
  <c r="AG2" i="18"/>
  <c r="AG1" i="18" s="1"/>
  <c r="AC2" i="18"/>
  <c r="AC1" i="18" s="1"/>
  <c r="Y2" i="18"/>
  <c r="Y1" i="18" s="1"/>
  <c r="U2" i="18"/>
  <c r="U1" i="18" s="1"/>
  <c r="Q2" i="18"/>
  <c r="Q1" i="18" s="1"/>
  <c r="M2" i="18"/>
  <c r="M1" i="18" s="1"/>
  <c r="I2" i="18"/>
  <c r="I1" i="18" s="1"/>
  <c r="E2" i="18"/>
  <c r="E1" i="18" s="1"/>
  <c r="F2" i="18"/>
  <c r="F1" i="18" s="1"/>
  <c r="AF2" i="18"/>
  <c r="AF1" i="18" s="1"/>
  <c r="AB2" i="18"/>
  <c r="AB1" i="18" s="1"/>
  <c r="X2" i="18"/>
  <c r="X1" i="18" s="1"/>
  <c r="T2" i="18"/>
  <c r="T1" i="18" s="1"/>
  <c r="P2" i="18"/>
  <c r="P1" i="18" s="1"/>
  <c r="L2" i="18"/>
  <c r="L1" i="18" s="1"/>
  <c r="H2" i="18"/>
  <c r="H1" i="18" s="1"/>
  <c r="D2" i="18"/>
  <c r="D1" i="18" s="1"/>
  <c r="AD2" i="18"/>
  <c r="AD1" i="18" s="1"/>
  <c r="Z2" i="18"/>
  <c r="Z1" i="18" s="1"/>
  <c r="V2" i="18"/>
  <c r="V1" i="18" s="1"/>
  <c r="R2" i="18"/>
  <c r="R1" i="18" s="1"/>
  <c r="N2" i="18"/>
  <c r="N1" i="18" s="1"/>
  <c r="J2" i="18"/>
  <c r="J1" i="18" s="1"/>
  <c r="AL6" i="17"/>
  <c r="AP12" i="5" s="1"/>
  <c r="AE2" i="17"/>
  <c r="AE1" i="17" s="1"/>
  <c r="AA2" i="17"/>
  <c r="AA1" i="17" s="1"/>
  <c r="W2" i="17"/>
  <c r="W1" i="17" s="1"/>
  <c r="S2" i="17"/>
  <c r="S1" i="17" s="1"/>
  <c r="O2" i="17"/>
  <c r="O1" i="17" s="1"/>
  <c r="K2" i="17"/>
  <c r="K1" i="17" s="1"/>
  <c r="G2" i="17"/>
  <c r="G1" i="17" s="1"/>
  <c r="C2" i="17"/>
  <c r="C1" i="17" s="1"/>
  <c r="AD2" i="17"/>
  <c r="AD1" i="17" s="1"/>
  <c r="Z2" i="17"/>
  <c r="Z1" i="17" s="1"/>
  <c r="V2" i="17"/>
  <c r="V1" i="17" s="1"/>
  <c r="R2" i="17"/>
  <c r="R1" i="17" s="1"/>
  <c r="N2" i="17"/>
  <c r="N1" i="17" s="1"/>
  <c r="J2" i="17"/>
  <c r="J1" i="17" s="1"/>
  <c r="F2" i="17"/>
  <c r="F1" i="17" s="1"/>
  <c r="AC2" i="17"/>
  <c r="AC1" i="17" s="1"/>
  <c r="Y2" i="17"/>
  <c r="Y1" i="17" s="1"/>
  <c r="U2" i="17"/>
  <c r="U1" i="17" s="1"/>
  <c r="Q2" i="17"/>
  <c r="Q1" i="17" s="1"/>
  <c r="M2" i="17"/>
  <c r="M1" i="17" s="1"/>
  <c r="I2" i="17"/>
  <c r="I1" i="17" s="1"/>
  <c r="E2" i="17"/>
  <c r="E1" i="17" s="1"/>
  <c r="AF2" i="17"/>
  <c r="AF1" i="17" s="1"/>
  <c r="AB2" i="17"/>
  <c r="AB1" i="17" s="1"/>
  <c r="X2" i="17"/>
  <c r="X1" i="17" s="1"/>
  <c r="T2" i="17"/>
  <c r="T1" i="17" s="1"/>
  <c r="P2" i="17"/>
  <c r="P1" i="17" s="1"/>
  <c r="L2" i="17"/>
  <c r="L1" i="17" s="1"/>
  <c r="H2" i="17"/>
  <c r="H1" i="17" s="1"/>
  <c r="D2" i="17"/>
  <c r="D1" i="17" s="1"/>
  <c r="AE2" i="16"/>
  <c r="AE1" i="16" s="1"/>
  <c r="AA2" i="16"/>
  <c r="AA1" i="16" s="1"/>
  <c r="W2" i="16"/>
  <c r="W1" i="16" s="1"/>
  <c r="S2" i="16"/>
  <c r="S1" i="16" s="1"/>
  <c r="O2" i="16"/>
  <c r="O1" i="16" s="1"/>
  <c r="K2" i="16"/>
  <c r="K1" i="16" s="1"/>
  <c r="G2" i="16"/>
  <c r="G1" i="16" s="1"/>
  <c r="C2" i="16"/>
  <c r="C1" i="16" s="1"/>
  <c r="AG2" i="16"/>
  <c r="AG1" i="16" s="1"/>
  <c r="AC2" i="16"/>
  <c r="AC1" i="16" s="1"/>
  <c r="Y2" i="16"/>
  <c r="Y1" i="16" s="1"/>
  <c r="U2" i="16"/>
  <c r="U1" i="16" s="1"/>
  <c r="Q2" i="16"/>
  <c r="Q1" i="16" s="1"/>
  <c r="M2" i="16"/>
  <c r="M1" i="16" s="1"/>
  <c r="I2" i="16"/>
  <c r="I1" i="16" s="1"/>
  <c r="E2" i="16"/>
  <c r="E1" i="16" s="1"/>
  <c r="AF2" i="16"/>
  <c r="AF1" i="16" s="1"/>
  <c r="AB2" i="16"/>
  <c r="AB1" i="16" s="1"/>
  <c r="X2" i="16"/>
  <c r="X1" i="16" s="1"/>
  <c r="T2" i="16"/>
  <c r="T1" i="16" s="1"/>
  <c r="P2" i="16"/>
  <c r="P1" i="16" s="1"/>
  <c r="L2" i="16"/>
  <c r="L1" i="16" s="1"/>
  <c r="H2" i="16"/>
  <c r="H1" i="16" s="1"/>
  <c r="D2" i="16"/>
  <c r="D1" i="16" s="1"/>
  <c r="AD2" i="16"/>
  <c r="AD1" i="16" s="1"/>
  <c r="Z2" i="16"/>
  <c r="Z1" i="16" s="1"/>
  <c r="V2" i="16"/>
  <c r="V1" i="16" s="1"/>
  <c r="R2" i="16"/>
  <c r="R1" i="16" s="1"/>
  <c r="N2" i="16"/>
  <c r="N1" i="16" s="1"/>
  <c r="J2" i="16"/>
  <c r="J1" i="16" s="1"/>
  <c r="F2" i="16"/>
  <c r="F1" i="16" s="1"/>
  <c r="AE2" i="15"/>
  <c r="AE1" i="15" s="1"/>
  <c r="AA2" i="15"/>
  <c r="AA1" i="15" s="1"/>
  <c r="W2" i="15"/>
  <c r="W1" i="15" s="1"/>
  <c r="S2" i="15"/>
  <c r="S1" i="15" s="1"/>
  <c r="O2" i="15"/>
  <c r="O1" i="15" s="1"/>
  <c r="K2" i="15"/>
  <c r="K1" i="15" s="1"/>
  <c r="G2" i="15"/>
  <c r="G1" i="15" s="1"/>
  <c r="C2" i="15"/>
  <c r="C1" i="15" s="1"/>
  <c r="AD2" i="15"/>
  <c r="AD1" i="15" s="1"/>
  <c r="Z2" i="15"/>
  <c r="Z1" i="15" s="1"/>
  <c r="V2" i="15"/>
  <c r="V1" i="15" s="1"/>
  <c r="R2" i="15"/>
  <c r="R1" i="15" s="1"/>
  <c r="N2" i="15"/>
  <c r="N1" i="15" s="1"/>
  <c r="J2" i="15"/>
  <c r="J1" i="15" s="1"/>
  <c r="F2" i="15"/>
  <c r="F1" i="15" s="1"/>
  <c r="AG2" i="15"/>
  <c r="AG1" i="15" s="1"/>
  <c r="AC2" i="15"/>
  <c r="AC1" i="15" s="1"/>
  <c r="Y2" i="15"/>
  <c r="Y1" i="15" s="1"/>
  <c r="U2" i="15"/>
  <c r="U1" i="15" s="1"/>
  <c r="Q2" i="15"/>
  <c r="Q1" i="15" s="1"/>
  <c r="M2" i="15"/>
  <c r="M1" i="15" s="1"/>
  <c r="I2" i="15"/>
  <c r="I1" i="15" s="1"/>
  <c r="E2" i="15"/>
  <c r="E1" i="15" s="1"/>
  <c r="H2" i="15"/>
  <c r="H1" i="15" s="1"/>
  <c r="AF2" i="15"/>
  <c r="AF1" i="15" s="1"/>
  <c r="AB2" i="15"/>
  <c r="AB1" i="15" s="1"/>
  <c r="X2" i="15"/>
  <c r="X1" i="15" s="1"/>
  <c r="T2" i="15"/>
  <c r="T1" i="15" s="1"/>
  <c r="P2" i="15"/>
  <c r="P1" i="15" s="1"/>
  <c r="L2" i="15"/>
  <c r="L1" i="15" s="1"/>
  <c r="D2" i="15"/>
  <c r="D1" i="15" s="1"/>
  <c r="AF2" i="14"/>
  <c r="AF1" i="14" s="1"/>
  <c r="AB2" i="14"/>
  <c r="AB1" i="14" s="1"/>
  <c r="X2" i="14"/>
  <c r="X1" i="14" s="1"/>
  <c r="T2" i="14"/>
  <c r="T1" i="14" s="1"/>
  <c r="P2" i="14"/>
  <c r="P1" i="14" s="1"/>
  <c r="L2" i="14"/>
  <c r="L1" i="14" s="1"/>
  <c r="H2" i="14"/>
  <c r="H1" i="14" s="1"/>
  <c r="D2" i="14"/>
  <c r="D1" i="14" s="1"/>
  <c r="AE2" i="14"/>
  <c r="AE1" i="14" s="1"/>
  <c r="AA2" i="14"/>
  <c r="AA1" i="14" s="1"/>
  <c r="W2" i="14"/>
  <c r="W1" i="14" s="1"/>
  <c r="S2" i="14"/>
  <c r="S1" i="14" s="1"/>
  <c r="O2" i="14"/>
  <c r="O1" i="14" s="1"/>
  <c r="K2" i="14"/>
  <c r="K1" i="14" s="1"/>
  <c r="G2" i="14"/>
  <c r="G1" i="14" s="1"/>
  <c r="C2" i="14"/>
  <c r="C1" i="14" s="1"/>
  <c r="AD2" i="14"/>
  <c r="AD1" i="14" s="1"/>
  <c r="Z2" i="14"/>
  <c r="Z1" i="14" s="1"/>
  <c r="V2" i="14"/>
  <c r="V1" i="14" s="1"/>
  <c r="R2" i="14"/>
  <c r="R1" i="14" s="1"/>
  <c r="N2" i="14"/>
  <c r="N1" i="14" s="1"/>
  <c r="J2" i="14"/>
  <c r="J1" i="14" s="1"/>
  <c r="F2" i="14"/>
  <c r="F1" i="14" s="1"/>
  <c r="AG2" i="14"/>
  <c r="AG1" i="14" s="1"/>
  <c r="AC2" i="14"/>
  <c r="AC1" i="14" s="1"/>
  <c r="Y2" i="14"/>
  <c r="Y1" i="14" s="1"/>
  <c r="U2" i="14"/>
  <c r="U1" i="14" s="1"/>
  <c r="Q2" i="14"/>
  <c r="Q1" i="14" s="1"/>
  <c r="M2" i="14"/>
  <c r="M1" i="14" s="1"/>
  <c r="I2" i="14"/>
  <c r="I1" i="14" s="1"/>
  <c r="E2" i="14"/>
  <c r="E1" i="14" s="1"/>
  <c r="AK4" i="2"/>
  <c r="AK5" i="2"/>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3" i="2"/>
  <c r="D8" i="2"/>
  <c r="E8" i="2"/>
  <c r="F8" i="2"/>
  <c r="G8" i="2"/>
  <c r="H8" i="2"/>
  <c r="I8" i="2"/>
  <c r="J8" i="2"/>
  <c r="K8" i="2"/>
  <c r="L8" i="2"/>
  <c r="M8" i="2"/>
  <c r="N8" i="2"/>
  <c r="O8" i="2"/>
  <c r="P8" i="2"/>
  <c r="Q8" i="2"/>
  <c r="R8" i="2"/>
  <c r="S8" i="2"/>
  <c r="T8" i="2"/>
  <c r="U8" i="2"/>
  <c r="V8" i="2"/>
  <c r="W8" i="2"/>
  <c r="X8" i="2"/>
  <c r="Y8" i="2"/>
  <c r="Z8" i="2"/>
  <c r="AA8" i="2"/>
  <c r="AB8" i="2"/>
  <c r="AC8" i="2"/>
  <c r="AD8" i="2"/>
  <c r="AE8" i="2"/>
  <c r="AF8" i="2"/>
  <c r="AG8" i="2"/>
  <c r="D9" i="2"/>
  <c r="E9" i="2"/>
  <c r="F9" i="2"/>
  <c r="G9" i="2"/>
  <c r="H9" i="2"/>
  <c r="I9" i="2"/>
  <c r="J9" i="2"/>
  <c r="K9" i="2"/>
  <c r="L9" i="2"/>
  <c r="M9" i="2"/>
  <c r="N9" i="2"/>
  <c r="O9" i="2"/>
  <c r="P9" i="2"/>
  <c r="Q9" i="2"/>
  <c r="R9" i="2"/>
  <c r="S9" i="2"/>
  <c r="T9" i="2"/>
  <c r="U9" i="2"/>
  <c r="V9" i="2"/>
  <c r="W9" i="2"/>
  <c r="X9" i="2"/>
  <c r="Y9" i="2"/>
  <c r="Z9" i="2"/>
  <c r="AA9" i="2"/>
  <c r="AB9" i="2"/>
  <c r="AC9" i="2"/>
  <c r="AD9" i="2"/>
  <c r="AE9" i="2"/>
  <c r="AF9" i="2"/>
  <c r="AG9" i="2"/>
  <c r="D10" i="2"/>
  <c r="E10" i="2"/>
  <c r="F10" i="2"/>
  <c r="G10" i="2"/>
  <c r="H10" i="2"/>
  <c r="I10" i="2"/>
  <c r="J10" i="2"/>
  <c r="K10" i="2"/>
  <c r="L10" i="2"/>
  <c r="M10" i="2"/>
  <c r="N10" i="2"/>
  <c r="O10" i="2"/>
  <c r="P10" i="2"/>
  <c r="Q10" i="2"/>
  <c r="R10" i="2"/>
  <c r="S10" i="2"/>
  <c r="T10" i="2"/>
  <c r="U10" i="2"/>
  <c r="V10" i="2"/>
  <c r="W10" i="2"/>
  <c r="X10" i="2"/>
  <c r="Y10" i="2"/>
  <c r="Z10" i="2"/>
  <c r="AA10" i="2"/>
  <c r="AB10" i="2"/>
  <c r="AC10" i="2"/>
  <c r="AD10" i="2"/>
  <c r="AE10" i="2"/>
  <c r="AF10" i="2"/>
  <c r="AG10" i="2"/>
  <c r="D11" i="2"/>
  <c r="E11" i="2"/>
  <c r="F11" i="2"/>
  <c r="G11" i="2"/>
  <c r="H11" i="2"/>
  <c r="I11" i="2"/>
  <c r="J11" i="2"/>
  <c r="K11" i="2"/>
  <c r="L11" i="2"/>
  <c r="M11" i="2"/>
  <c r="N11" i="2"/>
  <c r="O11" i="2"/>
  <c r="P11" i="2"/>
  <c r="Q11" i="2"/>
  <c r="R11" i="2"/>
  <c r="S11" i="2"/>
  <c r="T11" i="2"/>
  <c r="U11" i="2"/>
  <c r="V11" i="2"/>
  <c r="W11" i="2"/>
  <c r="X11" i="2"/>
  <c r="Y11" i="2"/>
  <c r="Z11" i="2"/>
  <c r="AA11" i="2"/>
  <c r="AB11" i="2"/>
  <c r="AC11" i="2"/>
  <c r="AD11" i="2"/>
  <c r="AE11" i="2"/>
  <c r="AF11" i="2"/>
  <c r="AG11" i="2"/>
  <c r="D12" i="2"/>
  <c r="E12" i="2"/>
  <c r="F12" i="2"/>
  <c r="G12" i="2"/>
  <c r="H12" i="2"/>
  <c r="I12" i="2"/>
  <c r="J12" i="2"/>
  <c r="K12" i="2"/>
  <c r="L12" i="2"/>
  <c r="M12" i="2"/>
  <c r="N12" i="2"/>
  <c r="O12" i="2"/>
  <c r="P12" i="2"/>
  <c r="Q12" i="2"/>
  <c r="R12" i="2"/>
  <c r="S12" i="2"/>
  <c r="T12" i="2"/>
  <c r="U12" i="2"/>
  <c r="V12" i="2"/>
  <c r="W12" i="2"/>
  <c r="X12" i="2"/>
  <c r="Y12" i="2"/>
  <c r="Z12" i="2"/>
  <c r="AA12" i="2"/>
  <c r="AB12" i="2"/>
  <c r="AC12" i="2"/>
  <c r="AD12" i="2"/>
  <c r="AE12" i="2"/>
  <c r="AF12" i="2"/>
  <c r="AG12" i="2"/>
  <c r="D13" i="2"/>
  <c r="E13" i="2"/>
  <c r="F13" i="2"/>
  <c r="G13" i="2"/>
  <c r="H13" i="2"/>
  <c r="I13" i="2"/>
  <c r="J13" i="2"/>
  <c r="K13" i="2"/>
  <c r="L13" i="2"/>
  <c r="M13" i="2"/>
  <c r="N13" i="2"/>
  <c r="O13" i="2"/>
  <c r="P13" i="2"/>
  <c r="Q13" i="2"/>
  <c r="R13" i="2"/>
  <c r="S13" i="2"/>
  <c r="T13" i="2"/>
  <c r="U13" i="2"/>
  <c r="V13" i="2"/>
  <c r="W13" i="2"/>
  <c r="X13" i="2"/>
  <c r="Y13" i="2"/>
  <c r="Z13" i="2"/>
  <c r="AA13" i="2"/>
  <c r="AB13" i="2"/>
  <c r="AC13" i="2"/>
  <c r="AD13" i="2"/>
  <c r="AE13" i="2"/>
  <c r="AF13" i="2"/>
  <c r="AG13" i="2"/>
  <c r="D14" i="2"/>
  <c r="E14" i="2"/>
  <c r="F14" i="2"/>
  <c r="G14" i="2"/>
  <c r="H14" i="2"/>
  <c r="I14" i="2"/>
  <c r="J14" i="2"/>
  <c r="K14" i="2"/>
  <c r="L14" i="2"/>
  <c r="M14" i="2"/>
  <c r="N14" i="2"/>
  <c r="O14" i="2"/>
  <c r="P14" i="2"/>
  <c r="Q14" i="2"/>
  <c r="R14" i="2"/>
  <c r="S14" i="2"/>
  <c r="T14" i="2"/>
  <c r="U14" i="2"/>
  <c r="V14" i="2"/>
  <c r="W14" i="2"/>
  <c r="X14" i="2"/>
  <c r="Y14" i="2"/>
  <c r="Z14" i="2"/>
  <c r="AA14" i="2"/>
  <c r="AB14" i="2"/>
  <c r="AC14" i="2"/>
  <c r="AD14" i="2"/>
  <c r="AE14" i="2"/>
  <c r="AF14" i="2"/>
  <c r="AG14" i="2"/>
  <c r="D15" i="2"/>
  <c r="E15" i="2"/>
  <c r="F15" i="2"/>
  <c r="G15" i="2"/>
  <c r="H15" i="2"/>
  <c r="I15" i="2"/>
  <c r="J15" i="2"/>
  <c r="K15" i="2"/>
  <c r="L15" i="2"/>
  <c r="M15" i="2"/>
  <c r="N15" i="2"/>
  <c r="O15" i="2"/>
  <c r="P15" i="2"/>
  <c r="Q15" i="2"/>
  <c r="R15" i="2"/>
  <c r="S15" i="2"/>
  <c r="T15" i="2"/>
  <c r="U15" i="2"/>
  <c r="V15" i="2"/>
  <c r="W15" i="2"/>
  <c r="X15" i="2"/>
  <c r="Y15" i="2"/>
  <c r="Z15" i="2"/>
  <c r="AA15" i="2"/>
  <c r="AB15" i="2"/>
  <c r="AC15" i="2"/>
  <c r="AD15" i="2"/>
  <c r="AE15" i="2"/>
  <c r="AF15" i="2"/>
  <c r="AG15" i="2"/>
  <c r="D16" i="2"/>
  <c r="E16" i="2"/>
  <c r="F16" i="2"/>
  <c r="G16" i="2"/>
  <c r="H16" i="2"/>
  <c r="I16" i="2"/>
  <c r="J16" i="2"/>
  <c r="K16" i="2"/>
  <c r="L16" i="2"/>
  <c r="M16" i="2"/>
  <c r="N16" i="2"/>
  <c r="O16" i="2"/>
  <c r="P16" i="2"/>
  <c r="Q16" i="2"/>
  <c r="R16" i="2"/>
  <c r="S16" i="2"/>
  <c r="T16" i="2"/>
  <c r="U16" i="2"/>
  <c r="V16" i="2"/>
  <c r="W16" i="2"/>
  <c r="X16" i="2"/>
  <c r="Y16" i="2"/>
  <c r="Z16" i="2"/>
  <c r="AA16" i="2"/>
  <c r="AB16" i="2"/>
  <c r="AC16" i="2"/>
  <c r="AD16" i="2"/>
  <c r="AE16" i="2"/>
  <c r="AF16" i="2"/>
  <c r="AG16" i="2"/>
  <c r="D17" i="2"/>
  <c r="E17" i="2"/>
  <c r="F17" i="2"/>
  <c r="G17" i="2"/>
  <c r="H17" i="2"/>
  <c r="I17" i="2"/>
  <c r="J17" i="2"/>
  <c r="K17" i="2"/>
  <c r="L17" i="2"/>
  <c r="M17" i="2"/>
  <c r="N17" i="2"/>
  <c r="O17" i="2"/>
  <c r="P17" i="2"/>
  <c r="Q17" i="2"/>
  <c r="R17" i="2"/>
  <c r="S17" i="2"/>
  <c r="T17" i="2"/>
  <c r="U17" i="2"/>
  <c r="V17" i="2"/>
  <c r="W17" i="2"/>
  <c r="X17" i="2"/>
  <c r="Y17" i="2"/>
  <c r="Z17" i="2"/>
  <c r="AA17" i="2"/>
  <c r="AB17" i="2"/>
  <c r="AC17" i="2"/>
  <c r="AD17" i="2"/>
  <c r="AE17" i="2"/>
  <c r="AF17" i="2"/>
  <c r="AG17" i="2"/>
  <c r="D18" i="2"/>
  <c r="E18" i="2"/>
  <c r="F18" i="2"/>
  <c r="G18" i="2"/>
  <c r="H18" i="2"/>
  <c r="I18" i="2"/>
  <c r="J18" i="2"/>
  <c r="K18" i="2"/>
  <c r="L18" i="2"/>
  <c r="M18" i="2"/>
  <c r="N18" i="2"/>
  <c r="O18" i="2"/>
  <c r="P18" i="2"/>
  <c r="Q18" i="2"/>
  <c r="R18" i="2"/>
  <c r="S18" i="2"/>
  <c r="T18" i="2"/>
  <c r="U18" i="2"/>
  <c r="V18" i="2"/>
  <c r="W18" i="2"/>
  <c r="X18" i="2"/>
  <c r="Y18" i="2"/>
  <c r="Z18" i="2"/>
  <c r="AA18" i="2"/>
  <c r="AB18" i="2"/>
  <c r="AC18" i="2"/>
  <c r="AD18" i="2"/>
  <c r="AE18" i="2"/>
  <c r="AF18" i="2"/>
  <c r="AG18" i="2"/>
  <c r="D19" i="2"/>
  <c r="E19" i="2"/>
  <c r="F19" i="2"/>
  <c r="G19" i="2"/>
  <c r="H19" i="2"/>
  <c r="I19" i="2"/>
  <c r="J19" i="2"/>
  <c r="K19" i="2"/>
  <c r="L19" i="2"/>
  <c r="M19" i="2"/>
  <c r="N19" i="2"/>
  <c r="O19" i="2"/>
  <c r="P19" i="2"/>
  <c r="Q19" i="2"/>
  <c r="R19" i="2"/>
  <c r="S19" i="2"/>
  <c r="T19" i="2"/>
  <c r="U19" i="2"/>
  <c r="V19" i="2"/>
  <c r="W19" i="2"/>
  <c r="X19" i="2"/>
  <c r="Y19" i="2"/>
  <c r="Z19" i="2"/>
  <c r="AA19" i="2"/>
  <c r="AB19" i="2"/>
  <c r="AC19" i="2"/>
  <c r="AD19" i="2"/>
  <c r="AE19" i="2"/>
  <c r="AF19" i="2"/>
  <c r="AG19" i="2"/>
  <c r="D20" i="2"/>
  <c r="E20" i="2"/>
  <c r="F20" i="2"/>
  <c r="G20" i="2"/>
  <c r="H20" i="2"/>
  <c r="I20" i="2"/>
  <c r="J20" i="2"/>
  <c r="K20" i="2"/>
  <c r="L20" i="2"/>
  <c r="M20" i="2"/>
  <c r="N20" i="2"/>
  <c r="O20" i="2"/>
  <c r="P20" i="2"/>
  <c r="Q20" i="2"/>
  <c r="R20" i="2"/>
  <c r="S20" i="2"/>
  <c r="T20" i="2"/>
  <c r="U20" i="2"/>
  <c r="V20" i="2"/>
  <c r="W20" i="2"/>
  <c r="X20" i="2"/>
  <c r="Y20" i="2"/>
  <c r="Z20" i="2"/>
  <c r="AA20" i="2"/>
  <c r="AB20" i="2"/>
  <c r="AC20" i="2"/>
  <c r="AD20" i="2"/>
  <c r="AE20" i="2"/>
  <c r="AF20" i="2"/>
  <c r="AG20" i="2"/>
  <c r="D21" i="2"/>
  <c r="E21" i="2"/>
  <c r="F21" i="2"/>
  <c r="G21" i="2"/>
  <c r="H21" i="2"/>
  <c r="I21" i="2"/>
  <c r="J21" i="2"/>
  <c r="K21" i="2"/>
  <c r="L21" i="2"/>
  <c r="M21" i="2"/>
  <c r="N21" i="2"/>
  <c r="O21" i="2"/>
  <c r="P21" i="2"/>
  <c r="Q21" i="2"/>
  <c r="R21" i="2"/>
  <c r="S21" i="2"/>
  <c r="T21" i="2"/>
  <c r="U21" i="2"/>
  <c r="V21" i="2"/>
  <c r="W21" i="2"/>
  <c r="X21" i="2"/>
  <c r="Y21" i="2"/>
  <c r="Z21" i="2"/>
  <c r="AA21" i="2"/>
  <c r="AB21" i="2"/>
  <c r="AC21" i="2"/>
  <c r="AD21" i="2"/>
  <c r="AE21" i="2"/>
  <c r="AF21" i="2"/>
  <c r="AG21" i="2"/>
  <c r="D22" i="2"/>
  <c r="E22" i="2"/>
  <c r="F22" i="2"/>
  <c r="G22" i="2"/>
  <c r="H22" i="2"/>
  <c r="I22" i="2"/>
  <c r="J22" i="2"/>
  <c r="K22" i="2"/>
  <c r="L22" i="2"/>
  <c r="M22" i="2"/>
  <c r="N22" i="2"/>
  <c r="O22" i="2"/>
  <c r="P22" i="2"/>
  <c r="Q22" i="2"/>
  <c r="R22" i="2"/>
  <c r="S22" i="2"/>
  <c r="T22" i="2"/>
  <c r="U22" i="2"/>
  <c r="V22" i="2"/>
  <c r="W22" i="2"/>
  <c r="X22" i="2"/>
  <c r="Y22" i="2"/>
  <c r="Z22" i="2"/>
  <c r="AA22" i="2"/>
  <c r="AB22" i="2"/>
  <c r="AC22" i="2"/>
  <c r="AD22" i="2"/>
  <c r="AE22" i="2"/>
  <c r="AF22" i="2"/>
  <c r="AG22" i="2"/>
  <c r="D23" i="2"/>
  <c r="E23" i="2"/>
  <c r="F23" i="2"/>
  <c r="G23" i="2"/>
  <c r="H23" i="2"/>
  <c r="I23" i="2"/>
  <c r="J23" i="2"/>
  <c r="K23" i="2"/>
  <c r="L23" i="2"/>
  <c r="M23" i="2"/>
  <c r="N23" i="2"/>
  <c r="O23" i="2"/>
  <c r="P23" i="2"/>
  <c r="Q23" i="2"/>
  <c r="R23" i="2"/>
  <c r="S23" i="2"/>
  <c r="T23" i="2"/>
  <c r="U23" i="2"/>
  <c r="V23" i="2"/>
  <c r="W23" i="2"/>
  <c r="X23" i="2"/>
  <c r="Y23" i="2"/>
  <c r="Z23" i="2"/>
  <c r="AA23" i="2"/>
  <c r="AB23" i="2"/>
  <c r="AC23" i="2"/>
  <c r="AD23" i="2"/>
  <c r="AE23" i="2"/>
  <c r="AF23" i="2"/>
  <c r="AG23" i="2"/>
  <c r="D24" i="2"/>
  <c r="E24" i="2"/>
  <c r="F24" i="2"/>
  <c r="G24" i="2"/>
  <c r="H24" i="2"/>
  <c r="I24" i="2"/>
  <c r="J24" i="2"/>
  <c r="K24" i="2"/>
  <c r="L24" i="2"/>
  <c r="M24" i="2"/>
  <c r="N24" i="2"/>
  <c r="O24" i="2"/>
  <c r="P24" i="2"/>
  <c r="Q24" i="2"/>
  <c r="R24" i="2"/>
  <c r="S24" i="2"/>
  <c r="T24" i="2"/>
  <c r="U24" i="2"/>
  <c r="V24" i="2"/>
  <c r="W24" i="2"/>
  <c r="X24" i="2"/>
  <c r="Y24" i="2"/>
  <c r="Z24" i="2"/>
  <c r="AA24" i="2"/>
  <c r="AB24" i="2"/>
  <c r="AC24" i="2"/>
  <c r="AD24" i="2"/>
  <c r="AE24" i="2"/>
  <c r="AF24" i="2"/>
  <c r="AG24" i="2"/>
  <c r="D25" i="2"/>
  <c r="E25" i="2"/>
  <c r="F25" i="2"/>
  <c r="G25" i="2"/>
  <c r="H25" i="2"/>
  <c r="I25" i="2"/>
  <c r="J25" i="2"/>
  <c r="K25" i="2"/>
  <c r="L25" i="2"/>
  <c r="M25" i="2"/>
  <c r="N25" i="2"/>
  <c r="O25" i="2"/>
  <c r="P25" i="2"/>
  <c r="Q25" i="2"/>
  <c r="R25" i="2"/>
  <c r="S25" i="2"/>
  <c r="T25" i="2"/>
  <c r="U25" i="2"/>
  <c r="V25" i="2"/>
  <c r="W25" i="2"/>
  <c r="X25" i="2"/>
  <c r="Y25" i="2"/>
  <c r="Z25" i="2"/>
  <c r="AA25" i="2"/>
  <c r="AB25" i="2"/>
  <c r="AC25" i="2"/>
  <c r="AD25" i="2"/>
  <c r="AE25" i="2"/>
  <c r="AF25" i="2"/>
  <c r="AG25" i="2"/>
  <c r="D26" i="2"/>
  <c r="E26" i="2"/>
  <c r="F26" i="2"/>
  <c r="G26" i="2"/>
  <c r="H26" i="2"/>
  <c r="I26" i="2"/>
  <c r="J26" i="2"/>
  <c r="K26" i="2"/>
  <c r="L26" i="2"/>
  <c r="M26" i="2"/>
  <c r="N26" i="2"/>
  <c r="O26" i="2"/>
  <c r="P26" i="2"/>
  <c r="Q26" i="2"/>
  <c r="R26" i="2"/>
  <c r="S26" i="2"/>
  <c r="T26" i="2"/>
  <c r="U26" i="2"/>
  <c r="V26" i="2"/>
  <c r="W26" i="2"/>
  <c r="X26" i="2"/>
  <c r="Y26" i="2"/>
  <c r="Z26" i="2"/>
  <c r="AA26" i="2"/>
  <c r="AB26" i="2"/>
  <c r="AC26" i="2"/>
  <c r="AD26" i="2"/>
  <c r="AE26" i="2"/>
  <c r="AF26" i="2"/>
  <c r="AG26" i="2"/>
  <c r="D27" i="2"/>
  <c r="E27" i="2"/>
  <c r="F27" i="2"/>
  <c r="G27" i="2"/>
  <c r="H27" i="2"/>
  <c r="I27" i="2"/>
  <c r="J27" i="2"/>
  <c r="K27" i="2"/>
  <c r="L27" i="2"/>
  <c r="M27" i="2"/>
  <c r="N27" i="2"/>
  <c r="O27" i="2"/>
  <c r="P27" i="2"/>
  <c r="Q27" i="2"/>
  <c r="R27" i="2"/>
  <c r="S27" i="2"/>
  <c r="T27" i="2"/>
  <c r="U27" i="2"/>
  <c r="V27" i="2"/>
  <c r="W27" i="2"/>
  <c r="X27" i="2"/>
  <c r="Y27" i="2"/>
  <c r="Z27" i="2"/>
  <c r="AA27" i="2"/>
  <c r="AB27" i="2"/>
  <c r="AC27" i="2"/>
  <c r="AD27" i="2"/>
  <c r="AE27" i="2"/>
  <c r="AF27" i="2"/>
  <c r="AG27" i="2"/>
  <c r="D28" i="2"/>
  <c r="E28" i="2"/>
  <c r="F28" i="2"/>
  <c r="G28" i="2"/>
  <c r="H28" i="2"/>
  <c r="I28" i="2"/>
  <c r="J28" i="2"/>
  <c r="K28" i="2"/>
  <c r="L28" i="2"/>
  <c r="M28" i="2"/>
  <c r="N28" i="2"/>
  <c r="O28" i="2"/>
  <c r="P28" i="2"/>
  <c r="Q28" i="2"/>
  <c r="R28" i="2"/>
  <c r="S28" i="2"/>
  <c r="T28" i="2"/>
  <c r="U28" i="2"/>
  <c r="V28" i="2"/>
  <c r="W28" i="2"/>
  <c r="X28" i="2"/>
  <c r="Y28" i="2"/>
  <c r="Z28" i="2"/>
  <c r="AA28" i="2"/>
  <c r="AB28" i="2"/>
  <c r="AC28" i="2"/>
  <c r="AD28" i="2"/>
  <c r="AE28" i="2"/>
  <c r="AF28" i="2"/>
  <c r="AG28" i="2"/>
  <c r="D29" i="2"/>
  <c r="E29" i="2"/>
  <c r="F29" i="2"/>
  <c r="G29" i="2"/>
  <c r="H29" i="2"/>
  <c r="I29" i="2"/>
  <c r="J29" i="2"/>
  <c r="K29" i="2"/>
  <c r="L29" i="2"/>
  <c r="M29" i="2"/>
  <c r="N29" i="2"/>
  <c r="O29" i="2"/>
  <c r="P29" i="2"/>
  <c r="Q29" i="2"/>
  <c r="R29" i="2"/>
  <c r="S29" i="2"/>
  <c r="T29" i="2"/>
  <c r="U29" i="2"/>
  <c r="V29" i="2"/>
  <c r="W29" i="2"/>
  <c r="X29" i="2"/>
  <c r="Y29" i="2"/>
  <c r="Z29" i="2"/>
  <c r="AA29" i="2"/>
  <c r="AB29" i="2"/>
  <c r="AC29" i="2"/>
  <c r="AD29" i="2"/>
  <c r="AE29" i="2"/>
  <c r="AF29" i="2"/>
  <c r="AG29" i="2"/>
  <c r="D30" i="2"/>
  <c r="E30" i="2"/>
  <c r="F30" i="2"/>
  <c r="G30" i="2"/>
  <c r="H30" i="2"/>
  <c r="I30" i="2"/>
  <c r="J30" i="2"/>
  <c r="K30" i="2"/>
  <c r="L30" i="2"/>
  <c r="M30" i="2"/>
  <c r="N30" i="2"/>
  <c r="O30" i="2"/>
  <c r="P30" i="2"/>
  <c r="Q30" i="2"/>
  <c r="R30" i="2"/>
  <c r="S30" i="2"/>
  <c r="T30" i="2"/>
  <c r="U30" i="2"/>
  <c r="V30" i="2"/>
  <c r="W30" i="2"/>
  <c r="X30" i="2"/>
  <c r="Y30" i="2"/>
  <c r="Z30" i="2"/>
  <c r="AA30" i="2"/>
  <c r="AB30" i="2"/>
  <c r="AC30" i="2"/>
  <c r="AD30" i="2"/>
  <c r="AE30" i="2"/>
  <c r="AF30" i="2"/>
  <c r="AG30" i="2"/>
  <c r="D31" i="2"/>
  <c r="E31" i="2"/>
  <c r="F31" i="2"/>
  <c r="G31" i="2"/>
  <c r="H31" i="2"/>
  <c r="I31" i="2"/>
  <c r="J31" i="2"/>
  <c r="K31" i="2"/>
  <c r="L31" i="2"/>
  <c r="M31" i="2"/>
  <c r="N31" i="2"/>
  <c r="O31" i="2"/>
  <c r="P31" i="2"/>
  <c r="Q31" i="2"/>
  <c r="R31" i="2"/>
  <c r="S31" i="2"/>
  <c r="T31" i="2"/>
  <c r="U31" i="2"/>
  <c r="V31" i="2"/>
  <c r="W31" i="2"/>
  <c r="X31" i="2"/>
  <c r="Y31" i="2"/>
  <c r="Z31" i="2"/>
  <c r="AA31" i="2"/>
  <c r="AB31" i="2"/>
  <c r="AC31" i="2"/>
  <c r="AD31" i="2"/>
  <c r="AE31" i="2"/>
  <c r="AF31" i="2"/>
  <c r="AG31" i="2"/>
  <c r="D32" i="2"/>
  <c r="E32" i="2"/>
  <c r="F32" i="2"/>
  <c r="G32" i="2"/>
  <c r="H32" i="2"/>
  <c r="I32" i="2"/>
  <c r="J32" i="2"/>
  <c r="K32" i="2"/>
  <c r="L32" i="2"/>
  <c r="M32" i="2"/>
  <c r="N32" i="2"/>
  <c r="O32" i="2"/>
  <c r="P32" i="2"/>
  <c r="Q32" i="2"/>
  <c r="R32" i="2"/>
  <c r="S32" i="2"/>
  <c r="T32" i="2"/>
  <c r="U32" i="2"/>
  <c r="V32" i="2"/>
  <c r="W32" i="2"/>
  <c r="X32" i="2"/>
  <c r="Y32" i="2"/>
  <c r="Z32" i="2"/>
  <c r="AA32" i="2"/>
  <c r="AB32" i="2"/>
  <c r="AC32" i="2"/>
  <c r="AD32" i="2"/>
  <c r="AE32" i="2"/>
  <c r="AF32" i="2"/>
  <c r="AG32" i="2"/>
  <c r="D33" i="2"/>
  <c r="E33" i="2"/>
  <c r="F33" i="2"/>
  <c r="G33" i="2"/>
  <c r="H33" i="2"/>
  <c r="I33" i="2"/>
  <c r="J33" i="2"/>
  <c r="K33" i="2"/>
  <c r="L33" i="2"/>
  <c r="M33" i="2"/>
  <c r="N33" i="2"/>
  <c r="O33" i="2"/>
  <c r="P33" i="2"/>
  <c r="Q33" i="2"/>
  <c r="R33" i="2"/>
  <c r="S33" i="2"/>
  <c r="T33" i="2"/>
  <c r="U33" i="2"/>
  <c r="V33" i="2"/>
  <c r="W33" i="2"/>
  <c r="X33" i="2"/>
  <c r="Y33" i="2"/>
  <c r="Z33" i="2"/>
  <c r="AA33" i="2"/>
  <c r="AB33" i="2"/>
  <c r="AC33" i="2"/>
  <c r="AD33" i="2"/>
  <c r="AE33" i="2"/>
  <c r="AF33" i="2"/>
  <c r="AG33" i="2"/>
  <c r="D34" i="2"/>
  <c r="E34" i="2"/>
  <c r="F34" i="2"/>
  <c r="G34" i="2"/>
  <c r="H34" i="2"/>
  <c r="I34" i="2"/>
  <c r="J34" i="2"/>
  <c r="K34" i="2"/>
  <c r="L34" i="2"/>
  <c r="M34" i="2"/>
  <c r="N34" i="2"/>
  <c r="O34" i="2"/>
  <c r="P34" i="2"/>
  <c r="Q34" i="2"/>
  <c r="R34" i="2"/>
  <c r="S34" i="2"/>
  <c r="T34" i="2"/>
  <c r="U34" i="2"/>
  <c r="V34" i="2"/>
  <c r="W34" i="2"/>
  <c r="X34" i="2"/>
  <c r="Y34" i="2"/>
  <c r="Z34" i="2"/>
  <c r="AA34" i="2"/>
  <c r="AB34" i="2"/>
  <c r="AC34" i="2"/>
  <c r="AD34" i="2"/>
  <c r="AE34" i="2"/>
  <c r="AF34" i="2"/>
  <c r="AG34" i="2"/>
  <c r="D35" i="2"/>
  <c r="E35" i="2"/>
  <c r="F35" i="2"/>
  <c r="G35" i="2"/>
  <c r="H35" i="2"/>
  <c r="I35" i="2"/>
  <c r="J35" i="2"/>
  <c r="K35" i="2"/>
  <c r="L35" i="2"/>
  <c r="M35" i="2"/>
  <c r="N35" i="2"/>
  <c r="O35" i="2"/>
  <c r="P35" i="2"/>
  <c r="Q35" i="2"/>
  <c r="R35" i="2"/>
  <c r="S35" i="2"/>
  <c r="T35" i="2"/>
  <c r="U35" i="2"/>
  <c r="V35" i="2"/>
  <c r="W35" i="2"/>
  <c r="X35" i="2"/>
  <c r="Y35" i="2"/>
  <c r="Z35" i="2"/>
  <c r="AA35" i="2"/>
  <c r="AB35" i="2"/>
  <c r="AC35" i="2"/>
  <c r="AD35" i="2"/>
  <c r="AE35" i="2"/>
  <c r="AF35" i="2"/>
  <c r="AG35" i="2"/>
  <c r="D36" i="2"/>
  <c r="E36" i="2"/>
  <c r="F36" i="2"/>
  <c r="G36" i="2"/>
  <c r="H36" i="2"/>
  <c r="I36" i="2"/>
  <c r="J36" i="2"/>
  <c r="K36" i="2"/>
  <c r="L36" i="2"/>
  <c r="M36" i="2"/>
  <c r="N36" i="2"/>
  <c r="O36" i="2"/>
  <c r="P36" i="2"/>
  <c r="Q36" i="2"/>
  <c r="R36" i="2"/>
  <c r="S36" i="2"/>
  <c r="T36" i="2"/>
  <c r="U36" i="2"/>
  <c r="V36" i="2"/>
  <c r="W36" i="2"/>
  <c r="X36" i="2"/>
  <c r="Y36" i="2"/>
  <c r="Z36" i="2"/>
  <c r="AA36" i="2"/>
  <c r="AB36" i="2"/>
  <c r="AC36" i="2"/>
  <c r="AD36" i="2"/>
  <c r="AE36" i="2"/>
  <c r="AF36" i="2"/>
  <c r="AG36" i="2"/>
  <c r="D37" i="2"/>
  <c r="E37" i="2"/>
  <c r="F37" i="2"/>
  <c r="G37" i="2"/>
  <c r="H37" i="2"/>
  <c r="I37" i="2"/>
  <c r="J37" i="2"/>
  <c r="K37" i="2"/>
  <c r="L37" i="2"/>
  <c r="M37" i="2"/>
  <c r="N37" i="2"/>
  <c r="O37" i="2"/>
  <c r="P37" i="2"/>
  <c r="Q37" i="2"/>
  <c r="R37" i="2"/>
  <c r="S37" i="2"/>
  <c r="T37" i="2"/>
  <c r="U37" i="2"/>
  <c r="V37" i="2"/>
  <c r="W37" i="2"/>
  <c r="X37" i="2"/>
  <c r="Y37" i="2"/>
  <c r="Z37" i="2"/>
  <c r="AA37" i="2"/>
  <c r="AB37" i="2"/>
  <c r="AC37" i="2"/>
  <c r="AD37" i="2"/>
  <c r="AE37" i="2"/>
  <c r="AF37" i="2"/>
  <c r="AG37" i="2"/>
  <c r="D38" i="2"/>
  <c r="E38" i="2"/>
  <c r="F38" i="2"/>
  <c r="G38" i="2"/>
  <c r="H38" i="2"/>
  <c r="I38" i="2"/>
  <c r="J38" i="2"/>
  <c r="K38" i="2"/>
  <c r="L38" i="2"/>
  <c r="M38" i="2"/>
  <c r="N38" i="2"/>
  <c r="O38" i="2"/>
  <c r="P38" i="2"/>
  <c r="Q38" i="2"/>
  <c r="R38" i="2"/>
  <c r="S38" i="2"/>
  <c r="T38" i="2"/>
  <c r="U38" i="2"/>
  <c r="V38" i="2"/>
  <c r="W38" i="2"/>
  <c r="X38" i="2"/>
  <c r="Y38" i="2"/>
  <c r="Z38" i="2"/>
  <c r="AA38" i="2"/>
  <c r="AB38" i="2"/>
  <c r="AC38" i="2"/>
  <c r="AD38" i="2"/>
  <c r="AE38" i="2"/>
  <c r="AF38" i="2"/>
  <c r="AG38" i="2"/>
  <c r="D39" i="2"/>
  <c r="E39" i="2"/>
  <c r="F39" i="2"/>
  <c r="G39" i="2"/>
  <c r="H39" i="2"/>
  <c r="I39" i="2"/>
  <c r="J39" i="2"/>
  <c r="K39" i="2"/>
  <c r="L39" i="2"/>
  <c r="M39" i="2"/>
  <c r="N39" i="2"/>
  <c r="O39" i="2"/>
  <c r="P39" i="2"/>
  <c r="Q39" i="2"/>
  <c r="R39" i="2"/>
  <c r="S39" i="2"/>
  <c r="T39" i="2"/>
  <c r="U39" i="2"/>
  <c r="V39" i="2"/>
  <c r="W39" i="2"/>
  <c r="X39" i="2"/>
  <c r="Y39" i="2"/>
  <c r="Z39" i="2"/>
  <c r="AA39" i="2"/>
  <c r="AB39" i="2"/>
  <c r="AC39" i="2"/>
  <c r="AD39" i="2"/>
  <c r="AE39" i="2"/>
  <c r="AF39" i="2"/>
  <c r="AG39" i="2"/>
  <c r="D40" i="2"/>
  <c r="E40" i="2"/>
  <c r="F40" i="2"/>
  <c r="G40" i="2"/>
  <c r="H40" i="2"/>
  <c r="I40" i="2"/>
  <c r="J40" i="2"/>
  <c r="K40" i="2"/>
  <c r="L40" i="2"/>
  <c r="M40" i="2"/>
  <c r="N40" i="2"/>
  <c r="O40" i="2"/>
  <c r="P40" i="2"/>
  <c r="Q40" i="2"/>
  <c r="R40" i="2"/>
  <c r="S40" i="2"/>
  <c r="T40" i="2"/>
  <c r="U40" i="2"/>
  <c r="V40" i="2"/>
  <c r="W40" i="2"/>
  <c r="X40" i="2"/>
  <c r="Y40" i="2"/>
  <c r="Z40" i="2"/>
  <c r="AA40" i="2"/>
  <c r="AB40" i="2"/>
  <c r="AC40" i="2"/>
  <c r="AD40" i="2"/>
  <c r="AE40" i="2"/>
  <c r="AF40" i="2"/>
  <c r="AG40" i="2"/>
  <c r="D41" i="2"/>
  <c r="E41" i="2"/>
  <c r="F41" i="2"/>
  <c r="G41" i="2"/>
  <c r="H41" i="2"/>
  <c r="I41" i="2"/>
  <c r="J41" i="2"/>
  <c r="K41" i="2"/>
  <c r="L41" i="2"/>
  <c r="M41" i="2"/>
  <c r="N41" i="2"/>
  <c r="O41" i="2"/>
  <c r="P41" i="2"/>
  <c r="Q41" i="2"/>
  <c r="R41" i="2"/>
  <c r="S41" i="2"/>
  <c r="T41" i="2"/>
  <c r="U41" i="2"/>
  <c r="V41" i="2"/>
  <c r="W41" i="2"/>
  <c r="X41" i="2"/>
  <c r="Y41" i="2"/>
  <c r="Z41" i="2"/>
  <c r="AA41" i="2"/>
  <c r="AB41" i="2"/>
  <c r="AC41" i="2"/>
  <c r="AD41" i="2"/>
  <c r="AE41" i="2"/>
  <c r="AF41" i="2"/>
  <c r="AG41" i="2"/>
  <c r="D42" i="2"/>
  <c r="E42" i="2"/>
  <c r="F42" i="2"/>
  <c r="G42" i="2"/>
  <c r="H42" i="2"/>
  <c r="I42" i="2"/>
  <c r="J42" i="2"/>
  <c r="K42" i="2"/>
  <c r="L42" i="2"/>
  <c r="M42" i="2"/>
  <c r="N42" i="2"/>
  <c r="O42" i="2"/>
  <c r="P42" i="2"/>
  <c r="Q42" i="2"/>
  <c r="R42" i="2"/>
  <c r="S42" i="2"/>
  <c r="T42" i="2"/>
  <c r="U42" i="2"/>
  <c r="V42" i="2"/>
  <c r="W42" i="2"/>
  <c r="X42" i="2"/>
  <c r="Y42" i="2"/>
  <c r="Z42" i="2"/>
  <c r="AA42" i="2"/>
  <c r="AB42" i="2"/>
  <c r="AC42" i="2"/>
  <c r="AD42" i="2"/>
  <c r="AE42" i="2"/>
  <c r="AF42" i="2"/>
  <c r="AG42" i="2"/>
  <c r="D43" i="2"/>
  <c r="E43" i="2"/>
  <c r="F43" i="2"/>
  <c r="G43" i="2"/>
  <c r="H43" i="2"/>
  <c r="I43" i="2"/>
  <c r="J43" i="2"/>
  <c r="K43" i="2"/>
  <c r="L43" i="2"/>
  <c r="M43" i="2"/>
  <c r="N43" i="2"/>
  <c r="O43" i="2"/>
  <c r="P43" i="2"/>
  <c r="Q43" i="2"/>
  <c r="R43" i="2"/>
  <c r="S43" i="2"/>
  <c r="T43" i="2"/>
  <c r="U43" i="2"/>
  <c r="V43" i="2"/>
  <c r="W43" i="2"/>
  <c r="X43" i="2"/>
  <c r="Y43" i="2"/>
  <c r="Z43" i="2"/>
  <c r="AA43" i="2"/>
  <c r="AB43" i="2"/>
  <c r="AC43" i="2"/>
  <c r="AD43" i="2"/>
  <c r="AE43" i="2"/>
  <c r="AF43" i="2"/>
  <c r="AG43" i="2"/>
  <c r="D44" i="2"/>
  <c r="E44" i="2"/>
  <c r="F44" i="2"/>
  <c r="G44" i="2"/>
  <c r="H44" i="2"/>
  <c r="I44" i="2"/>
  <c r="J44" i="2"/>
  <c r="K44" i="2"/>
  <c r="L44" i="2"/>
  <c r="M44" i="2"/>
  <c r="N44" i="2"/>
  <c r="O44" i="2"/>
  <c r="P44" i="2"/>
  <c r="Q44" i="2"/>
  <c r="R44" i="2"/>
  <c r="S44" i="2"/>
  <c r="T44" i="2"/>
  <c r="U44" i="2"/>
  <c r="V44" i="2"/>
  <c r="W44" i="2"/>
  <c r="X44" i="2"/>
  <c r="Y44" i="2"/>
  <c r="Z44" i="2"/>
  <c r="AA44" i="2"/>
  <c r="AB44" i="2"/>
  <c r="AC44" i="2"/>
  <c r="AD44" i="2"/>
  <c r="AE44" i="2"/>
  <c r="AF44" i="2"/>
  <c r="AG44" i="2"/>
  <c r="D45" i="2"/>
  <c r="E45" i="2"/>
  <c r="F45" i="2"/>
  <c r="G45" i="2"/>
  <c r="H45" i="2"/>
  <c r="I45" i="2"/>
  <c r="J45" i="2"/>
  <c r="K45" i="2"/>
  <c r="L45" i="2"/>
  <c r="M45" i="2"/>
  <c r="N45" i="2"/>
  <c r="O45" i="2"/>
  <c r="P45" i="2"/>
  <c r="Q45" i="2"/>
  <c r="R45" i="2"/>
  <c r="S45" i="2"/>
  <c r="T45" i="2"/>
  <c r="U45" i="2"/>
  <c r="V45" i="2"/>
  <c r="W45" i="2"/>
  <c r="X45" i="2"/>
  <c r="Y45" i="2"/>
  <c r="Z45" i="2"/>
  <c r="AA45" i="2"/>
  <c r="AB45" i="2"/>
  <c r="AC45" i="2"/>
  <c r="AD45" i="2"/>
  <c r="AE45" i="2"/>
  <c r="AF45" i="2"/>
  <c r="AG45" i="2"/>
  <c r="D46" i="2"/>
  <c r="E46" i="2"/>
  <c r="F46" i="2"/>
  <c r="G46" i="2"/>
  <c r="H46" i="2"/>
  <c r="I46" i="2"/>
  <c r="J46" i="2"/>
  <c r="K46" i="2"/>
  <c r="L46" i="2"/>
  <c r="M46" i="2"/>
  <c r="N46" i="2"/>
  <c r="O46" i="2"/>
  <c r="P46" i="2"/>
  <c r="Q46" i="2"/>
  <c r="R46" i="2"/>
  <c r="S46" i="2"/>
  <c r="T46" i="2"/>
  <c r="U46" i="2"/>
  <c r="V46" i="2"/>
  <c r="W46" i="2"/>
  <c r="X46" i="2"/>
  <c r="Y46" i="2"/>
  <c r="Z46" i="2"/>
  <c r="AA46" i="2"/>
  <c r="AB46" i="2"/>
  <c r="AC46" i="2"/>
  <c r="AD46" i="2"/>
  <c r="AE46" i="2"/>
  <c r="AF46" i="2"/>
  <c r="AG46" i="2"/>
  <c r="D47" i="2"/>
  <c r="E47" i="2"/>
  <c r="F47" i="2"/>
  <c r="G47" i="2"/>
  <c r="H47" i="2"/>
  <c r="I47" i="2"/>
  <c r="J47" i="2"/>
  <c r="K47" i="2"/>
  <c r="L47" i="2"/>
  <c r="M47" i="2"/>
  <c r="N47" i="2"/>
  <c r="O47" i="2"/>
  <c r="P47" i="2"/>
  <c r="Q47" i="2"/>
  <c r="R47" i="2"/>
  <c r="S47" i="2"/>
  <c r="T47" i="2"/>
  <c r="U47" i="2"/>
  <c r="V47" i="2"/>
  <c r="W47" i="2"/>
  <c r="X47" i="2"/>
  <c r="Y47" i="2"/>
  <c r="Z47" i="2"/>
  <c r="AA47" i="2"/>
  <c r="AB47" i="2"/>
  <c r="AC47" i="2"/>
  <c r="AD47" i="2"/>
  <c r="AE47" i="2"/>
  <c r="AF47" i="2"/>
  <c r="AG47" i="2"/>
  <c r="D48" i="2"/>
  <c r="E48" i="2"/>
  <c r="F48" i="2"/>
  <c r="G48" i="2"/>
  <c r="H48" i="2"/>
  <c r="I48" i="2"/>
  <c r="J48" i="2"/>
  <c r="K48" i="2"/>
  <c r="L48" i="2"/>
  <c r="M48" i="2"/>
  <c r="N48" i="2"/>
  <c r="O48" i="2"/>
  <c r="P48" i="2"/>
  <c r="Q48" i="2"/>
  <c r="R48" i="2"/>
  <c r="S48" i="2"/>
  <c r="T48" i="2"/>
  <c r="U48" i="2"/>
  <c r="V48" i="2"/>
  <c r="W48" i="2"/>
  <c r="X48" i="2"/>
  <c r="Y48" i="2"/>
  <c r="Z48" i="2"/>
  <c r="AA48" i="2"/>
  <c r="AB48" i="2"/>
  <c r="AC48" i="2"/>
  <c r="AD48" i="2"/>
  <c r="AE48" i="2"/>
  <c r="AF48" i="2"/>
  <c r="AG48" i="2"/>
  <c r="D49" i="2"/>
  <c r="E49" i="2"/>
  <c r="F49" i="2"/>
  <c r="G49" i="2"/>
  <c r="H49" i="2"/>
  <c r="I49" i="2"/>
  <c r="J49" i="2"/>
  <c r="K49" i="2"/>
  <c r="L49" i="2"/>
  <c r="M49" i="2"/>
  <c r="N49" i="2"/>
  <c r="O49" i="2"/>
  <c r="P49" i="2"/>
  <c r="Q49" i="2"/>
  <c r="R49" i="2"/>
  <c r="S49" i="2"/>
  <c r="T49" i="2"/>
  <c r="U49" i="2"/>
  <c r="V49" i="2"/>
  <c r="W49" i="2"/>
  <c r="X49" i="2"/>
  <c r="Y49" i="2"/>
  <c r="Z49" i="2"/>
  <c r="AA49" i="2"/>
  <c r="AB49" i="2"/>
  <c r="AC49" i="2"/>
  <c r="AD49" i="2"/>
  <c r="AE49" i="2"/>
  <c r="AF49" i="2"/>
  <c r="AG49" i="2"/>
  <c r="D50" i="2"/>
  <c r="E50" i="2"/>
  <c r="F50" i="2"/>
  <c r="G50" i="2"/>
  <c r="H50" i="2"/>
  <c r="I50" i="2"/>
  <c r="J50" i="2"/>
  <c r="K50" i="2"/>
  <c r="L50" i="2"/>
  <c r="M50" i="2"/>
  <c r="N50" i="2"/>
  <c r="O50" i="2"/>
  <c r="P50" i="2"/>
  <c r="Q50" i="2"/>
  <c r="R50" i="2"/>
  <c r="S50" i="2"/>
  <c r="T50" i="2"/>
  <c r="U50" i="2"/>
  <c r="V50" i="2"/>
  <c r="W50" i="2"/>
  <c r="X50" i="2"/>
  <c r="Y50" i="2"/>
  <c r="Z50" i="2"/>
  <c r="AA50" i="2"/>
  <c r="AB50" i="2"/>
  <c r="AC50" i="2"/>
  <c r="AD50" i="2"/>
  <c r="AE50" i="2"/>
  <c r="AF50" i="2"/>
  <c r="AG50" i="2"/>
  <c r="D51" i="2"/>
  <c r="E51" i="2"/>
  <c r="F51" i="2"/>
  <c r="G51" i="2"/>
  <c r="H51" i="2"/>
  <c r="I51" i="2"/>
  <c r="J51" i="2"/>
  <c r="K51" i="2"/>
  <c r="L51" i="2"/>
  <c r="M51" i="2"/>
  <c r="N51" i="2"/>
  <c r="O51" i="2"/>
  <c r="P51" i="2"/>
  <c r="Q51" i="2"/>
  <c r="R51" i="2"/>
  <c r="S51" i="2"/>
  <c r="T51" i="2"/>
  <c r="U51" i="2"/>
  <c r="V51" i="2"/>
  <c r="W51" i="2"/>
  <c r="X51" i="2"/>
  <c r="Y51" i="2"/>
  <c r="Z51" i="2"/>
  <c r="AA51" i="2"/>
  <c r="AB51" i="2"/>
  <c r="AC51" i="2"/>
  <c r="AD51" i="2"/>
  <c r="AE51" i="2"/>
  <c r="AF51" i="2"/>
  <c r="AG51" i="2"/>
  <c r="D52" i="2"/>
  <c r="E52" i="2"/>
  <c r="F52" i="2"/>
  <c r="G52" i="2"/>
  <c r="H52" i="2"/>
  <c r="I52" i="2"/>
  <c r="J52" i="2"/>
  <c r="K52" i="2"/>
  <c r="L52" i="2"/>
  <c r="M52" i="2"/>
  <c r="N52" i="2"/>
  <c r="O52" i="2"/>
  <c r="P52" i="2"/>
  <c r="Q52" i="2"/>
  <c r="R52" i="2"/>
  <c r="S52" i="2"/>
  <c r="T52" i="2"/>
  <c r="U52" i="2"/>
  <c r="V52" i="2"/>
  <c r="W52" i="2"/>
  <c r="X52" i="2"/>
  <c r="Y52" i="2"/>
  <c r="Z52" i="2"/>
  <c r="AA52" i="2"/>
  <c r="AB52" i="2"/>
  <c r="AC52" i="2"/>
  <c r="AD52" i="2"/>
  <c r="AE52" i="2"/>
  <c r="AF52" i="2"/>
  <c r="AG52" i="2"/>
  <c r="D53" i="2"/>
  <c r="E53" i="2"/>
  <c r="F53" i="2"/>
  <c r="G53" i="2"/>
  <c r="H53" i="2"/>
  <c r="I53" i="2"/>
  <c r="J53" i="2"/>
  <c r="K53" i="2"/>
  <c r="L53" i="2"/>
  <c r="M53" i="2"/>
  <c r="N53" i="2"/>
  <c r="O53" i="2"/>
  <c r="P53" i="2"/>
  <c r="Q53" i="2"/>
  <c r="R53" i="2"/>
  <c r="S53" i="2"/>
  <c r="T53" i="2"/>
  <c r="U53" i="2"/>
  <c r="V53" i="2"/>
  <c r="W53" i="2"/>
  <c r="X53" i="2"/>
  <c r="Y53" i="2"/>
  <c r="Z53" i="2"/>
  <c r="AA53" i="2"/>
  <c r="AB53" i="2"/>
  <c r="AC53" i="2"/>
  <c r="AD53" i="2"/>
  <c r="AE53" i="2"/>
  <c r="AF53" i="2"/>
  <c r="AG53" i="2"/>
  <c r="D54" i="2"/>
  <c r="E54" i="2"/>
  <c r="F54" i="2"/>
  <c r="G54" i="2"/>
  <c r="H54" i="2"/>
  <c r="I54" i="2"/>
  <c r="J54" i="2"/>
  <c r="K54" i="2"/>
  <c r="L54" i="2"/>
  <c r="M54" i="2"/>
  <c r="N54" i="2"/>
  <c r="O54" i="2"/>
  <c r="P54" i="2"/>
  <c r="Q54" i="2"/>
  <c r="R54" i="2"/>
  <c r="S54" i="2"/>
  <c r="T54" i="2"/>
  <c r="U54" i="2"/>
  <c r="V54" i="2"/>
  <c r="W54" i="2"/>
  <c r="X54" i="2"/>
  <c r="Y54" i="2"/>
  <c r="Z54" i="2"/>
  <c r="AA54" i="2"/>
  <c r="AB54" i="2"/>
  <c r="AC54" i="2"/>
  <c r="AD54" i="2"/>
  <c r="AE54" i="2"/>
  <c r="AF54" i="2"/>
  <c r="AG54" i="2"/>
  <c r="D55" i="2"/>
  <c r="E55" i="2"/>
  <c r="F55" i="2"/>
  <c r="G55" i="2"/>
  <c r="H55" i="2"/>
  <c r="I55" i="2"/>
  <c r="J55" i="2"/>
  <c r="K55" i="2"/>
  <c r="L55" i="2"/>
  <c r="M55" i="2"/>
  <c r="N55" i="2"/>
  <c r="O55" i="2"/>
  <c r="P55" i="2"/>
  <c r="Q55" i="2"/>
  <c r="R55" i="2"/>
  <c r="S55" i="2"/>
  <c r="T55" i="2"/>
  <c r="U55" i="2"/>
  <c r="V55" i="2"/>
  <c r="W55" i="2"/>
  <c r="X55" i="2"/>
  <c r="Y55" i="2"/>
  <c r="Z55" i="2"/>
  <c r="AA55" i="2"/>
  <c r="AB55" i="2"/>
  <c r="AC55" i="2"/>
  <c r="AD55" i="2"/>
  <c r="AE55" i="2"/>
  <c r="AF55" i="2"/>
  <c r="AG55" i="2"/>
  <c r="D56" i="2"/>
  <c r="E56" i="2"/>
  <c r="F56" i="2"/>
  <c r="G56" i="2"/>
  <c r="H56" i="2"/>
  <c r="I56" i="2"/>
  <c r="J56" i="2"/>
  <c r="K56" i="2"/>
  <c r="L56" i="2"/>
  <c r="M56" i="2"/>
  <c r="N56" i="2"/>
  <c r="O56" i="2"/>
  <c r="P56" i="2"/>
  <c r="Q56" i="2"/>
  <c r="R56" i="2"/>
  <c r="S56" i="2"/>
  <c r="T56" i="2"/>
  <c r="U56" i="2"/>
  <c r="V56" i="2"/>
  <c r="W56" i="2"/>
  <c r="X56" i="2"/>
  <c r="Y56" i="2"/>
  <c r="Z56" i="2"/>
  <c r="AA56" i="2"/>
  <c r="AB56" i="2"/>
  <c r="AC56" i="2"/>
  <c r="AD56" i="2"/>
  <c r="AE56" i="2"/>
  <c r="AF56" i="2"/>
  <c r="AG56" i="2"/>
  <c r="D57" i="2"/>
  <c r="E57" i="2"/>
  <c r="F57" i="2"/>
  <c r="G57" i="2"/>
  <c r="H57" i="2"/>
  <c r="I57" i="2"/>
  <c r="J57" i="2"/>
  <c r="K57" i="2"/>
  <c r="L57" i="2"/>
  <c r="M57" i="2"/>
  <c r="N57" i="2"/>
  <c r="O57" i="2"/>
  <c r="P57" i="2"/>
  <c r="Q57" i="2"/>
  <c r="R57" i="2"/>
  <c r="S57" i="2"/>
  <c r="T57" i="2"/>
  <c r="U57" i="2"/>
  <c r="V57" i="2"/>
  <c r="W57" i="2"/>
  <c r="X57" i="2"/>
  <c r="Y57" i="2"/>
  <c r="Z57" i="2"/>
  <c r="AA57" i="2"/>
  <c r="AB57" i="2"/>
  <c r="AC57" i="2"/>
  <c r="AD57" i="2"/>
  <c r="AE57" i="2"/>
  <c r="AF57" i="2"/>
  <c r="AG57"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AL57" i="9" l="1"/>
  <c r="J56" i="1"/>
  <c r="AL53" i="9"/>
  <c r="J52" i="1"/>
  <c r="AL49" i="9"/>
  <c r="J48" i="1"/>
  <c r="AL45" i="9"/>
  <c r="J44" i="1"/>
  <c r="AL41" i="9"/>
  <c r="J40" i="1"/>
  <c r="AL37" i="9"/>
  <c r="J36" i="1"/>
  <c r="AL33" i="9"/>
  <c r="J32" i="1"/>
  <c r="AL29" i="9"/>
  <c r="J28" i="1"/>
  <c r="AL25" i="9"/>
  <c r="J24" i="1"/>
  <c r="AL21" i="9"/>
  <c r="J20" i="1"/>
  <c r="AL17" i="9"/>
  <c r="J16" i="1"/>
  <c r="AL16" i="9"/>
  <c r="J15" i="1"/>
  <c r="AL15" i="9"/>
  <c r="J14" i="1"/>
  <c r="AL10" i="9"/>
  <c r="J9" i="1"/>
  <c r="AM43" i="9"/>
  <c r="J42" i="1"/>
  <c r="AM27" i="9"/>
  <c r="J26" i="1"/>
  <c r="E9" i="30"/>
  <c r="AL54" i="9"/>
  <c r="J53" i="1"/>
  <c r="AL50" i="9"/>
  <c r="J49" i="1"/>
  <c r="AL46" i="9"/>
  <c r="J45" i="1"/>
  <c r="AL42" i="9"/>
  <c r="J41" i="1"/>
  <c r="AL38" i="9"/>
  <c r="J37" i="1"/>
  <c r="AL34" i="9"/>
  <c r="J33" i="1"/>
  <c r="AL30" i="9"/>
  <c r="J29" i="1"/>
  <c r="AL26" i="9"/>
  <c r="J25" i="1"/>
  <c r="AL22" i="9"/>
  <c r="J21" i="1"/>
  <c r="AL18" i="9"/>
  <c r="J17" i="1"/>
  <c r="L35" i="1"/>
  <c r="AM36" i="11"/>
  <c r="L31" i="1"/>
  <c r="AM32" i="11"/>
  <c r="L27" i="1"/>
  <c r="AM28" i="11"/>
  <c r="L23" i="1"/>
  <c r="AM24" i="11"/>
  <c r="L19" i="1"/>
  <c r="AM20" i="11"/>
  <c r="L13" i="1"/>
  <c r="AM14" i="11"/>
  <c r="L11" i="1"/>
  <c r="AM12" i="11"/>
  <c r="AL6" i="11"/>
  <c r="L5" i="1"/>
  <c r="AM6" i="11"/>
  <c r="L10" i="1"/>
  <c r="AM11" i="11"/>
  <c r="L55" i="1"/>
  <c r="AM56" i="11"/>
  <c r="L51" i="1"/>
  <c r="AM52" i="11"/>
  <c r="L49" i="1"/>
  <c r="AM50" i="11"/>
  <c r="L47" i="1"/>
  <c r="AM48" i="11"/>
  <c r="L45" i="1"/>
  <c r="AM46" i="11"/>
  <c r="L43" i="1"/>
  <c r="AM44" i="11"/>
  <c r="L41" i="1"/>
  <c r="AM42" i="11"/>
  <c r="L39" i="1"/>
  <c r="AM40" i="11"/>
  <c r="L37" i="1"/>
  <c r="AM38" i="11"/>
  <c r="L33" i="1"/>
  <c r="AM34" i="11"/>
  <c r="L29" i="1"/>
  <c r="AM30" i="11"/>
  <c r="L25" i="1"/>
  <c r="AM26" i="11"/>
  <c r="L9" i="1"/>
  <c r="AM10" i="11"/>
  <c r="L56" i="1"/>
  <c r="AM57" i="11"/>
  <c r="L54" i="1"/>
  <c r="AM55" i="11"/>
  <c r="L53" i="1"/>
  <c r="AM54" i="11"/>
  <c r="L52" i="1"/>
  <c r="AM53" i="11"/>
  <c r="L50" i="1"/>
  <c r="AM51" i="11"/>
  <c r="L48" i="1"/>
  <c r="AM49" i="11"/>
  <c r="L46" i="1"/>
  <c r="AM47" i="11"/>
  <c r="L44" i="1"/>
  <c r="AM45" i="11"/>
  <c r="L42" i="1"/>
  <c r="AM43" i="11"/>
  <c r="L40" i="1"/>
  <c r="AM41" i="11"/>
  <c r="L38" i="1"/>
  <c r="AM39" i="11"/>
  <c r="L36" i="1"/>
  <c r="AM37" i="11"/>
  <c r="L34" i="1"/>
  <c r="AM35" i="11"/>
  <c r="L32" i="1"/>
  <c r="AM33" i="11"/>
  <c r="L30" i="1"/>
  <c r="AM31" i="11"/>
  <c r="L28" i="1"/>
  <c r="AM29" i="11"/>
  <c r="L26" i="1"/>
  <c r="AM27" i="11"/>
  <c r="L24" i="1"/>
  <c r="AM25" i="11"/>
  <c r="L22" i="1"/>
  <c r="AM23" i="11"/>
  <c r="L21" i="1"/>
  <c r="AM22" i="11"/>
  <c r="L20" i="1"/>
  <c r="AM21" i="11"/>
  <c r="L18" i="1"/>
  <c r="AM19" i="11"/>
  <c r="L17" i="1"/>
  <c r="AM18" i="11"/>
  <c r="L16" i="1"/>
  <c r="AM17" i="11"/>
  <c r="L15" i="1"/>
  <c r="AM16" i="11"/>
  <c r="L14" i="1"/>
  <c r="AM15" i="11"/>
  <c r="L12" i="1"/>
  <c r="AM13" i="11"/>
  <c r="L8" i="1"/>
  <c r="AM9" i="11"/>
  <c r="AL8" i="11"/>
  <c r="L7" i="1"/>
  <c r="AM8" i="11"/>
  <c r="AL7" i="11"/>
  <c r="L6" i="1"/>
  <c r="AM7" i="11"/>
  <c r="AL5" i="11"/>
  <c r="L4" i="1"/>
  <c r="AM5" i="11"/>
  <c r="AL4" i="11"/>
  <c r="L3" i="1"/>
  <c r="AM4" i="11"/>
  <c r="AP15" i="11" s="1"/>
  <c r="AP16" i="11"/>
  <c r="AP16" i="35"/>
  <c r="B12" i="30" s="1"/>
  <c r="AP16" i="36"/>
  <c r="B13" i="30" s="1"/>
  <c r="AM8" i="3"/>
  <c r="AH51" i="2"/>
  <c r="AH47" i="2"/>
  <c r="AH43" i="2"/>
  <c r="AH39" i="2"/>
  <c r="AH35" i="2"/>
  <c r="AH31" i="2"/>
  <c r="AH27" i="2"/>
  <c r="AH23" i="2"/>
  <c r="AH19" i="2"/>
  <c r="AH15" i="2"/>
  <c r="C14" i="1" s="1"/>
  <c r="AH11" i="2"/>
  <c r="C10" i="1" s="1"/>
  <c r="AH17" i="2"/>
  <c r="C16" i="1" s="1"/>
  <c r="AH13" i="2"/>
  <c r="C12" i="1" s="1"/>
  <c r="AH9" i="2"/>
  <c r="C8" i="1" s="1"/>
  <c r="AH55" i="2"/>
  <c r="AH54" i="2"/>
  <c r="AH50" i="2"/>
  <c r="AH46" i="2"/>
  <c r="AH42" i="2"/>
  <c r="AH38" i="2"/>
  <c r="AH34" i="2"/>
  <c r="AH30" i="2"/>
  <c r="AH26" i="2"/>
  <c r="AH22" i="2"/>
  <c r="AH18" i="2"/>
  <c r="C17" i="1" s="1"/>
  <c r="AH14" i="2"/>
  <c r="C13" i="1" s="1"/>
  <c r="AH10" i="2"/>
  <c r="C9" i="1" s="1"/>
  <c r="AH53" i="2"/>
  <c r="AH45" i="2"/>
  <c r="AH33" i="2"/>
  <c r="AH29" i="2"/>
  <c r="AH21" i="2"/>
  <c r="AH57" i="2"/>
  <c r="AH49" i="2"/>
  <c r="AH41" i="2"/>
  <c r="AH37" i="2"/>
  <c r="AH25" i="2"/>
  <c r="AH56" i="2"/>
  <c r="AH52" i="2"/>
  <c r="AH48" i="2"/>
  <c r="AH44" i="2"/>
  <c r="AH40" i="2"/>
  <c r="AH36" i="2"/>
  <c r="AH32" i="2"/>
  <c r="AH28" i="2"/>
  <c r="AH24" i="2"/>
  <c r="AH20" i="2"/>
  <c r="AH16" i="2"/>
  <c r="C15" i="1" s="1"/>
  <c r="AH12" i="2"/>
  <c r="C11" i="1" s="1"/>
  <c r="AL32" i="11"/>
  <c r="AL48" i="11"/>
  <c r="AL40" i="11"/>
  <c r="AL26" i="11"/>
  <c r="AL54" i="11"/>
  <c r="AL47" i="11"/>
  <c r="AL39" i="11"/>
  <c r="AL31" i="11"/>
  <c r="AL23" i="11"/>
  <c r="AL28" i="11"/>
  <c r="AL46" i="11"/>
  <c r="AL38" i="11"/>
  <c r="AL10" i="11"/>
  <c r="AL53" i="11"/>
  <c r="AL45" i="11"/>
  <c r="AL37" i="11"/>
  <c r="AL29" i="11"/>
  <c r="AL22" i="11"/>
  <c r="AL17" i="11"/>
  <c r="AL9" i="11"/>
  <c r="AL44" i="11"/>
  <c r="AL34" i="11"/>
  <c r="AL57" i="11"/>
  <c r="AL51" i="11"/>
  <c r="AL43" i="11"/>
  <c r="AL21" i="11"/>
  <c r="AL16" i="11"/>
  <c r="AL36" i="11"/>
  <c r="AL20" i="11"/>
  <c r="AL50" i="11"/>
  <c r="AL42" i="11"/>
  <c r="AL30" i="11"/>
  <c r="AL55" i="11"/>
  <c r="AL49" i="11"/>
  <c r="AL41" i="11"/>
  <c r="AL33" i="11"/>
  <c r="AL25" i="11"/>
  <c r="AL19" i="11"/>
  <c r="AL15" i="11"/>
  <c r="AL24" i="10"/>
  <c r="K23" i="1"/>
  <c r="AL56" i="10"/>
  <c r="K55" i="1"/>
  <c r="AL38" i="10"/>
  <c r="K37" i="1"/>
  <c r="AM10" i="10"/>
  <c r="K9" i="1"/>
  <c r="AM55" i="10"/>
  <c r="K54" i="1"/>
  <c r="AL50" i="10"/>
  <c r="K49" i="1"/>
  <c r="AL46" i="10"/>
  <c r="K45" i="1"/>
  <c r="AM41" i="10"/>
  <c r="K40" i="1"/>
  <c r="AL33" i="10"/>
  <c r="K32" i="1"/>
  <c r="AL26" i="10"/>
  <c r="K25" i="1"/>
  <c r="AL21" i="10"/>
  <c r="K20" i="1"/>
  <c r="AL16" i="10"/>
  <c r="K15" i="1"/>
  <c r="AL20" i="10"/>
  <c r="K19" i="1"/>
  <c r="AL11" i="10"/>
  <c r="K10" i="1"/>
  <c r="AM52" i="10"/>
  <c r="K51" i="1"/>
  <c r="AL36" i="10"/>
  <c r="K35" i="1"/>
  <c r="AL9" i="10"/>
  <c r="K8" i="1"/>
  <c r="AL54" i="10"/>
  <c r="K53" i="1"/>
  <c r="AL49" i="10"/>
  <c r="K48" i="1"/>
  <c r="AL45" i="10"/>
  <c r="K44" i="1"/>
  <c r="AL39" i="10"/>
  <c r="K38" i="1"/>
  <c r="AM31" i="10"/>
  <c r="K30" i="1"/>
  <c r="AL25" i="10"/>
  <c r="K24" i="1"/>
  <c r="AL19" i="10"/>
  <c r="K18" i="1"/>
  <c r="AL15" i="10"/>
  <c r="K14" i="1"/>
  <c r="AL32" i="10"/>
  <c r="K31" i="1"/>
  <c r="AL14" i="10"/>
  <c r="K13" i="1"/>
  <c r="AM42" i="10"/>
  <c r="K41" i="1"/>
  <c r="AL34" i="10"/>
  <c r="K33" i="1"/>
  <c r="AL53" i="10"/>
  <c r="K52" i="1"/>
  <c r="AL48" i="10"/>
  <c r="K47" i="1"/>
  <c r="AL44" i="10"/>
  <c r="K43" i="1"/>
  <c r="AL37" i="10"/>
  <c r="K36" i="1"/>
  <c r="AL29" i="10"/>
  <c r="K28" i="1"/>
  <c r="AM23" i="10"/>
  <c r="K22" i="1"/>
  <c r="AL18" i="10"/>
  <c r="K17" i="1"/>
  <c r="AM13" i="10"/>
  <c r="K12" i="1"/>
  <c r="AL28" i="10"/>
  <c r="K27" i="1"/>
  <c r="AM12" i="10"/>
  <c r="K11" i="1"/>
  <c r="AL40" i="10"/>
  <c r="K39" i="1"/>
  <c r="AL30" i="10"/>
  <c r="K29" i="1"/>
  <c r="AL57" i="10"/>
  <c r="K56" i="1"/>
  <c r="AM51" i="10"/>
  <c r="K50" i="1"/>
  <c r="AL47" i="10"/>
  <c r="K46" i="1"/>
  <c r="AM43" i="10"/>
  <c r="K42" i="1"/>
  <c r="AM35" i="10"/>
  <c r="K34" i="1"/>
  <c r="AM27" i="10"/>
  <c r="K26" i="1"/>
  <c r="AL22" i="10"/>
  <c r="K21" i="1"/>
  <c r="AL17" i="10"/>
  <c r="K16" i="1"/>
  <c r="AL36" i="8"/>
  <c r="I35" i="1"/>
  <c r="AL14" i="8"/>
  <c r="I13" i="1"/>
  <c r="AL45" i="8"/>
  <c r="I44" i="1"/>
  <c r="AL30" i="8"/>
  <c r="I29" i="1"/>
  <c r="AL19" i="8"/>
  <c r="I18" i="1"/>
  <c r="AM13" i="8"/>
  <c r="I12" i="1"/>
  <c r="AL28" i="8"/>
  <c r="I27" i="1"/>
  <c r="AL48" i="8"/>
  <c r="I47" i="1"/>
  <c r="AL32" i="8"/>
  <c r="I31" i="1"/>
  <c r="AM10" i="8"/>
  <c r="I9" i="1"/>
  <c r="AL54" i="8"/>
  <c r="I53" i="1"/>
  <c r="AL49" i="8"/>
  <c r="I48" i="1"/>
  <c r="AM43" i="8"/>
  <c r="I42" i="1"/>
  <c r="AL37" i="8"/>
  <c r="I36" i="1"/>
  <c r="AL29" i="8"/>
  <c r="I28" i="1"/>
  <c r="AM23" i="8"/>
  <c r="I22" i="1"/>
  <c r="AL18" i="8"/>
  <c r="I17" i="1"/>
  <c r="AM12" i="8"/>
  <c r="I11" i="1"/>
  <c r="AM39" i="8"/>
  <c r="I38" i="1"/>
  <c r="AL9" i="8"/>
  <c r="I8" i="1"/>
  <c r="AL50" i="8"/>
  <c r="I49" i="1"/>
  <c r="AM11" i="8"/>
  <c r="I10" i="1"/>
  <c r="AL44" i="8"/>
  <c r="I43" i="1"/>
  <c r="AL24" i="8"/>
  <c r="I23" i="1"/>
  <c r="AL53" i="8"/>
  <c r="I52" i="1"/>
  <c r="AM47" i="8"/>
  <c r="I46" i="1"/>
  <c r="AL42" i="8"/>
  <c r="I41" i="1"/>
  <c r="AL34" i="8"/>
  <c r="I33" i="1"/>
  <c r="AM27" i="8"/>
  <c r="I26" i="1"/>
  <c r="AL22" i="8"/>
  <c r="I21" i="1"/>
  <c r="AL17" i="8"/>
  <c r="I16" i="1"/>
  <c r="AM35" i="8"/>
  <c r="I34" i="1"/>
  <c r="AL52" i="8"/>
  <c r="I51" i="1"/>
  <c r="AM55" i="8"/>
  <c r="I54" i="1"/>
  <c r="AL38" i="8"/>
  <c r="I37" i="1"/>
  <c r="AL25" i="8"/>
  <c r="I24" i="1"/>
  <c r="AL15" i="8"/>
  <c r="I14" i="1"/>
  <c r="AM56" i="8"/>
  <c r="I55" i="1"/>
  <c r="AM40" i="8"/>
  <c r="I39" i="1"/>
  <c r="AM20" i="8"/>
  <c r="I19" i="1"/>
  <c r="AL57" i="8"/>
  <c r="I56" i="1"/>
  <c r="AL51" i="8"/>
  <c r="I50" i="1"/>
  <c r="AL46" i="8"/>
  <c r="I45" i="1"/>
  <c r="AL41" i="8"/>
  <c r="I40" i="1"/>
  <c r="AL33" i="8"/>
  <c r="I32" i="1"/>
  <c r="AL26" i="8"/>
  <c r="I25" i="1"/>
  <c r="AL21" i="8"/>
  <c r="I20" i="1"/>
  <c r="AL16" i="8"/>
  <c r="I15" i="1"/>
  <c r="AM31" i="8"/>
  <c r="I30" i="1"/>
  <c r="AL14" i="7"/>
  <c r="H13" i="1"/>
  <c r="AL56" i="7"/>
  <c r="H55" i="1"/>
  <c r="AL48" i="7"/>
  <c r="H47" i="1"/>
  <c r="AL36" i="7"/>
  <c r="H35" i="1"/>
  <c r="AM24" i="7"/>
  <c r="H23" i="1"/>
  <c r="AL57" i="7"/>
  <c r="H56" i="1"/>
  <c r="AL49" i="7"/>
  <c r="H48" i="1"/>
  <c r="AL41" i="7"/>
  <c r="H40" i="1"/>
  <c r="AM35" i="7"/>
  <c r="H34" i="1"/>
  <c r="AL29" i="7"/>
  <c r="H28" i="1"/>
  <c r="AL23" i="7"/>
  <c r="H22" i="1"/>
  <c r="AM19" i="7"/>
  <c r="H18" i="1"/>
  <c r="AL15" i="7"/>
  <c r="H14" i="1"/>
  <c r="AL12" i="7"/>
  <c r="H11" i="1"/>
  <c r="AL54" i="7"/>
  <c r="H53" i="1"/>
  <c r="AL46" i="7"/>
  <c r="H45" i="1"/>
  <c r="AL34" i="7"/>
  <c r="H33" i="1"/>
  <c r="AM10" i="7"/>
  <c r="H9" i="1"/>
  <c r="AM55" i="7"/>
  <c r="H54" i="1"/>
  <c r="AM47" i="7"/>
  <c r="H46" i="1"/>
  <c r="AM39" i="7"/>
  <c r="H38" i="1"/>
  <c r="AL33" i="7"/>
  <c r="H32" i="1"/>
  <c r="AM27" i="7"/>
  <c r="H26" i="1"/>
  <c r="AL22" i="7"/>
  <c r="H21" i="1"/>
  <c r="AL18" i="7"/>
  <c r="H17" i="1"/>
  <c r="AL13" i="7"/>
  <c r="H12" i="1"/>
  <c r="AL52" i="7"/>
  <c r="H51" i="1"/>
  <c r="AL44" i="7"/>
  <c r="H43" i="1"/>
  <c r="AL32" i="7"/>
  <c r="H31" i="1"/>
  <c r="AL53" i="7"/>
  <c r="H52" i="1"/>
  <c r="AL45" i="7"/>
  <c r="H44" i="1"/>
  <c r="AL38" i="7"/>
  <c r="H37" i="1"/>
  <c r="AL31" i="7"/>
  <c r="H30" i="1"/>
  <c r="AL26" i="7"/>
  <c r="H25" i="1"/>
  <c r="AL21" i="7"/>
  <c r="H20" i="1"/>
  <c r="AL17" i="7"/>
  <c r="H16" i="1"/>
  <c r="AL9" i="7"/>
  <c r="H8" i="1"/>
  <c r="AL40" i="7"/>
  <c r="H39" i="1"/>
  <c r="AL11" i="7"/>
  <c r="H10" i="1"/>
  <c r="AL50" i="7"/>
  <c r="H49" i="1"/>
  <c r="AL42" i="7"/>
  <c r="H41" i="1"/>
  <c r="AL28" i="7"/>
  <c r="H27" i="1"/>
  <c r="AL51" i="7"/>
  <c r="H50" i="1"/>
  <c r="AL43" i="7"/>
  <c r="H42" i="1"/>
  <c r="AL37" i="7"/>
  <c r="H36" i="1"/>
  <c r="AL30" i="7"/>
  <c r="H29" i="1"/>
  <c r="AL25" i="7"/>
  <c r="H24" i="1"/>
  <c r="AL20" i="7"/>
  <c r="H19" i="1"/>
  <c r="AL16" i="7"/>
  <c r="H15" i="1"/>
  <c r="AL45" i="6"/>
  <c r="G44" i="1"/>
  <c r="AL29" i="6"/>
  <c r="G28" i="1"/>
  <c r="AL16" i="6"/>
  <c r="G15" i="1"/>
  <c r="AL56" i="6"/>
  <c r="G55" i="1"/>
  <c r="AL40" i="6"/>
  <c r="G39" i="1"/>
  <c r="AM24" i="6"/>
  <c r="G23" i="1"/>
  <c r="AL46" i="6"/>
  <c r="G45" i="1"/>
  <c r="AL38" i="6"/>
  <c r="G37" i="1"/>
  <c r="AL30" i="6"/>
  <c r="G29" i="1"/>
  <c r="AL22" i="6"/>
  <c r="G21" i="1"/>
  <c r="AL9" i="6"/>
  <c r="G8" i="1"/>
  <c r="AM51" i="6"/>
  <c r="G50" i="1"/>
  <c r="AL57" i="6"/>
  <c r="G56" i="1"/>
  <c r="AL41" i="6"/>
  <c r="G40" i="1"/>
  <c r="AL25" i="6"/>
  <c r="G24" i="1"/>
  <c r="AL15" i="6"/>
  <c r="G14" i="1"/>
  <c r="AM52" i="6"/>
  <c r="G51" i="1"/>
  <c r="AL36" i="6"/>
  <c r="G35" i="1"/>
  <c r="AL20" i="6"/>
  <c r="G19" i="1"/>
  <c r="AL54" i="6"/>
  <c r="G53" i="1"/>
  <c r="AL43" i="6"/>
  <c r="G42" i="1"/>
  <c r="AM35" i="6"/>
  <c r="G34" i="1"/>
  <c r="AM27" i="6"/>
  <c r="G26" i="1"/>
  <c r="AM19" i="6"/>
  <c r="G18" i="1"/>
  <c r="AM10" i="6"/>
  <c r="G9" i="1"/>
  <c r="AL53" i="6"/>
  <c r="G52" i="1"/>
  <c r="AL37" i="6"/>
  <c r="G36" i="1"/>
  <c r="AL21" i="6"/>
  <c r="G20" i="1"/>
  <c r="AL12" i="6"/>
  <c r="G11" i="1"/>
  <c r="AL48" i="6"/>
  <c r="G47" i="1"/>
  <c r="AL32" i="6"/>
  <c r="G31" i="1"/>
  <c r="AL14" i="6"/>
  <c r="G13" i="1"/>
  <c r="AL50" i="6"/>
  <c r="G49" i="1"/>
  <c r="AL42" i="6"/>
  <c r="G41" i="1"/>
  <c r="AL34" i="6"/>
  <c r="G33" i="1"/>
  <c r="AL26" i="6"/>
  <c r="G25" i="1"/>
  <c r="AL18" i="6"/>
  <c r="G17" i="1"/>
  <c r="AL49" i="6"/>
  <c r="G48" i="1"/>
  <c r="AL33" i="6"/>
  <c r="G32" i="1"/>
  <c r="AL17" i="6"/>
  <c r="G16" i="1"/>
  <c r="AL44" i="6"/>
  <c r="G43" i="1"/>
  <c r="AL28" i="6"/>
  <c r="G27" i="1"/>
  <c r="AM11" i="6"/>
  <c r="G10" i="1"/>
  <c r="AL47" i="6"/>
  <c r="G46" i="1"/>
  <c r="AL39" i="6"/>
  <c r="G38" i="1"/>
  <c r="AL31" i="6"/>
  <c r="G30" i="1"/>
  <c r="AL23" i="6"/>
  <c r="G22" i="1"/>
  <c r="AL13" i="6"/>
  <c r="G12" i="1"/>
  <c r="AM55" i="6"/>
  <c r="G54" i="1"/>
  <c r="AL56" i="5"/>
  <c r="F55" i="1"/>
  <c r="AL40" i="5"/>
  <c r="F39" i="1"/>
  <c r="AM9" i="5"/>
  <c r="F8" i="1"/>
  <c r="AL49" i="5"/>
  <c r="F48" i="1"/>
  <c r="AL25" i="5"/>
  <c r="F24" i="1"/>
  <c r="AL15" i="5"/>
  <c r="F14" i="1"/>
  <c r="AL34" i="5"/>
  <c r="F33" i="1"/>
  <c r="AL36" i="5"/>
  <c r="F35" i="1"/>
  <c r="AL20" i="5"/>
  <c r="F19" i="1"/>
  <c r="AM39" i="5"/>
  <c r="F38" i="1"/>
  <c r="AM23" i="5"/>
  <c r="F22" i="1"/>
  <c r="AM55" i="5"/>
  <c r="F54" i="1"/>
  <c r="AL47" i="5"/>
  <c r="F46" i="1"/>
  <c r="AL37" i="5"/>
  <c r="F36" i="1"/>
  <c r="AL21" i="5"/>
  <c r="F20" i="1"/>
  <c r="AM11" i="5"/>
  <c r="F10" i="1"/>
  <c r="AL52" i="5"/>
  <c r="F51" i="1"/>
  <c r="AM30" i="5"/>
  <c r="F29" i="1"/>
  <c r="AL24" i="5"/>
  <c r="F23" i="1"/>
  <c r="AM27" i="5"/>
  <c r="F26" i="1"/>
  <c r="AL57" i="5"/>
  <c r="F56" i="1"/>
  <c r="AL41" i="5"/>
  <c r="F40" i="1"/>
  <c r="AM12" i="5"/>
  <c r="F11" i="1"/>
  <c r="AL46" i="5"/>
  <c r="F45" i="1"/>
  <c r="AL48" i="5"/>
  <c r="F47" i="1"/>
  <c r="AL32" i="5"/>
  <c r="F31" i="1"/>
  <c r="AL14" i="5"/>
  <c r="F13" i="1"/>
  <c r="AM35" i="5"/>
  <c r="F34" i="1"/>
  <c r="AM19" i="5"/>
  <c r="F18" i="1"/>
  <c r="AL53" i="5"/>
  <c r="F52" i="1"/>
  <c r="AL45" i="5"/>
  <c r="F44" i="1"/>
  <c r="AL33" i="5"/>
  <c r="F32" i="1"/>
  <c r="AL17" i="5"/>
  <c r="F16" i="1"/>
  <c r="AM54" i="5"/>
  <c r="F53" i="1"/>
  <c r="AM42" i="5"/>
  <c r="F41" i="1"/>
  <c r="AM22" i="5"/>
  <c r="F21" i="1"/>
  <c r="AM44" i="5"/>
  <c r="F43" i="1"/>
  <c r="AL28" i="5"/>
  <c r="F27" i="1"/>
  <c r="AM10" i="5"/>
  <c r="F9" i="1"/>
  <c r="AL31" i="5"/>
  <c r="F30" i="1"/>
  <c r="AL13" i="5"/>
  <c r="F12" i="1"/>
  <c r="AL51" i="5"/>
  <c r="F50" i="1"/>
  <c r="AL43" i="5"/>
  <c r="F42" i="1"/>
  <c r="AL29" i="5"/>
  <c r="F28" i="1"/>
  <c r="AL16" i="5"/>
  <c r="F15" i="1"/>
  <c r="AL26" i="5"/>
  <c r="F25" i="1"/>
  <c r="AL50" i="5"/>
  <c r="F49" i="1"/>
  <c r="AM38" i="5"/>
  <c r="F37" i="1"/>
  <c r="AM18" i="5"/>
  <c r="F17" i="1"/>
  <c r="AL53" i="4"/>
  <c r="E52" i="1"/>
  <c r="AL56" i="4"/>
  <c r="E55" i="1"/>
  <c r="AL32" i="4"/>
  <c r="E31" i="1"/>
  <c r="AL14" i="4"/>
  <c r="E13" i="1"/>
  <c r="AM51" i="4"/>
  <c r="E50" i="1"/>
  <c r="AM43" i="4"/>
  <c r="E42" i="1"/>
  <c r="AM35" i="4"/>
  <c r="E34" i="1"/>
  <c r="AL27" i="4"/>
  <c r="E26" i="1"/>
  <c r="AM19" i="4"/>
  <c r="E18" i="1"/>
  <c r="AL15" i="4"/>
  <c r="E14" i="1"/>
  <c r="AL54" i="4"/>
  <c r="E53" i="1"/>
  <c r="AL46" i="4"/>
  <c r="E45" i="1"/>
  <c r="AM34" i="4"/>
  <c r="E33" i="1"/>
  <c r="AM10" i="4"/>
  <c r="E9" i="1"/>
  <c r="AL20" i="4"/>
  <c r="E19" i="1"/>
  <c r="AM45" i="4"/>
  <c r="E44" i="1"/>
  <c r="AL29" i="4"/>
  <c r="E28" i="1"/>
  <c r="AL16" i="4"/>
  <c r="E15" i="1"/>
  <c r="AL48" i="4"/>
  <c r="E47" i="1"/>
  <c r="AM22" i="4"/>
  <c r="E21" i="1"/>
  <c r="AL28" i="4"/>
  <c r="E27" i="1"/>
  <c r="AM12" i="4"/>
  <c r="E11" i="1"/>
  <c r="AL57" i="4"/>
  <c r="E56" i="1"/>
  <c r="AM49" i="4"/>
  <c r="E48" i="1"/>
  <c r="AL41" i="4"/>
  <c r="E40" i="1"/>
  <c r="AL33" i="4"/>
  <c r="E32" i="1"/>
  <c r="AL25" i="4"/>
  <c r="E24" i="1"/>
  <c r="AL18" i="4"/>
  <c r="E17" i="1"/>
  <c r="AM13" i="4"/>
  <c r="E12" i="1"/>
  <c r="AL52" i="4"/>
  <c r="E51" i="1"/>
  <c r="AL44" i="4"/>
  <c r="E43" i="1"/>
  <c r="AM30" i="4"/>
  <c r="E29" i="1"/>
  <c r="AL36" i="4"/>
  <c r="E35" i="1"/>
  <c r="AM11" i="4"/>
  <c r="E10" i="1"/>
  <c r="AL37" i="4"/>
  <c r="E36" i="1"/>
  <c r="AL21" i="4"/>
  <c r="E20" i="1"/>
  <c r="AM38" i="4"/>
  <c r="E37" i="1"/>
  <c r="AL40" i="4"/>
  <c r="E39" i="1"/>
  <c r="AL24" i="4"/>
  <c r="E23" i="1"/>
  <c r="AM55" i="4"/>
  <c r="E54" i="1"/>
  <c r="AL47" i="4"/>
  <c r="E46" i="1"/>
  <c r="AM39" i="4"/>
  <c r="E38" i="1"/>
  <c r="AM31" i="4"/>
  <c r="E30" i="1"/>
  <c r="AM23" i="4"/>
  <c r="E22" i="1"/>
  <c r="AL17" i="4"/>
  <c r="E16" i="1"/>
  <c r="AM9" i="4"/>
  <c r="E8" i="1"/>
  <c r="AL50" i="4"/>
  <c r="E49" i="1"/>
  <c r="AM42" i="4"/>
  <c r="E41" i="1"/>
  <c r="AM26" i="4"/>
  <c r="E25" i="1"/>
  <c r="AL45" i="3"/>
  <c r="D44" i="1"/>
  <c r="AL29" i="3"/>
  <c r="D28" i="1"/>
  <c r="AL16" i="3"/>
  <c r="D15" i="1"/>
  <c r="AM55" i="3"/>
  <c r="D54" i="1"/>
  <c r="AL50" i="3"/>
  <c r="D49" i="1"/>
  <c r="AL42" i="3"/>
  <c r="D41" i="1"/>
  <c r="AL34" i="3"/>
  <c r="D33" i="1"/>
  <c r="AL26" i="3"/>
  <c r="D25" i="1"/>
  <c r="AL18" i="3"/>
  <c r="D17" i="1"/>
  <c r="AL23" i="3"/>
  <c r="D22" i="1"/>
  <c r="AL39" i="3"/>
  <c r="D38" i="1"/>
  <c r="AM19" i="3"/>
  <c r="D18" i="1"/>
  <c r="AL41" i="3"/>
  <c r="D40" i="1"/>
  <c r="AL25" i="3"/>
  <c r="D24" i="1"/>
  <c r="AL15" i="3"/>
  <c r="D14" i="1"/>
  <c r="AL10" i="3"/>
  <c r="D9" i="1"/>
  <c r="AL54" i="3"/>
  <c r="D53" i="1"/>
  <c r="AL48" i="3"/>
  <c r="D47" i="1"/>
  <c r="AL40" i="3"/>
  <c r="D39" i="1"/>
  <c r="AL32" i="3"/>
  <c r="D31" i="1"/>
  <c r="AL24" i="3"/>
  <c r="D23" i="1"/>
  <c r="AL14" i="3"/>
  <c r="D13" i="1"/>
  <c r="AL57" i="3"/>
  <c r="D56" i="1"/>
  <c r="AM35" i="3"/>
  <c r="D34" i="1"/>
  <c r="AM13" i="3"/>
  <c r="D12" i="1"/>
  <c r="AL37" i="3"/>
  <c r="D36" i="1"/>
  <c r="AL21" i="3"/>
  <c r="D20" i="1"/>
  <c r="AL11" i="3"/>
  <c r="D10" i="1"/>
  <c r="AL52" i="3"/>
  <c r="D51" i="1"/>
  <c r="AL46" i="3"/>
  <c r="D45" i="1"/>
  <c r="AL38" i="3"/>
  <c r="D37" i="1"/>
  <c r="AL30" i="3"/>
  <c r="D29" i="1"/>
  <c r="AL22" i="3"/>
  <c r="D21" i="1"/>
  <c r="AL12" i="3"/>
  <c r="D11" i="1"/>
  <c r="AL53" i="3"/>
  <c r="D52" i="1"/>
  <c r="AL47" i="3"/>
  <c r="D46" i="1"/>
  <c r="AL31" i="3"/>
  <c r="D30" i="1"/>
  <c r="AM9" i="3"/>
  <c r="D8" i="1"/>
  <c r="AL33" i="3"/>
  <c r="D32" i="1"/>
  <c r="AL17" i="3"/>
  <c r="D16" i="1"/>
  <c r="AL56" i="3"/>
  <c r="D55" i="1"/>
  <c r="AL51" i="3"/>
  <c r="D50" i="1"/>
  <c r="AL44" i="3"/>
  <c r="D43" i="1"/>
  <c r="AL36" i="3"/>
  <c r="D35" i="1"/>
  <c r="AL28" i="3"/>
  <c r="D27" i="1"/>
  <c r="AM20" i="3"/>
  <c r="D19" i="1"/>
  <c r="AM49" i="3"/>
  <c r="D48" i="1"/>
  <c r="AL43" i="3"/>
  <c r="D42" i="1"/>
  <c r="AL27" i="3"/>
  <c r="D26" i="1"/>
  <c r="E11" i="30"/>
  <c r="AM3" i="10"/>
  <c r="E10" i="30"/>
  <c r="AM3" i="8"/>
  <c r="E8" i="30"/>
  <c r="AL3" i="7"/>
  <c r="E7" i="30"/>
  <c r="AM3" i="6"/>
  <c r="E6" i="30"/>
  <c r="AL3" i="5"/>
  <c r="E5" i="30"/>
  <c r="AM3" i="4"/>
  <c r="E4" i="30"/>
  <c r="AL3" i="3"/>
  <c r="E3" i="30"/>
  <c r="AL55" i="3"/>
  <c r="AL13" i="11"/>
  <c r="AL27" i="10"/>
  <c r="AM54" i="10"/>
  <c r="AM39" i="10"/>
  <c r="AM25" i="10"/>
  <c r="AL31" i="10"/>
  <c r="AM45" i="10"/>
  <c r="AM15" i="10"/>
  <c r="AM9" i="10"/>
  <c r="AM36" i="10"/>
  <c r="AM49" i="10"/>
  <c r="AL52" i="10"/>
  <c r="AL43" i="10"/>
  <c r="AM21" i="8"/>
  <c r="AL39" i="8"/>
  <c r="AL31" i="8"/>
  <c r="AM29" i="8"/>
  <c r="AL3" i="11"/>
  <c r="AM37" i="10"/>
  <c r="AL24" i="11"/>
  <c r="AL27" i="11"/>
  <c r="AM4" i="8"/>
  <c r="AM18" i="10"/>
  <c r="AL35" i="10"/>
  <c r="AL52" i="11"/>
  <c r="AL35" i="11"/>
  <c r="AM17" i="10"/>
  <c r="AM47" i="10"/>
  <c r="AM46" i="8"/>
  <c r="AM48" i="10"/>
  <c r="AL5" i="10"/>
  <c r="AL23" i="10"/>
  <c r="AL13" i="10"/>
  <c r="AM57" i="10"/>
  <c r="AM29" i="10"/>
  <c r="AL51" i="10"/>
  <c r="AL14" i="11"/>
  <c r="AL18" i="11"/>
  <c r="AL5" i="7"/>
  <c r="AM9" i="8"/>
  <c r="AM40" i="10"/>
  <c r="AL8" i="10"/>
  <c r="AM37" i="8"/>
  <c r="AM18" i="8"/>
  <c r="AL12" i="8"/>
  <c r="AM50" i="10"/>
  <c r="AM44" i="10"/>
  <c r="AM33" i="10"/>
  <c r="AM22" i="10"/>
  <c r="AM16" i="10"/>
  <c r="AL41" i="10"/>
  <c r="AM16" i="8"/>
  <c r="AM21" i="10"/>
  <c r="AM29" i="7"/>
  <c r="AM23" i="7"/>
  <c r="AM26" i="8"/>
  <c r="AM7" i="8"/>
  <c r="AM26" i="10"/>
  <c r="AM7" i="10"/>
  <c r="AM41" i="8"/>
  <c r="AM49" i="8"/>
  <c r="AM33" i="8"/>
  <c r="AM53" i="10"/>
  <c r="AM46" i="10"/>
  <c r="AL55" i="10"/>
  <c r="AL12" i="11"/>
  <c r="AL56" i="11"/>
  <c r="AM20" i="10"/>
  <c r="AL11" i="11"/>
  <c r="AM11" i="10"/>
  <c r="AM38" i="10"/>
  <c r="AM32" i="10"/>
  <c r="AM24" i="10"/>
  <c r="AM14" i="10"/>
  <c r="AL42" i="10"/>
  <c r="AM34" i="10"/>
  <c r="AM4" i="10"/>
  <c r="AM56" i="10"/>
  <c r="AL10" i="10"/>
  <c r="AM6" i="10"/>
  <c r="AM28" i="10"/>
  <c r="AL3" i="10"/>
  <c r="AL12" i="10"/>
  <c r="AM19" i="8"/>
  <c r="AM30" i="10"/>
  <c r="AM33" i="7"/>
  <c r="AM4" i="7"/>
  <c r="AM13" i="7"/>
  <c r="AM42" i="8"/>
  <c r="AM8" i="8"/>
  <c r="AL47" i="7"/>
  <c r="AM15" i="7"/>
  <c r="AL19" i="7"/>
  <c r="AM44" i="8"/>
  <c r="AL35" i="8"/>
  <c r="AL55" i="5"/>
  <c r="AL35" i="7"/>
  <c r="AM17" i="8"/>
  <c r="AM24" i="8"/>
  <c r="AL5" i="8"/>
  <c r="AL27" i="8"/>
  <c r="AM53" i="8"/>
  <c r="AM34" i="8"/>
  <c r="AM22" i="8"/>
  <c r="AL3" i="8"/>
  <c r="AL20" i="8"/>
  <c r="AM32" i="8"/>
  <c r="AL43" i="9"/>
  <c r="AL56" i="8"/>
  <c r="AL47" i="8"/>
  <c r="AM15" i="9"/>
  <c r="AM7" i="9"/>
  <c r="AM53" i="9"/>
  <c r="AM57" i="9"/>
  <c r="AM49" i="9"/>
  <c r="AM41" i="9"/>
  <c r="AM33" i="9"/>
  <c r="AM25" i="9"/>
  <c r="AM17" i="9"/>
  <c r="AL11" i="8"/>
  <c r="AL35" i="6"/>
  <c r="AM15" i="6"/>
  <c r="AM28" i="8"/>
  <c r="AM54" i="7"/>
  <c r="AM12" i="7"/>
  <c r="AL10" i="7"/>
  <c r="AL27" i="7"/>
  <c r="AM53" i="7"/>
  <c r="AM4" i="6"/>
  <c r="AM46" i="7"/>
  <c r="AM22" i="7"/>
  <c r="AL55" i="7"/>
  <c r="AL39" i="7"/>
  <c r="AL43" i="8"/>
  <c r="AL23" i="8"/>
  <c r="AM34" i="7"/>
  <c r="AM18" i="7"/>
  <c r="AM6" i="8"/>
  <c r="AM54" i="8"/>
  <c r="AM48" i="8"/>
  <c r="AM51" i="8"/>
  <c r="AL40" i="8"/>
  <c r="AL10" i="8"/>
  <c r="AM37" i="7"/>
  <c r="AM38" i="8"/>
  <c r="AM30" i="8"/>
  <c r="AM25" i="8"/>
  <c r="AM52" i="8"/>
  <c r="AM36" i="8"/>
  <c r="AM14" i="8"/>
  <c r="AM11" i="7"/>
  <c r="AM3" i="7"/>
  <c r="AM45" i="8"/>
  <c r="AL13" i="8"/>
  <c r="AL55" i="8"/>
  <c r="AM26" i="5"/>
  <c r="AM50" i="8"/>
  <c r="AM15" i="8"/>
  <c r="AM57" i="8"/>
  <c r="AL24" i="6"/>
  <c r="AM30" i="7"/>
  <c r="AM16" i="7"/>
  <c r="AM28" i="7"/>
  <c r="AM43" i="7"/>
  <c r="AM47" i="6"/>
  <c r="AL55" i="6"/>
  <c r="AM31" i="6"/>
  <c r="AM41" i="7"/>
  <c r="AM51" i="7"/>
  <c r="AL38" i="5"/>
  <c r="AM43" i="5"/>
  <c r="AM17" i="7"/>
  <c r="AL11" i="5"/>
  <c r="AL51" i="6"/>
  <c r="AL18" i="5"/>
  <c r="AM48" i="6"/>
  <c r="AM40" i="6"/>
  <c r="AM6" i="6"/>
  <c r="AM46" i="6"/>
  <c r="AM38" i="6"/>
  <c r="AM30" i="6"/>
  <c r="AM22" i="6"/>
  <c r="AM48" i="7"/>
  <c r="AM36" i="7"/>
  <c r="AM34" i="3"/>
  <c r="AM56" i="6"/>
  <c r="AL6" i="3"/>
  <c r="AM50" i="6"/>
  <c r="AM42" i="6"/>
  <c r="AM34" i="6"/>
  <c r="AM26" i="6"/>
  <c r="AM42" i="7"/>
  <c r="AM31" i="7"/>
  <c r="AM39" i="3"/>
  <c r="AL19" i="6"/>
  <c r="AM50" i="5"/>
  <c r="AM18" i="6"/>
  <c r="AM20" i="6"/>
  <c r="AL10" i="6"/>
  <c r="AM43" i="6"/>
  <c r="AL27" i="6"/>
  <c r="AL3" i="6"/>
  <c r="AM50" i="7"/>
  <c r="AM45" i="7"/>
  <c r="AM40" i="7"/>
  <c r="AM26" i="7"/>
  <c r="AM20" i="7"/>
  <c r="AM7" i="7"/>
  <c r="AM8" i="7"/>
  <c r="AM9" i="7"/>
  <c r="AM18" i="3"/>
  <c r="AM8" i="6"/>
  <c r="AM52" i="7"/>
  <c r="AM21" i="7"/>
  <c r="AM23" i="3"/>
  <c r="AL19" i="3"/>
  <c r="AM14" i="6"/>
  <c r="AM5" i="6"/>
  <c r="AM39" i="6"/>
  <c r="AM13" i="6"/>
  <c r="AM56" i="7"/>
  <c r="AM49" i="7"/>
  <c r="AM44" i="7"/>
  <c r="AM38" i="7"/>
  <c r="AM32" i="7"/>
  <c r="AM25" i="7"/>
  <c r="AM14" i="7"/>
  <c r="AM6" i="7"/>
  <c r="AL24" i="7"/>
  <c r="AM57" i="7"/>
  <c r="AM53" i="6"/>
  <c r="AM36" i="6"/>
  <c r="AM54" i="6"/>
  <c r="AM3" i="5"/>
  <c r="AM51" i="5"/>
  <c r="AM17" i="6"/>
  <c r="AM32" i="6"/>
  <c r="AM37" i="5"/>
  <c r="AL42" i="5"/>
  <c r="AL30" i="5"/>
  <c r="AL22" i="5"/>
  <c r="AL8" i="5"/>
  <c r="AL11" i="6"/>
  <c r="AM53" i="5"/>
  <c r="AM28" i="6"/>
  <c r="AM29" i="6"/>
  <c r="AM37" i="6"/>
  <c r="AL52" i="6"/>
  <c r="AM21" i="6"/>
  <c r="AM12" i="6"/>
  <c r="AM40" i="5"/>
  <c r="AL19" i="5"/>
  <c r="AM45" i="6"/>
  <c r="AM25" i="6"/>
  <c r="AM16" i="6"/>
  <c r="AM7" i="6"/>
  <c r="AM33" i="6"/>
  <c r="AM44" i="6"/>
  <c r="AM57" i="6"/>
  <c r="AM41" i="6"/>
  <c r="AM49" i="6"/>
  <c r="AM47" i="5"/>
  <c r="AM45" i="5"/>
  <c r="AM33" i="5"/>
  <c r="AM21" i="5"/>
  <c r="AM4" i="5"/>
  <c r="AM29" i="4"/>
  <c r="AL22" i="4"/>
  <c r="AL23" i="5"/>
  <c r="AM56" i="4"/>
  <c r="AM21" i="4"/>
  <c r="AM48" i="4"/>
  <c r="AM16" i="4"/>
  <c r="AL38" i="4"/>
  <c r="AL10" i="4"/>
  <c r="AL5" i="5"/>
  <c r="AM26" i="3"/>
  <c r="AM37" i="4"/>
  <c r="AL39" i="5"/>
  <c r="AL49" i="3"/>
  <c r="AL34" i="4"/>
  <c r="AL19" i="4"/>
  <c r="AL27" i="5"/>
  <c r="AM34" i="5"/>
  <c r="AM46" i="5"/>
  <c r="AM15" i="4"/>
  <c r="AL44" i="5"/>
  <c r="AM32" i="5"/>
  <c r="AL9" i="5"/>
  <c r="AL12" i="5"/>
  <c r="AM57" i="5"/>
  <c r="AM49" i="5"/>
  <c r="AM41" i="5"/>
  <c r="AM15" i="5"/>
  <c r="AM25" i="5"/>
  <c r="AM50" i="4"/>
  <c r="AM6" i="5"/>
  <c r="AL35" i="5"/>
  <c r="AM46" i="4"/>
  <c r="AM7" i="4"/>
  <c r="AL35" i="4"/>
  <c r="AL10" i="5"/>
  <c r="AM13" i="5"/>
  <c r="AL54" i="5"/>
  <c r="AM47" i="3"/>
  <c r="AM14" i="4"/>
  <c r="AM54" i="4"/>
  <c r="AM44" i="4"/>
  <c r="AM27" i="4"/>
  <c r="AM7" i="5"/>
  <c r="AM31" i="5"/>
  <c r="AM17" i="5"/>
  <c r="AL43" i="4"/>
  <c r="AM24" i="5"/>
  <c r="AM14" i="5"/>
  <c r="AM40" i="4"/>
  <c r="AM32" i="4"/>
  <c r="AL9" i="3"/>
  <c r="AM17" i="4"/>
  <c r="AL42" i="4"/>
  <c r="AM48" i="5"/>
  <c r="AM36" i="5"/>
  <c r="AM20" i="5"/>
  <c r="AL26" i="4"/>
  <c r="AL31" i="4"/>
  <c r="AL9" i="4"/>
  <c r="AM16" i="5"/>
  <c r="AM4" i="4"/>
  <c r="AM56" i="5"/>
  <c r="AM28" i="5"/>
  <c r="AM29" i="5"/>
  <c r="AM42" i="3"/>
  <c r="AM16" i="3"/>
  <c r="AL6" i="4"/>
  <c r="AL3" i="4"/>
  <c r="AL51" i="4"/>
  <c r="AL23" i="4"/>
  <c r="AL39" i="4"/>
  <c r="AL13" i="3"/>
  <c r="AM32" i="3"/>
  <c r="AL35" i="3"/>
  <c r="AM48" i="3"/>
  <c r="AM14" i="3"/>
  <c r="AM3" i="3"/>
  <c r="AM40" i="3"/>
  <c r="AM24" i="3"/>
  <c r="AM57" i="3"/>
  <c r="AM22" i="3"/>
  <c r="AM31" i="3"/>
  <c r="AM38" i="3"/>
  <c r="AM27" i="3"/>
  <c r="AM47" i="4"/>
  <c r="AM25" i="4"/>
  <c r="AL55" i="4"/>
  <c r="AM11" i="3"/>
  <c r="AM53" i="3"/>
  <c r="AM17" i="3"/>
  <c r="AL20" i="3"/>
  <c r="AM33" i="4"/>
  <c r="AM24" i="4"/>
  <c r="AL30" i="4"/>
  <c r="AM5" i="3"/>
  <c r="AM41" i="4"/>
  <c r="AL12" i="4"/>
  <c r="AL13" i="4"/>
  <c r="AL5" i="4"/>
  <c r="AM43" i="3"/>
  <c r="AM56" i="3"/>
  <c r="AM44" i="3"/>
  <c r="AM36" i="3"/>
  <c r="AM28" i="3"/>
  <c r="AL49" i="4"/>
  <c r="AM52" i="4"/>
  <c r="AM28" i="4"/>
  <c r="AM18" i="4"/>
  <c r="AM4" i="3"/>
  <c r="AM52" i="3"/>
  <c r="AM36" i="4"/>
  <c r="AM20" i="4"/>
  <c r="AL11" i="4"/>
  <c r="AL45" i="4"/>
  <c r="AM57" i="4"/>
  <c r="AM30" i="3"/>
  <c r="AM12" i="3"/>
  <c r="AM8" i="4"/>
  <c r="AM53" i="4"/>
  <c r="AM50" i="3"/>
  <c r="AM15" i="3"/>
  <c r="AM10" i="3"/>
  <c r="AM25" i="3"/>
  <c r="AM7" i="3"/>
  <c r="AM41" i="3"/>
  <c r="AM33" i="3"/>
  <c r="AM54" i="3"/>
  <c r="AM51" i="3"/>
  <c r="AM45" i="3"/>
  <c r="AM37" i="3"/>
  <c r="AM29" i="3"/>
  <c r="AM21" i="3"/>
  <c r="AM46" i="3"/>
  <c r="D3" i="2"/>
  <c r="E3" i="2"/>
  <c r="F3" i="2"/>
  <c r="G3" i="2"/>
  <c r="H3" i="2"/>
  <c r="I3" i="2"/>
  <c r="J3" i="2"/>
  <c r="K3" i="2"/>
  <c r="L3" i="2"/>
  <c r="M3" i="2"/>
  <c r="N3" i="2"/>
  <c r="O3" i="2"/>
  <c r="P3" i="2"/>
  <c r="Q3" i="2"/>
  <c r="R3" i="2"/>
  <c r="S3" i="2"/>
  <c r="T3" i="2"/>
  <c r="U3" i="2"/>
  <c r="V3" i="2"/>
  <c r="W3" i="2"/>
  <c r="X3" i="2"/>
  <c r="Y3" i="2"/>
  <c r="Z3" i="2"/>
  <c r="AA3" i="2"/>
  <c r="AB3" i="2"/>
  <c r="AC3" i="2"/>
  <c r="AD3" i="2"/>
  <c r="AE3" i="2"/>
  <c r="AF3" i="2"/>
  <c r="AG3" i="2"/>
  <c r="D4" i="2"/>
  <c r="E4" i="2"/>
  <c r="F4" i="2"/>
  <c r="G4" i="2"/>
  <c r="H4" i="2"/>
  <c r="I4" i="2"/>
  <c r="J4" i="2"/>
  <c r="K4" i="2"/>
  <c r="L4" i="2"/>
  <c r="M4" i="2"/>
  <c r="N4" i="2"/>
  <c r="O4" i="2"/>
  <c r="P4" i="2"/>
  <c r="Q4" i="2"/>
  <c r="R4" i="2"/>
  <c r="S4" i="2"/>
  <c r="T4" i="2"/>
  <c r="U4" i="2"/>
  <c r="V4" i="2"/>
  <c r="W4" i="2"/>
  <c r="X4" i="2"/>
  <c r="Y4" i="2"/>
  <c r="Z4" i="2"/>
  <c r="AA4" i="2"/>
  <c r="AB4" i="2"/>
  <c r="AC4" i="2"/>
  <c r="AD4" i="2"/>
  <c r="AE4" i="2"/>
  <c r="AF4" i="2"/>
  <c r="AG4" i="2"/>
  <c r="D5" i="2"/>
  <c r="E5" i="2"/>
  <c r="F5" i="2"/>
  <c r="G5" i="2"/>
  <c r="H5" i="2"/>
  <c r="I5" i="2"/>
  <c r="J5" i="2"/>
  <c r="K5" i="2"/>
  <c r="L5" i="2"/>
  <c r="M5" i="2"/>
  <c r="N5" i="2"/>
  <c r="O5" i="2"/>
  <c r="P5" i="2"/>
  <c r="Q5" i="2"/>
  <c r="R5" i="2"/>
  <c r="S5" i="2"/>
  <c r="T5" i="2"/>
  <c r="U5" i="2"/>
  <c r="V5" i="2"/>
  <c r="W5" i="2"/>
  <c r="X5" i="2"/>
  <c r="Y5" i="2"/>
  <c r="Z5" i="2"/>
  <c r="AA5" i="2"/>
  <c r="AB5" i="2"/>
  <c r="AC5" i="2"/>
  <c r="AD5" i="2"/>
  <c r="AE5" i="2"/>
  <c r="AF5" i="2"/>
  <c r="AG5" i="2"/>
  <c r="D6" i="2"/>
  <c r="E6" i="2"/>
  <c r="F6" i="2"/>
  <c r="G6" i="2"/>
  <c r="H6" i="2"/>
  <c r="I6" i="2"/>
  <c r="J6" i="2"/>
  <c r="K6" i="2"/>
  <c r="L6" i="2"/>
  <c r="M6" i="2"/>
  <c r="N6" i="2"/>
  <c r="O6" i="2"/>
  <c r="P6" i="2"/>
  <c r="Q6" i="2"/>
  <c r="R6" i="2"/>
  <c r="S6" i="2"/>
  <c r="T6" i="2"/>
  <c r="U6" i="2"/>
  <c r="V6" i="2"/>
  <c r="W6" i="2"/>
  <c r="X6" i="2"/>
  <c r="Y6" i="2"/>
  <c r="Z6" i="2"/>
  <c r="AA6" i="2"/>
  <c r="AB6" i="2"/>
  <c r="AC6" i="2"/>
  <c r="AD6" i="2"/>
  <c r="AE6" i="2"/>
  <c r="AF6" i="2"/>
  <c r="AG6" i="2"/>
  <c r="D7" i="2"/>
  <c r="E7" i="2"/>
  <c r="F7" i="2"/>
  <c r="G7" i="2"/>
  <c r="H7" i="2"/>
  <c r="I7" i="2"/>
  <c r="J7" i="2"/>
  <c r="K7" i="2"/>
  <c r="L7" i="2"/>
  <c r="M7" i="2"/>
  <c r="N7" i="2"/>
  <c r="O7" i="2"/>
  <c r="P7" i="2"/>
  <c r="Q7" i="2"/>
  <c r="R7" i="2"/>
  <c r="S7" i="2"/>
  <c r="T7" i="2"/>
  <c r="U7" i="2"/>
  <c r="V7" i="2"/>
  <c r="W7" i="2"/>
  <c r="X7" i="2"/>
  <c r="Y7" i="2"/>
  <c r="Z7" i="2"/>
  <c r="AA7" i="2"/>
  <c r="AB7" i="2"/>
  <c r="AC7" i="2"/>
  <c r="AD7" i="2"/>
  <c r="AE7" i="2"/>
  <c r="AF7" i="2"/>
  <c r="AG7" i="2"/>
  <c r="C4" i="2"/>
  <c r="C5" i="2"/>
  <c r="C6" i="2"/>
  <c r="C7" i="2"/>
  <c r="C8" i="2"/>
  <c r="AH8" i="2" s="1"/>
  <c r="C3" i="2"/>
  <c r="AH5" i="2" l="1"/>
  <c r="AH3" i="2"/>
  <c r="AH7" i="2"/>
  <c r="AH6" i="2"/>
  <c r="AH4" i="2"/>
  <c r="C3" i="1" s="1"/>
  <c r="S9" i="1"/>
  <c r="S13" i="1"/>
  <c r="S8" i="1"/>
  <c r="S16" i="1"/>
  <c r="S17" i="1"/>
  <c r="S15" i="1"/>
  <c r="C56" i="1"/>
  <c r="S56" i="1" s="1"/>
  <c r="C44" i="1"/>
  <c r="S44" i="1" s="1"/>
  <c r="C46" i="1"/>
  <c r="S46" i="1" s="1"/>
  <c r="C37" i="1"/>
  <c r="S37" i="1" s="1"/>
  <c r="C53" i="1"/>
  <c r="S53" i="1" s="1"/>
  <c r="C24" i="1"/>
  <c r="S24" i="1" s="1"/>
  <c r="C21" i="1"/>
  <c r="S21" i="1" s="1"/>
  <c r="C19" i="1"/>
  <c r="S19" i="1" s="1"/>
  <c r="C35" i="1"/>
  <c r="S35" i="1" s="1"/>
  <c r="C51" i="1"/>
  <c r="S51" i="1" s="1"/>
  <c r="C28" i="1"/>
  <c r="S28" i="1" s="1"/>
  <c r="C30" i="1"/>
  <c r="S30" i="1" s="1"/>
  <c r="C32" i="1"/>
  <c r="S32" i="1" s="1"/>
  <c r="C48" i="1"/>
  <c r="S48" i="1" s="1"/>
  <c r="C54" i="1"/>
  <c r="S54" i="1" s="1"/>
  <c r="C41" i="1"/>
  <c r="S41" i="1" s="1"/>
  <c r="C50" i="1"/>
  <c r="S50" i="1" s="1"/>
  <c r="C25" i="1"/>
  <c r="S25" i="1" s="1"/>
  <c r="C23" i="1"/>
  <c r="O23" i="1" s="1"/>
  <c r="C39" i="1"/>
  <c r="O39" i="1" s="1"/>
  <c r="C55" i="1"/>
  <c r="O55" i="1" s="1"/>
  <c r="C26" i="1"/>
  <c r="S26" i="1" s="1"/>
  <c r="C36" i="1"/>
  <c r="S36" i="1" s="1"/>
  <c r="C38" i="1"/>
  <c r="S38" i="1" s="1"/>
  <c r="C29" i="1"/>
  <c r="S29" i="1" s="1"/>
  <c r="C45" i="1"/>
  <c r="S45" i="1" s="1"/>
  <c r="C27" i="1"/>
  <c r="O27" i="1" s="1"/>
  <c r="C43" i="1"/>
  <c r="S43" i="1" s="1"/>
  <c r="C22" i="1"/>
  <c r="O22" i="1" s="1"/>
  <c r="C52" i="1"/>
  <c r="S52" i="1" s="1"/>
  <c r="C40" i="1"/>
  <c r="S40" i="1" s="1"/>
  <c r="C42" i="1"/>
  <c r="S42" i="1" s="1"/>
  <c r="C33" i="1"/>
  <c r="S33" i="1" s="1"/>
  <c r="C49" i="1"/>
  <c r="S49" i="1" s="1"/>
  <c r="C31" i="1"/>
  <c r="S31" i="1" s="1"/>
  <c r="C47" i="1"/>
  <c r="S47" i="1" s="1"/>
  <c r="C20" i="1"/>
  <c r="S20" i="1" s="1"/>
  <c r="C18" i="1"/>
  <c r="S18" i="1" s="1"/>
  <c r="C34" i="1"/>
  <c r="S34" i="1" s="1"/>
  <c r="S14" i="1"/>
  <c r="S11" i="1"/>
  <c r="S12" i="1"/>
  <c r="S10" i="1"/>
  <c r="Q37" i="1"/>
  <c r="O9" i="1"/>
  <c r="Q9" i="1"/>
  <c r="O14" i="1"/>
  <c r="Q14" i="1"/>
  <c r="O8" i="1"/>
  <c r="Q8" i="1"/>
  <c r="O13" i="1"/>
  <c r="Q13" i="1"/>
  <c r="O11" i="1"/>
  <c r="Q11" i="1"/>
  <c r="O12" i="1"/>
  <c r="Q12" i="1"/>
  <c r="O10" i="1"/>
  <c r="Q10" i="1"/>
  <c r="O16" i="1"/>
  <c r="Q16" i="1"/>
  <c r="O17" i="1"/>
  <c r="Q17" i="1"/>
  <c r="O15" i="1"/>
  <c r="Q15" i="1"/>
  <c r="B11" i="30"/>
  <c r="AP15" i="10"/>
  <c r="AP16" i="10" s="1"/>
  <c r="B10" i="30" s="1"/>
  <c r="AP15" i="9"/>
  <c r="AP16" i="9" s="1"/>
  <c r="B9" i="30" s="1"/>
  <c r="AP15" i="8"/>
  <c r="AP16" i="8" s="1"/>
  <c r="B8" i="30" s="1"/>
  <c r="AP15" i="7"/>
  <c r="AP16" i="7" s="1"/>
  <c r="B7" i="30" s="1"/>
  <c r="AP15" i="6"/>
  <c r="AP16" i="6" s="1"/>
  <c r="B6" i="30" s="1"/>
  <c r="AP15" i="5"/>
  <c r="AP16" i="5" s="1"/>
  <c r="B5" i="30" s="1"/>
  <c r="AP15" i="4"/>
  <c r="AP16" i="4" s="1"/>
  <c r="B4" i="30" s="1"/>
  <c r="AP15" i="3"/>
  <c r="AP16" i="3" s="1"/>
  <c r="B3" i="30" s="1"/>
  <c r="AL57" i="2"/>
  <c r="AM57" i="2"/>
  <c r="AL45" i="2"/>
  <c r="AM45" i="2"/>
  <c r="AL47" i="2"/>
  <c r="AM47" i="2"/>
  <c r="AL38" i="2"/>
  <c r="AM38" i="2"/>
  <c r="AL54" i="2"/>
  <c r="AM54" i="2"/>
  <c r="AL25" i="2"/>
  <c r="AM25" i="2"/>
  <c r="AL22" i="2"/>
  <c r="AM22" i="2"/>
  <c r="AL20" i="2"/>
  <c r="AM20" i="2"/>
  <c r="AL36" i="2"/>
  <c r="AM36" i="2"/>
  <c r="AL52" i="2"/>
  <c r="AM52" i="2"/>
  <c r="AL29" i="2"/>
  <c r="AM29" i="2"/>
  <c r="AL31" i="2"/>
  <c r="AM31" i="2"/>
  <c r="AL33" i="2"/>
  <c r="AM33" i="2"/>
  <c r="AL49" i="2"/>
  <c r="AM49" i="2"/>
  <c r="AL55" i="2"/>
  <c r="AM55" i="2"/>
  <c r="AL42" i="2"/>
  <c r="AM42" i="2"/>
  <c r="AL51" i="2"/>
  <c r="AM51" i="2"/>
  <c r="AL10" i="2"/>
  <c r="AM10" i="2"/>
  <c r="AL26" i="2"/>
  <c r="AM26" i="2"/>
  <c r="AL24" i="2"/>
  <c r="AM24" i="2"/>
  <c r="AL40" i="2"/>
  <c r="AM40" i="2"/>
  <c r="AL56" i="2"/>
  <c r="AM56" i="2"/>
  <c r="AL27" i="2"/>
  <c r="AM27" i="2"/>
  <c r="AL15" i="2"/>
  <c r="AM15" i="2"/>
  <c r="AL37" i="2"/>
  <c r="AM37" i="2"/>
  <c r="AL39" i="2"/>
  <c r="AM39" i="2"/>
  <c r="AL30" i="2"/>
  <c r="AM30" i="2"/>
  <c r="AL46" i="2"/>
  <c r="AM46" i="2"/>
  <c r="AL9" i="2"/>
  <c r="AM9" i="2"/>
  <c r="AL14" i="2"/>
  <c r="AM14" i="2"/>
  <c r="AL12" i="2"/>
  <c r="AM12" i="2"/>
  <c r="AL28" i="2"/>
  <c r="AM28" i="2"/>
  <c r="AL44" i="2"/>
  <c r="AM44" i="2"/>
  <c r="AL13" i="2"/>
  <c r="AM13" i="2"/>
  <c r="AL11" i="2"/>
  <c r="AM11" i="2"/>
  <c r="AL23" i="2"/>
  <c r="AM23" i="2"/>
  <c r="AL53" i="2"/>
  <c r="AM53" i="2"/>
  <c r="AL41" i="2"/>
  <c r="AM41" i="2"/>
  <c r="AL43" i="2"/>
  <c r="AM43" i="2"/>
  <c r="AL34" i="2"/>
  <c r="AM34" i="2"/>
  <c r="AL50" i="2"/>
  <c r="AM50" i="2"/>
  <c r="AL17" i="2"/>
  <c r="AM17" i="2"/>
  <c r="AL18" i="2"/>
  <c r="AM18" i="2"/>
  <c r="AL16" i="2"/>
  <c r="AM16" i="2"/>
  <c r="AL32" i="2"/>
  <c r="AM32" i="2"/>
  <c r="AL48" i="2"/>
  <c r="AM48" i="2"/>
  <c r="AL21" i="2"/>
  <c r="AM21" i="2"/>
  <c r="AL19" i="2"/>
  <c r="AM19" i="2"/>
  <c r="AL35" i="2"/>
  <c r="AM35" i="2"/>
  <c r="L2" i="1"/>
  <c r="K7" i="1"/>
  <c r="K6" i="1"/>
  <c r="K5" i="1"/>
  <c r="K4" i="1"/>
  <c r="K3" i="1"/>
  <c r="K2" i="1"/>
  <c r="J7" i="1"/>
  <c r="J6" i="1"/>
  <c r="J5" i="1"/>
  <c r="J4" i="1"/>
  <c r="J3" i="1"/>
  <c r="J2" i="1"/>
  <c r="I7" i="1"/>
  <c r="I6" i="1"/>
  <c r="I5" i="1"/>
  <c r="I4" i="1"/>
  <c r="I3" i="1"/>
  <c r="I2" i="1"/>
  <c r="H7" i="1"/>
  <c r="H6" i="1"/>
  <c r="H5" i="1"/>
  <c r="H4" i="1"/>
  <c r="H3" i="1"/>
  <c r="H2" i="1"/>
  <c r="G7" i="1"/>
  <c r="G6" i="1"/>
  <c r="G5" i="1"/>
  <c r="G4" i="1"/>
  <c r="G3" i="1"/>
  <c r="G2" i="1"/>
  <c r="F7" i="1"/>
  <c r="F6" i="1"/>
  <c r="F5" i="1"/>
  <c r="F4" i="1"/>
  <c r="F3" i="1"/>
  <c r="F2" i="1"/>
  <c r="E7" i="1"/>
  <c r="E6" i="1"/>
  <c r="E5" i="1"/>
  <c r="E4" i="1"/>
  <c r="E3" i="1"/>
  <c r="E2" i="1"/>
  <c r="D7" i="1"/>
  <c r="D6" i="1"/>
  <c r="D5" i="1"/>
  <c r="D4" i="1"/>
  <c r="D3" i="1"/>
  <c r="D2" i="1"/>
  <c r="AP3" i="2"/>
  <c r="AP4" i="2" s="1"/>
  <c r="Q19" i="1" l="1"/>
  <c r="Q28" i="1"/>
  <c r="Q38" i="1"/>
  <c r="Q56" i="1"/>
  <c r="Q35" i="1"/>
  <c r="Q33" i="1"/>
  <c r="Q44" i="1"/>
  <c r="Q20" i="1"/>
  <c r="Q43" i="1"/>
  <c r="Q50" i="1"/>
  <c r="Q53" i="1"/>
  <c r="Q24" i="1"/>
  <c r="O44" i="1"/>
  <c r="Q45" i="1"/>
  <c r="Q31" i="1"/>
  <c r="Q40" i="1"/>
  <c r="Q55" i="1"/>
  <c r="Q32" i="1"/>
  <c r="O56" i="1"/>
  <c r="Q36" i="1"/>
  <c r="Q34" i="1"/>
  <c r="Q23" i="1"/>
  <c r="Q54" i="1"/>
  <c r="Q21" i="1"/>
  <c r="Q46" i="1"/>
  <c r="S27" i="1"/>
  <c r="S23" i="1"/>
  <c r="Q47" i="1"/>
  <c r="Q49" i="1"/>
  <c r="Q52" i="1"/>
  <c r="Q27" i="1"/>
  <c r="Q29" i="1"/>
  <c r="Q26" i="1"/>
  <c r="Q25" i="1"/>
  <c r="Q41" i="1"/>
  <c r="Q30" i="1"/>
  <c r="S55" i="1"/>
  <c r="Q18" i="1"/>
  <c r="Q42" i="1"/>
  <c r="Q22" i="1"/>
  <c r="Q39" i="1"/>
  <c r="Q48" i="1"/>
  <c r="Q51" i="1"/>
  <c r="S22" i="1"/>
  <c r="O18" i="1"/>
  <c r="O47" i="1"/>
  <c r="O33" i="1"/>
  <c r="O40" i="1"/>
  <c r="O36" i="1"/>
  <c r="O43" i="1"/>
  <c r="O29" i="1"/>
  <c r="O41" i="1"/>
  <c r="O48" i="1"/>
  <c r="O30" i="1"/>
  <c r="O51" i="1"/>
  <c r="O19" i="1"/>
  <c r="O24" i="1"/>
  <c r="O37" i="1"/>
  <c r="S39" i="1"/>
  <c r="O34" i="1"/>
  <c r="O20" i="1"/>
  <c r="O31" i="1"/>
  <c r="O49" i="1"/>
  <c r="O42" i="1"/>
  <c r="O52" i="1"/>
  <c r="O45" i="1"/>
  <c r="O38" i="1"/>
  <c r="O26" i="1"/>
  <c r="O25" i="1"/>
  <c r="O50" i="1"/>
  <c r="O54" i="1"/>
  <c r="O32" i="1"/>
  <c r="O28" i="1"/>
  <c r="O35" i="1"/>
  <c r="O21" i="1"/>
  <c r="O53" i="1"/>
  <c r="O46" i="1"/>
  <c r="AM3" i="2"/>
  <c r="E2" i="30"/>
  <c r="AM6" i="2"/>
  <c r="C5" i="1"/>
  <c r="Q5" i="1" s="1"/>
  <c r="AM5" i="2"/>
  <c r="C4" i="1"/>
  <c r="Q4" i="1" s="1"/>
  <c r="AM8" i="2"/>
  <c r="C7" i="1"/>
  <c r="Q7" i="1" s="1"/>
  <c r="AM7" i="2"/>
  <c r="C6" i="1"/>
  <c r="O6" i="1" s="1"/>
  <c r="AL4" i="2"/>
  <c r="AM4" i="2"/>
  <c r="AL6" i="2"/>
  <c r="AL8" i="2"/>
  <c r="AL5" i="2"/>
  <c r="AL7" i="2"/>
  <c r="C2" i="1"/>
  <c r="AL3" i="2"/>
  <c r="Q3" i="1"/>
  <c r="S3" i="1"/>
  <c r="O3" i="1"/>
  <c r="AG2" i="2"/>
  <c r="AG1" i="2" s="1"/>
  <c r="G2" i="2"/>
  <c r="G1" i="2" s="1"/>
  <c r="K2" i="2"/>
  <c r="K1" i="2" s="1"/>
  <c r="O2" i="2"/>
  <c r="O1" i="2" s="1"/>
  <c r="W2" i="2"/>
  <c r="W1" i="2" s="1"/>
  <c r="AA2" i="2"/>
  <c r="AA1" i="2" s="1"/>
  <c r="F2" i="2"/>
  <c r="F1" i="2" s="1"/>
  <c r="L2" i="2"/>
  <c r="L1" i="2" s="1"/>
  <c r="P2" i="2"/>
  <c r="P1" i="2" s="1"/>
  <c r="X2" i="2"/>
  <c r="X1" i="2" s="1"/>
  <c r="C2" i="2"/>
  <c r="C1" i="2" s="1"/>
  <c r="H2" i="2"/>
  <c r="H1" i="2" s="1"/>
  <c r="AF2" i="2"/>
  <c r="AF1" i="2" s="1"/>
  <c r="I2" i="2"/>
  <c r="I1" i="2" s="1"/>
  <c r="M2" i="2"/>
  <c r="M1" i="2" s="1"/>
  <c r="Q2" i="2"/>
  <c r="Q1" i="2" s="1"/>
  <c r="U2" i="2"/>
  <c r="U1" i="2" s="1"/>
  <c r="Y2" i="2"/>
  <c r="Y1" i="2" s="1"/>
  <c r="AC2" i="2"/>
  <c r="AC1" i="2" s="1"/>
  <c r="D2" i="2"/>
  <c r="D1" i="2" s="1"/>
  <c r="J2" i="2"/>
  <c r="J1" i="2" s="1"/>
  <c r="N2" i="2"/>
  <c r="N1" i="2" s="1"/>
  <c r="R2" i="2"/>
  <c r="R1" i="2" s="1"/>
  <c r="V2" i="2"/>
  <c r="V1" i="2" s="1"/>
  <c r="Z2" i="2"/>
  <c r="Z1" i="2" s="1"/>
  <c r="AD2" i="2"/>
  <c r="AD1" i="2" s="1"/>
  <c r="E2" i="2"/>
  <c r="E1" i="2" s="1"/>
  <c r="S2" i="2"/>
  <c r="S1" i="2" s="1"/>
  <c r="AE2" i="2"/>
  <c r="AE1" i="2" s="1"/>
  <c r="T2" i="2"/>
  <c r="T1" i="2" s="1"/>
  <c r="AB2" i="2"/>
  <c r="AB1" i="2" s="1"/>
  <c r="AP15" i="2" l="1"/>
  <c r="AP16" i="2" s="1"/>
  <c r="B2" i="30" s="1"/>
  <c r="O2" i="1"/>
  <c r="S2" i="1"/>
  <c r="O5" i="1"/>
  <c r="S5" i="1"/>
  <c r="Q6" i="1"/>
  <c r="S7" i="1"/>
  <c r="O4" i="1"/>
  <c r="Q2" i="1"/>
  <c r="S4" i="1"/>
  <c r="S6" i="1"/>
  <c r="O7" i="1"/>
</calcChain>
</file>

<file path=xl/sharedStrings.xml><?xml version="1.0" encoding="utf-8"?>
<sst xmlns="http://schemas.openxmlformats.org/spreadsheetml/2006/main" count="2452" uniqueCount="128">
  <si>
    <t>Product Name</t>
  </si>
  <si>
    <t>Jan(1)</t>
  </si>
  <si>
    <t>Feb(2)</t>
  </si>
  <si>
    <t>Mar(3)</t>
  </si>
  <si>
    <t>Apr(4)</t>
  </si>
  <si>
    <t>May(5)</t>
  </si>
  <si>
    <t>Jun(6)</t>
  </si>
  <si>
    <t>Jul(7)</t>
  </si>
  <si>
    <t>Aug(8)</t>
  </si>
  <si>
    <t>Sep(9)</t>
  </si>
  <si>
    <t>Oct(10)</t>
  </si>
  <si>
    <t>Nov(11)</t>
  </si>
  <si>
    <t>Dec(12)</t>
  </si>
  <si>
    <t>Total (Year)</t>
  </si>
  <si>
    <t>Type</t>
  </si>
  <si>
    <t>Month Wise</t>
  </si>
  <si>
    <t>Month wise(No.)</t>
  </si>
  <si>
    <t>Average sales</t>
  </si>
  <si>
    <t>Iodex</t>
  </si>
  <si>
    <t>Branded</t>
  </si>
  <si>
    <t>Nimocet</t>
  </si>
  <si>
    <t>Paracetamol</t>
  </si>
  <si>
    <t>Generic</t>
  </si>
  <si>
    <t>Monocef</t>
  </si>
  <si>
    <t>Cyclopalm</t>
  </si>
  <si>
    <t>Cetaphil</t>
  </si>
  <si>
    <t>Acetaminophen</t>
  </si>
  <si>
    <t>Ibuprofen</t>
  </si>
  <si>
    <t>Aspirin</t>
  </si>
  <si>
    <t>Amoxicillin</t>
  </si>
  <si>
    <t>Ciprofloxacin</t>
  </si>
  <si>
    <t>Lisinopril</t>
  </si>
  <si>
    <t>Atorvastatin</t>
  </si>
  <si>
    <t>Metformin</t>
  </si>
  <si>
    <t>Simvastatin</t>
  </si>
  <si>
    <t>Omeprazole</t>
  </si>
  <si>
    <t>Clopidogrel</t>
  </si>
  <si>
    <t>Metoprolol</t>
  </si>
  <si>
    <t>Amlodipine</t>
  </si>
  <si>
    <t>Alprazolam</t>
  </si>
  <si>
    <t>Hydrocodone</t>
  </si>
  <si>
    <t>Gabapentin</t>
  </si>
  <si>
    <t>Levothyroxine</t>
  </si>
  <si>
    <t>Sertraline</t>
  </si>
  <si>
    <t>Azithromycin</t>
  </si>
  <si>
    <t>Losartan</t>
  </si>
  <si>
    <t>Fluoxetine</t>
  </si>
  <si>
    <t>Furosemide</t>
  </si>
  <si>
    <t>Tamsulosin</t>
  </si>
  <si>
    <t>Pantoprazole</t>
  </si>
  <si>
    <t>Meloxicam</t>
  </si>
  <si>
    <t>Clindamycin</t>
  </si>
  <si>
    <t>Prednisone</t>
  </si>
  <si>
    <t>Doxycycline</t>
  </si>
  <si>
    <t>Lorazepam</t>
  </si>
  <si>
    <t>Tramadol</t>
  </si>
  <si>
    <t>Escitalopram</t>
  </si>
  <si>
    <t>Warfarin</t>
  </si>
  <si>
    <t>Zolpidem</t>
  </si>
  <si>
    <t>Montelukast</t>
  </si>
  <si>
    <t>Albuterol</t>
  </si>
  <si>
    <t>Diazepam</t>
  </si>
  <si>
    <t>Rosuvastatin</t>
  </si>
  <si>
    <t>Cyclobenzaprine</t>
  </si>
  <si>
    <t>Cetirizine</t>
  </si>
  <si>
    <t>Insulin Glargine</t>
  </si>
  <si>
    <t>Esomeprazole</t>
  </si>
  <si>
    <t>Valsartan</t>
  </si>
  <si>
    <t>Hydrochlorothiazide</t>
  </si>
  <si>
    <t>Celecoxib</t>
  </si>
  <si>
    <t>Ranitidine</t>
  </si>
  <si>
    <t>Allopurinol</t>
  </si>
  <si>
    <t>Bupropion</t>
  </si>
  <si>
    <t>Ondansetron</t>
  </si>
  <si>
    <t>Lamotrigine</t>
  </si>
  <si>
    <t>Total Sales</t>
  </si>
  <si>
    <t>Incoming price (Including GST)</t>
  </si>
  <si>
    <t>Sales price</t>
  </si>
  <si>
    <t>Profit Margin</t>
  </si>
  <si>
    <t>Total collection</t>
  </si>
  <si>
    <t>Net collection</t>
  </si>
  <si>
    <t>Month</t>
  </si>
  <si>
    <t>January</t>
  </si>
  <si>
    <t>Year</t>
  </si>
  <si>
    <t>Starting Date</t>
  </si>
  <si>
    <t>Ending Date</t>
  </si>
  <si>
    <t>Expanses</t>
  </si>
  <si>
    <t>Employee Salary</t>
  </si>
  <si>
    <t>Kaishav(Owner)</t>
  </si>
  <si>
    <t>Raman</t>
  </si>
  <si>
    <t>Sohan</t>
  </si>
  <si>
    <t>Tilak</t>
  </si>
  <si>
    <t>Bill to pay</t>
  </si>
  <si>
    <t>other</t>
  </si>
  <si>
    <t>Net Income</t>
  </si>
  <si>
    <t>February</t>
  </si>
  <si>
    <t>March</t>
  </si>
  <si>
    <t>Aprail</t>
  </si>
  <si>
    <t>May</t>
  </si>
  <si>
    <t>June</t>
  </si>
  <si>
    <t>July</t>
  </si>
  <si>
    <t>August</t>
  </si>
  <si>
    <t>September</t>
  </si>
  <si>
    <t>October</t>
  </si>
  <si>
    <t>November</t>
  </si>
  <si>
    <t>December</t>
  </si>
  <si>
    <t>Monthly Salary(avg)</t>
  </si>
  <si>
    <t>Present</t>
  </si>
  <si>
    <t>Absent</t>
  </si>
  <si>
    <t>Leave</t>
  </si>
  <si>
    <t>Net Salary</t>
  </si>
  <si>
    <t>Employee Name</t>
  </si>
  <si>
    <t>p</t>
  </si>
  <si>
    <t>ab</t>
  </si>
  <si>
    <t>l</t>
  </si>
  <si>
    <t>Months</t>
  </si>
  <si>
    <t>Quantity Sold</t>
  </si>
  <si>
    <t>Values</t>
  </si>
  <si>
    <t>Sum of Jan(1)</t>
  </si>
  <si>
    <t>April</t>
  </si>
  <si>
    <t>Sum of Feb(2)</t>
  </si>
  <si>
    <t>Sum of Mar(3)</t>
  </si>
  <si>
    <t>Sum of Apr(4)</t>
  </si>
  <si>
    <t>Sum of May(5)</t>
  </si>
  <si>
    <t>Sum of Jun(6)</t>
  </si>
  <si>
    <t>Sum of Jul(7)</t>
  </si>
  <si>
    <t>Sum of Aug(8)</t>
  </si>
  <si>
    <t>Sum of Sep(9)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</si>
</sst>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
    <numFmt numFmtId="165" formatCode="[$₹-439]#,##0.00"/>
    <numFmt numFmtId="166" formatCode="[$₹-439]#,##0"/>
  </numFmts>
  <fonts count="5">
    <font>
      <sz val="11"/>
      <color theme="1"/>
      <name val="Calibri"/>
      <family val="2"/>
      <scheme val="minor"/>
    </font>
    <font>
      <b/>
      <sz val="11"/>
      <color theme="0"/>
      <name val="Calibri"/>
      <family val="2"/>
      <scheme val="minor"/>
    </font>
    <font>
      <b/>
      <sz val="11"/>
      <color theme="1"/>
      <name val="Calibri"/>
      <family val="2"/>
      <scheme val="minor"/>
    </font>
    <font>
      <b/>
      <sz val="12"/>
      <color rgb="FFFF0000"/>
      <name val="Calibri"/>
      <family val="2"/>
      <scheme val="minor"/>
    </font>
    <font>
      <b/>
      <u/>
      <sz val="11"/>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0070C0"/>
        <bgColor indexed="64"/>
      </patternFill>
    </fill>
    <fill>
      <patternFill patternType="solid">
        <fgColor theme="3" tint="0.79998168889431442"/>
        <bgColor indexed="64"/>
      </patternFill>
    </fill>
    <fill>
      <patternFill patternType="solid">
        <fgColor rgb="FF92D050"/>
        <bgColor indexed="64"/>
      </patternFill>
    </fill>
    <fill>
      <patternFill patternType="solid">
        <fgColor theme="4"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5">
    <xf numFmtId="0" fontId="0" fillId="0" borderId="0" xfId="0"/>
    <xf numFmtId="0" fontId="2" fillId="0" borderId="0" xfId="0" applyFont="1"/>
    <xf numFmtId="0" fontId="3" fillId="2" borderId="0" xfId="0" applyFont="1" applyFill="1" applyAlignment="1">
      <alignment horizontal="center"/>
    </xf>
    <xf numFmtId="1" fontId="0" fillId="0" borderId="0" xfId="0" applyNumberFormat="1" applyAlignment="1">
      <alignment horizontal="center"/>
    </xf>
    <xf numFmtId="14" fontId="0" fillId="0" borderId="0" xfId="0" applyNumberFormat="1"/>
    <xf numFmtId="0" fontId="0" fillId="0" borderId="1" xfId="0" applyBorder="1"/>
    <xf numFmtId="0" fontId="0" fillId="0" borderId="2" xfId="0" applyBorder="1"/>
    <xf numFmtId="0" fontId="0" fillId="0" borderId="0" xfId="0" applyBorder="1"/>
    <xf numFmtId="0" fontId="1" fillId="3" borderId="1" xfId="0" applyFont="1" applyFill="1" applyBorder="1"/>
    <xf numFmtId="164" fontId="1" fillId="4" borderId="0" xfId="0" applyNumberFormat="1" applyFont="1" applyFill="1"/>
    <xf numFmtId="0" fontId="1" fillId="5" borderId="1" xfId="0" applyFont="1" applyFill="1" applyBorder="1" applyAlignment="1">
      <alignment horizontal="center"/>
    </xf>
    <xf numFmtId="0" fontId="1" fillId="5" borderId="2" xfId="0" applyFont="1" applyFill="1" applyBorder="1" applyAlignment="1">
      <alignment horizontal="center"/>
    </xf>
    <xf numFmtId="0" fontId="0" fillId="0" borderId="0" xfId="0" applyAlignment="1">
      <alignment horizontal="center"/>
    </xf>
    <xf numFmtId="165" fontId="0" fillId="0" borderId="0" xfId="0" applyNumberFormat="1"/>
    <xf numFmtId="165" fontId="2" fillId="0" borderId="0" xfId="0" applyNumberFormat="1" applyFont="1"/>
    <xf numFmtId="166" fontId="0" fillId="0" borderId="0" xfId="0" applyNumberFormat="1"/>
    <xf numFmtId="3" fontId="0" fillId="0" borderId="0" xfId="0" applyNumberFormat="1" applyAlignment="1">
      <alignment horizontal="center"/>
    </xf>
    <xf numFmtId="0" fontId="1" fillId="3" borderId="1" xfId="0" applyFont="1" applyFill="1" applyBorder="1" applyAlignment="1">
      <alignment horizontal="center"/>
    </xf>
    <xf numFmtId="164" fontId="1" fillId="4" borderId="0" xfId="0" applyNumberFormat="1" applyFont="1" applyFill="1" applyAlignment="1">
      <alignment horizontal="center"/>
    </xf>
    <xf numFmtId="0" fontId="4" fillId="0" borderId="1" xfId="0" applyFont="1" applyBorder="1"/>
    <xf numFmtId="0" fontId="0" fillId="0" borderId="0" xfId="0" pivotButton="1"/>
    <xf numFmtId="0" fontId="0" fillId="0" borderId="0" xfId="0" applyAlignment="1">
      <alignment horizontal="left"/>
    </xf>
    <xf numFmtId="0" fontId="0" fillId="0" borderId="0" xfId="0" applyNumberFormat="1"/>
    <xf numFmtId="0" fontId="4" fillId="0" borderId="1" xfId="0" applyFont="1" applyFill="1" applyBorder="1"/>
    <xf numFmtId="0" fontId="0" fillId="0" borderId="0" xfId="0" applyFill="1" applyBorder="1"/>
    <xf numFmtId="0" fontId="0" fillId="0" borderId="0" xfId="0" applyAlignment="1">
      <alignment horizontal="center"/>
    </xf>
    <xf numFmtId="0" fontId="0" fillId="0" borderId="0" xfId="0" applyAlignment="1">
      <alignment horizontal="center"/>
    </xf>
    <xf numFmtId="0" fontId="0" fillId="6" borderId="0" xfId="0" applyFill="1" applyAlignment="1">
      <alignment horizontal="center"/>
    </xf>
    <xf numFmtId="0" fontId="2" fillId="0" borderId="0" xfId="0" applyFont="1" applyAlignment="1">
      <alignment horizontal="center" wrapText="1"/>
    </xf>
    <xf numFmtId="166" fontId="2" fillId="0" borderId="3" xfId="0" applyNumberFormat="1" applyFont="1" applyBorder="1" applyAlignment="1">
      <alignment horizontal="center" wrapText="1"/>
    </xf>
    <xf numFmtId="0" fontId="2" fillId="0" borderId="0" xfId="0" applyFont="1" applyAlignment="1">
      <alignment horizontal="center"/>
    </xf>
    <xf numFmtId="0" fontId="1" fillId="3" borderId="2" xfId="0" applyFont="1" applyFill="1" applyBorder="1" applyAlignment="1">
      <alignment horizontal="center"/>
    </xf>
    <xf numFmtId="0" fontId="1" fillId="3" borderId="4" xfId="0" applyFont="1" applyFill="1" applyBorder="1" applyAlignment="1">
      <alignment horizontal="center"/>
    </xf>
    <xf numFmtId="0" fontId="1" fillId="3" borderId="2" xfId="0" applyFont="1" applyFill="1" applyBorder="1" applyAlignment="1">
      <alignment horizontal="center" wrapText="1"/>
    </xf>
    <xf numFmtId="0" fontId="1" fillId="3" borderId="4" xfId="0" applyFont="1" applyFill="1" applyBorder="1" applyAlignment="1">
      <alignment horizontal="center" wrapText="1"/>
    </xf>
  </cellXfs>
  <cellStyles count="1">
    <cellStyle name="Normal" xfId="0" builtinId="0"/>
  </cellStyles>
  <dxfs count="38">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ont>
        <color rgb="FF006100"/>
      </font>
      <fill>
        <patternFill>
          <fgColor indexed="64"/>
          <bgColor rgb="FFC6EFCE"/>
        </patternFill>
      </fill>
    </dxf>
    <dxf>
      <font>
        <color rgb="FF9C0006"/>
      </font>
      <fill>
        <patternFill>
          <fgColor indexed="64"/>
          <bgColor rgb="FFFFC7CE"/>
        </patternFill>
      </fill>
    </dxf>
    <dxf>
      <fill>
        <patternFill>
          <fgColor indexed="64"/>
          <bgColor theme="9" tint="0.59996337778862885"/>
        </patternFill>
      </fill>
    </dxf>
    <dxf>
      <font>
        <color rgb="FF006100"/>
      </font>
      <fill>
        <patternFill>
          <fgColor indexed="64"/>
          <bgColor rgb="FFC6EFCE"/>
        </patternFill>
      </fill>
    </dxf>
    <dxf>
      <font>
        <color rgb="FF9C0006"/>
      </font>
      <fill>
        <patternFill>
          <fgColor indexed="64"/>
          <bgColor rgb="FFFFC7CE"/>
        </patternFill>
      </fill>
    </dxf>
    <dxf>
      <fill>
        <patternFill>
          <fgColor indexed="64"/>
          <bgColor theme="9" tint="0.59996337778862885"/>
        </patternFill>
      </fill>
    </dxf>
    <dxf>
      <font>
        <color rgb="FF006100"/>
      </font>
      <fill>
        <patternFill>
          <fgColor indexed="64"/>
          <bgColor rgb="FFC6EFCE"/>
        </patternFill>
      </fill>
    </dxf>
    <dxf>
      <font>
        <color rgb="FF9C0006"/>
      </font>
      <fill>
        <patternFill>
          <fgColor indexed="64"/>
          <bgColor rgb="FFFFC7CE"/>
        </patternFill>
      </fill>
    </dxf>
    <dxf>
      <fill>
        <patternFill>
          <fgColor indexed="64"/>
          <bgColor theme="9" tint="0.59996337778862885"/>
        </patternFill>
      </fill>
    </dxf>
    <dxf>
      <font>
        <color rgb="FF006100"/>
      </font>
      <fill>
        <patternFill>
          <fgColor indexed="64"/>
          <bgColor rgb="FFC6EFCE"/>
        </patternFill>
      </fill>
    </dxf>
    <dxf>
      <font>
        <color rgb="FF9C0006"/>
      </font>
      <fill>
        <patternFill>
          <fgColor indexed="64"/>
          <bgColor rgb="FFFFC7CE"/>
        </patternFill>
      </fill>
    </dxf>
    <dxf>
      <fill>
        <patternFill>
          <fgColor indexed="64"/>
          <bgColor theme="9" tint="0.59996337778862885"/>
        </patternFill>
      </fill>
    </dxf>
    <dxf>
      <font>
        <color rgb="FF006100"/>
      </font>
      <fill>
        <patternFill>
          <fgColor indexed="64"/>
          <bgColor rgb="FFC6EFCE"/>
        </patternFill>
      </fill>
    </dxf>
    <dxf>
      <font>
        <color rgb="FF9C0006"/>
      </font>
      <fill>
        <patternFill>
          <fgColor indexed="64"/>
          <bgColor rgb="FFFFC7CE"/>
        </patternFill>
      </fill>
    </dxf>
    <dxf>
      <fill>
        <patternFill>
          <fgColor indexed="64"/>
          <bgColor theme="9" tint="0.59996337778862885"/>
        </patternFill>
      </fill>
    </dxf>
    <dxf>
      <font>
        <color rgb="FF006100"/>
      </font>
      <fill>
        <patternFill>
          <fgColor indexed="64"/>
          <bgColor rgb="FFC6EFCE"/>
        </patternFill>
      </fill>
    </dxf>
    <dxf>
      <font>
        <color rgb="FF9C0006"/>
      </font>
      <fill>
        <patternFill>
          <fgColor indexed="64"/>
          <bgColor rgb="FFFFC7CE"/>
        </patternFill>
      </fill>
    </dxf>
    <dxf>
      <fill>
        <patternFill>
          <fgColor indexed="64"/>
          <bgColor theme="9" tint="0.59996337778862885"/>
        </patternFill>
      </fill>
    </dxf>
    <dxf>
      <font>
        <color rgb="FF006100"/>
      </font>
      <fill>
        <patternFill>
          <fgColor indexed="64"/>
          <bgColor rgb="FFC6EFCE"/>
        </patternFill>
      </fill>
    </dxf>
    <dxf>
      <font>
        <color rgb="FF9C0006"/>
      </font>
      <fill>
        <patternFill>
          <fgColor indexed="64"/>
          <bgColor rgb="FFFFC7CE"/>
        </patternFill>
      </fill>
    </dxf>
    <dxf>
      <fill>
        <patternFill>
          <fgColor indexed="64"/>
          <bgColor theme="9" tint="0.59996337778862885"/>
        </patternFill>
      </fill>
    </dxf>
    <dxf>
      <font>
        <color rgb="FF006100"/>
      </font>
      <fill>
        <patternFill>
          <fgColor indexed="64"/>
          <bgColor rgb="FFC6EFCE"/>
        </patternFill>
      </fill>
    </dxf>
    <dxf>
      <font>
        <color rgb="FF9C0006"/>
      </font>
      <fill>
        <patternFill>
          <fgColor indexed="64"/>
          <bgColor rgb="FFFFC7CE"/>
        </patternFill>
      </fill>
    </dxf>
    <dxf>
      <fill>
        <patternFill>
          <fgColor indexed="64"/>
          <bgColor theme="9" tint="0.59996337778862885"/>
        </patternFill>
      </fill>
    </dxf>
    <dxf>
      <font>
        <color rgb="FF006100"/>
      </font>
      <fill>
        <patternFill>
          <fgColor indexed="64"/>
          <bgColor rgb="FFC6EFCE"/>
        </patternFill>
      </fill>
    </dxf>
    <dxf>
      <font>
        <color rgb="FF9C0006"/>
      </font>
      <fill>
        <patternFill>
          <fgColor indexed="64"/>
          <bgColor rgb="FFFFC7CE"/>
        </patternFill>
      </fill>
    </dxf>
    <dxf>
      <fill>
        <patternFill>
          <fgColor indexed="64"/>
          <bgColor theme="9" tint="0.59996337778862885"/>
        </patternFill>
      </fill>
    </dxf>
    <dxf>
      <font>
        <color rgb="FF006100"/>
      </font>
      <fill>
        <patternFill>
          <fgColor indexed="64"/>
          <bgColor rgb="FFC6EFCE"/>
        </patternFill>
      </fill>
    </dxf>
    <dxf>
      <font>
        <color rgb="FF9C0006"/>
      </font>
      <fill>
        <patternFill>
          <fgColor indexed="64"/>
          <bgColor rgb="FFFFC7CE"/>
        </patternFill>
      </fill>
    </dxf>
    <dxf>
      <fill>
        <patternFill>
          <fgColor indexed="64"/>
          <bgColor theme="9" tint="0.59996337778862885"/>
        </patternFill>
      </fill>
    </dxf>
    <dxf>
      <font>
        <color rgb="FF006100"/>
      </font>
      <fill>
        <patternFill>
          <fgColor indexed="64"/>
          <bgColor rgb="FFC6EFCE"/>
        </patternFill>
      </fill>
    </dxf>
    <dxf>
      <font>
        <color rgb="FF9C0006"/>
      </font>
      <fill>
        <patternFill>
          <fgColor indexed="64"/>
          <bgColor rgb="FFFFC7CE"/>
        </patternFill>
      </fill>
    </dxf>
    <dxf>
      <fill>
        <patternFill>
          <fgColor indexed="64"/>
          <bgColor theme="9" tint="0.59996337778862885"/>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1.xml"/><Relationship Id="rId35" Type="http://schemas.openxmlformats.org/officeDocument/2006/relationships/calcChain" Target="calcChain.xml"/><Relationship Id="rId8" Type="http://schemas.openxmlformats.org/officeDocument/2006/relationships/worksheet" Target="worksheets/sheet8.xml"/></Relationships>
</file>

<file path=xl/charts/_rels/chart4.xml.rels><?xml version="1.0" encoding="UTF-8" standalone="yes"?>
<Relationships xmlns="http://schemas.openxmlformats.org/package/2006/relationships"><Relationship Id="rId1" Type="http://schemas.openxmlformats.org/officeDocument/2006/relationships/image" Target="../media/image10.jpe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Sheet1!$B$1</c:f>
              <c:strCache>
                <c:ptCount val="1"/>
                <c:pt idx="0">
                  <c:v>Net Income</c:v>
                </c:pt>
              </c:strCache>
            </c:strRef>
          </c:tx>
          <c:marker>
            <c:symbol val="none"/>
          </c:marker>
          <c:cat>
            <c:strRef>
              <c:f>Sheet1!$A$2:$A$13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Sheet1!$B$2:$B$13</c:f>
              <c:numCache>
                <c:formatCode>General</c:formatCode>
                <c:ptCount val="12"/>
                <c:pt idx="0">
                  <c:v>190232.33333333331</c:v>
                </c:pt>
                <c:pt idx="1">
                  <c:v>182466.33333333331</c:v>
                </c:pt>
                <c:pt idx="2">
                  <c:v>193515</c:v>
                </c:pt>
                <c:pt idx="3">
                  <c:v>180992</c:v>
                </c:pt>
                <c:pt idx="4">
                  <c:v>188268</c:v>
                </c:pt>
                <c:pt idx="5">
                  <c:v>184470.33333333331</c:v>
                </c:pt>
                <c:pt idx="6">
                  <c:v>195375.33333333331</c:v>
                </c:pt>
                <c:pt idx="7">
                  <c:v>192313.33333333331</c:v>
                </c:pt>
                <c:pt idx="8">
                  <c:v>177662</c:v>
                </c:pt>
                <c:pt idx="9">
                  <c:v>-73780</c:v>
                </c:pt>
                <c:pt idx="10">
                  <c:v>-8680</c:v>
                </c:pt>
                <c:pt idx="11">
                  <c:v>-8680</c:v>
                </c:pt>
              </c:numCache>
            </c:numRef>
          </c:val>
          <c:smooth val="0"/>
          <c:extLst>
            <c:ext xmlns:c16="http://schemas.microsoft.com/office/drawing/2014/chart" uri="{C3380CC4-5D6E-409C-BE32-E72D297353CC}">
              <c16:uniqueId val="{00000000-BD43-41A7-BB6C-3C4846BBBFBD}"/>
            </c:ext>
          </c:extLst>
        </c:ser>
        <c:dLbls>
          <c:showLegendKey val="0"/>
          <c:showVal val="0"/>
          <c:showCatName val="0"/>
          <c:showSerName val="0"/>
          <c:showPercent val="0"/>
          <c:showBubbleSize val="0"/>
        </c:dLbls>
        <c:smooth val="0"/>
        <c:axId val="237640704"/>
        <c:axId val="237675264"/>
      </c:lineChart>
      <c:catAx>
        <c:axId val="237640704"/>
        <c:scaling>
          <c:orientation val="minMax"/>
        </c:scaling>
        <c:delete val="0"/>
        <c:axPos val="b"/>
        <c:numFmt formatCode="General" sourceLinked="0"/>
        <c:majorTickMark val="none"/>
        <c:minorTickMark val="none"/>
        <c:tickLblPos val="nextTo"/>
        <c:crossAx val="237675264"/>
        <c:crosses val="autoZero"/>
        <c:auto val="1"/>
        <c:lblAlgn val="ctr"/>
        <c:lblOffset val="100"/>
        <c:noMultiLvlLbl val="0"/>
      </c:catAx>
      <c:valAx>
        <c:axId val="237675264"/>
        <c:scaling>
          <c:orientation val="minMax"/>
        </c:scaling>
        <c:delete val="0"/>
        <c:axPos val="l"/>
        <c:majorGridlines/>
        <c:numFmt formatCode="General" sourceLinked="1"/>
        <c:majorTickMark val="none"/>
        <c:minorTickMark val="none"/>
        <c:tickLblPos val="nextTo"/>
        <c:spPr>
          <a:ln w="9525">
            <a:noFill/>
          </a:ln>
        </c:spPr>
        <c:crossAx val="237640704"/>
        <c:crosses val="autoZero"/>
        <c:crossBetween val="between"/>
      </c:valAx>
    </c:plotArea>
    <c:legend>
      <c:legendPos val="b"/>
      <c:overlay val="0"/>
    </c:legend>
    <c:plotVisOnly val="1"/>
    <c:dispBlanksAs val="zero"/>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manualLayout>
          <c:layoutTarget val="inner"/>
          <c:xMode val="edge"/>
          <c:yMode val="edge"/>
          <c:x val="0.13472834323228025"/>
          <c:y val="0.26355254888913532"/>
          <c:w val="0.82923562073168378"/>
          <c:h val="0.4036188434192205"/>
        </c:manualLayout>
      </c:layout>
      <c:lineChart>
        <c:grouping val="stacked"/>
        <c:varyColors val="0"/>
        <c:ser>
          <c:idx val="0"/>
          <c:order val="0"/>
          <c:tx>
            <c:strRef>
              <c:f>Sheet1!$E$1</c:f>
              <c:strCache>
                <c:ptCount val="1"/>
                <c:pt idx="0">
                  <c:v>Quantity Sold</c:v>
                </c:pt>
              </c:strCache>
            </c:strRef>
          </c:tx>
          <c:marker>
            <c:symbol val="none"/>
          </c:marker>
          <c:cat>
            <c:strRef>
              <c:f>Sheet1!$D$2:$D$13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Sheet1!$E$2:$E$13</c:f>
              <c:numCache>
                <c:formatCode>General</c:formatCode>
                <c:ptCount val="12"/>
                <c:pt idx="0">
                  <c:v>9418</c:v>
                </c:pt>
                <c:pt idx="1">
                  <c:v>8890</c:v>
                </c:pt>
                <c:pt idx="2">
                  <c:v>9348</c:v>
                </c:pt>
                <c:pt idx="3">
                  <c:v>8955</c:v>
                </c:pt>
                <c:pt idx="4">
                  <c:v>9428</c:v>
                </c:pt>
                <c:pt idx="5">
                  <c:v>9096</c:v>
                </c:pt>
                <c:pt idx="6">
                  <c:v>9618</c:v>
                </c:pt>
                <c:pt idx="7">
                  <c:v>9419</c:v>
                </c:pt>
                <c:pt idx="8">
                  <c:v>9147</c:v>
                </c:pt>
                <c:pt idx="9">
                  <c:v>83</c:v>
                </c:pt>
                <c:pt idx="10">
                  <c:v>83</c:v>
                </c:pt>
                <c:pt idx="11">
                  <c:v>83</c:v>
                </c:pt>
              </c:numCache>
            </c:numRef>
          </c:val>
          <c:smooth val="0"/>
          <c:extLst>
            <c:ext xmlns:c16="http://schemas.microsoft.com/office/drawing/2014/chart" uri="{C3380CC4-5D6E-409C-BE32-E72D297353CC}">
              <c16:uniqueId val="{00000000-C5D9-4BA1-B179-B3F178027846}"/>
            </c:ext>
          </c:extLst>
        </c:ser>
        <c:dLbls>
          <c:showLegendKey val="0"/>
          <c:showVal val="0"/>
          <c:showCatName val="0"/>
          <c:showSerName val="0"/>
          <c:showPercent val="0"/>
          <c:showBubbleSize val="0"/>
        </c:dLbls>
        <c:smooth val="0"/>
        <c:axId val="237695744"/>
        <c:axId val="237697280"/>
      </c:lineChart>
      <c:catAx>
        <c:axId val="237695744"/>
        <c:scaling>
          <c:orientation val="minMax"/>
        </c:scaling>
        <c:delete val="0"/>
        <c:axPos val="b"/>
        <c:numFmt formatCode="General" sourceLinked="0"/>
        <c:majorTickMark val="out"/>
        <c:minorTickMark val="none"/>
        <c:tickLblPos val="nextTo"/>
        <c:crossAx val="237697280"/>
        <c:crosses val="autoZero"/>
        <c:auto val="1"/>
        <c:lblAlgn val="ctr"/>
        <c:lblOffset val="100"/>
        <c:noMultiLvlLbl val="0"/>
      </c:catAx>
      <c:valAx>
        <c:axId val="237697280"/>
        <c:scaling>
          <c:orientation val="minMax"/>
        </c:scaling>
        <c:delete val="0"/>
        <c:axPos val="l"/>
        <c:majorGridlines/>
        <c:numFmt formatCode="General" sourceLinked="1"/>
        <c:majorTickMark val="out"/>
        <c:minorTickMark val="none"/>
        <c:tickLblPos val="nextTo"/>
        <c:crossAx val="237695744"/>
        <c:crosses val="autoZero"/>
        <c:crossBetween val="between"/>
      </c:valAx>
    </c:plotArea>
    <c:plotVisOnly val="1"/>
    <c:dispBlanksAs val="zero"/>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PHARMACY.xlsx]Sheet1!PivotTable5</c:name>
    <c:fmtId val="2"/>
  </c:pivotSource>
  <c:chart>
    <c:autoTitleDeleted val="1"/>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dLbl>
          <c:idx val="0"/>
          <c:delete val="1"/>
          <c:extLst>
            <c:ext xmlns:c15="http://schemas.microsoft.com/office/drawing/2012/chart" uri="{CE6537A1-D6FC-4f65-9D91-7224C49458BB}"/>
          </c:extLst>
        </c:dLbl>
      </c:pivotFmt>
      <c:pivotFmt>
        <c:idx val="11"/>
        <c:marker>
          <c:symbol val="none"/>
        </c:marker>
      </c:pivotFmt>
      <c:pivotFmt>
        <c:idx val="12"/>
        <c:marker>
          <c:symbol val="none"/>
        </c:marker>
      </c:pivotFmt>
      <c:pivotFmt>
        <c:idx val="13"/>
        <c:marker>
          <c:symbol val="none"/>
        </c:marker>
      </c:pivotFmt>
      <c:pivotFmt>
        <c:idx val="14"/>
        <c:marker>
          <c:symbol val="none"/>
        </c:marker>
      </c:pivotFmt>
      <c:pivotFmt>
        <c:idx val="15"/>
        <c:marker>
          <c:symbol val="none"/>
        </c:marker>
      </c:pivotFmt>
      <c:pivotFmt>
        <c:idx val="16"/>
        <c:marker>
          <c:symbol val="none"/>
        </c:marker>
      </c:pivotFmt>
      <c:pivotFmt>
        <c:idx val="17"/>
        <c:marker>
          <c:symbol val="none"/>
        </c:marker>
      </c:pivotFmt>
      <c:pivotFmt>
        <c:idx val="18"/>
        <c:marker>
          <c:symbol val="none"/>
        </c:marker>
      </c:pivotFmt>
    </c:pivotFmts>
    <c:plotArea>
      <c:layout/>
      <c:barChart>
        <c:barDir val="col"/>
        <c:grouping val="clustered"/>
        <c:varyColors val="0"/>
        <c:ser>
          <c:idx val="0"/>
          <c:order val="0"/>
          <c:tx>
            <c:strRef>
              <c:f>Sheet1!$I$3</c:f>
              <c:strCache>
                <c:ptCount val="1"/>
                <c:pt idx="0">
                  <c:v>Total</c:v>
                </c:pt>
              </c:strCache>
            </c:strRef>
          </c:tx>
          <c:invertIfNegative val="0"/>
          <c:cat>
            <c:strRef>
              <c:f>Sheet1!$H$4:$H$12</c:f>
              <c:strCache>
                <c:ptCount val="9"/>
                <c:pt idx="0">
                  <c:v>Sum of Jan(1)</c:v>
                </c:pt>
                <c:pt idx="1">
                  <c:v>Sum of Feb(2)</c:v>
                </c:pt>
                <c:pt idx="2">
                  <c:v>Sum of Mar(3)</c:v>
                </c:pt>
                <c:pt idx="3">
                  <c:v>Sum of Apr(4)</c:v>
                </c:pt>
                <c:pt idx="4">
                  <c:v>Sum of May(5)</c:v>
                </c:pt>
                <c:pt idx="5">
                  <c:v>Sum of Jun(6)</c:v>
                </c:pt>
                <c:pt idx="6">
                  <c:v>Sum of Jul(7)</c:v>
                </c:pt>
                <c:pt idx="7">
                  <c:v>Sum of Aug(8)</c:v>
                </c:pt>
                <c:pt idx="8">
                  <c:v>Sum of Sep(9)</c:v>
                </c:pt>
              </c:strCache>
            </c:strRef>
          </c:cat>
          <c:val>
            <c:numRef>
              <c:f>Sheet1!$I$4:$I$12</c:f>
              <c:numCache>
                <c:formatCode>General</c:formatCode>
                <c:ptCount val="9"/>
                <c:pt idx="0">
                  <c:v>190</c:v>
                </c:pt>
                <c:pt idx="1">
                  <c:v>129</c:v>
                </c:pt>
                <c:pt idx="2">
                  <c:v>176</c:v>
                </c:pt>
                <c:pt idx="3">
                  <c:v>171</c:v>
                </c:pt>
                <c:pt idx="4">
                  <c:v>179</c:v>
                </c:pt>
                <c:pt idx="5">
                  <c:v>160</c:v>
                </c:pt>
                <c:pt idx="6">
                  <c:v>168</c:v>
                </c:pt>
                <c:pt idx="7">
                  <c:v>160</c:v>
                </c:pt>
                <c:pt idx="8">
                  <c:v>186</c:v>
                </c:pt>
              </c:numCache>
            </c:numRef>
          </c:val>
          <c:extLst>
            <c:ext xmlns:c16="http://schemas.microsoft.com/office/drawing/2014/chart" uri="{C3380CC4-5D6E-409C-BE32-E72D297353CC}">
              <c16:uniqueId val="{00000000-FF55-4176-A1D3-A4489E6507F0}"/>
            </c:ext>
          </c:extLst>
        </c:ser>
        <c:dLbls>
          <c:showLegendKey val="0"/>
          <c:showVal val="0"/>
          <c:showCatName val="0"/>
          <c:showSerName val="0"/>
          <c:showPercent val="0"/>
          <c:showBubbleSize val="0"/>
        </c:dLbls>
        <c:gapWidth val="150"/>
        <c:axId val="237856640"/>
        <c:axId val="237858176"/>
      </c:barChart>
      <c:catAx>
        <c:axId val="237856640"/>
        <c:scaling>
          <c:orientation val="minMax"/>
        </c:scaling>
        <c:delete val="0"/>
        <c:axPos val="b"/>
        <c:numFmt formatCode="General" sourceLinked="0"/>
        <c:majorTickMark val="out"/>
        <c:minorTickMark val="none"/>
        <c:tickLblPos val="nextTo"/>
        <c:crossAx val="237858176"/>
        <c:crosses val="autoZero"/>
        <c:auto val="1"/>
        <c:lblAlgn val="ctr"/>
        <c:lblOffset val="100"/>
        <c:noMultiLvlLbl val="0"/>
      </c:catAx>
      <c:valAx>
        <c:axId val="237858176"/>
        <c:scaling>
          <c:orientation val="minMax"/>
        </c:scaling>
        <c:delete val="0"/>
        <c:axPos val="l"/>
        <c:majorGridlines/>
        <c:numFmt formatCode="General" sourceLinked="1"/>
        <c:majorTickMark val="out"/>
        <c:minorTickMark val="none"/>
        <c:tickLblPos val="nextTo"/>
        <c:crossAx val="23785664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
        <c:idx val="14"/>
        <c:marker>
          <c:symbol val="none"/>
        </c:marker>
      </c:pivotFmt>
      <c:pivotFmt>
        <c:idx val="15"/>
        <c:marker>
          <c:symbol val="none"/>
        </c:marker>
      </c:pivotFmt>
      <c:pivotFmt>
        <c:idx val="16"/>
        <c:marker>
          <c:symbol val="none"/>
        </c:marker>
      </c:pivotFmt>
      <c:pivotFmt>
        <c:idx val="17"/>
        <c:marker>
          <c:symbol val="none"/>
        </c:marker>
      </c:pivotFmt>
      <c:pivotFmt>
        <c:idx val="18"/>
        <c:marker>
          <c:symbol val="none"/>
        </c:marker>
      </c:pivotFmt>
      <c:pivotFmt>
        <c:idx val="19"/>
        <c:marker>
          <c:symbol val="none"/>
        </c:marker>
      </c:pivotFmt>
      <c:pivotFmt>
        <c:idx val="20"/>
        <c:marker>
          <c:symbol val="none"/>
        </c:marker>
      </c:pivotFmt>
      <c:pivotFmt>
        <c:idx val="21"/>
        <c:marker>
          <c:symbol val="none"/>
        </c:marker>
      </c:pivotFmt>
      <c:pivotFmt>
        <c:idx val="22"/>
        <c:marker>
          <c:symbol val="none"/>
        </c:marker>
      </c:pivotFmt>
      <c:pivotFmt>
        <c:idx val="23"/>
        <c:marker>
          <c:symbol val="none"/>
        </c:marker>
      </c:pivotFmt>
      <c:pivotFmt>
        <c:idx val="24"/>
        <c:marker>
          <c:symbol val="none"/>
        </c:marker>
      </c:pivotFmt>
      <c:pivotFmt>
        <c:idx val="25"/>
        <c:marker>
          <c:symbol val="none"/>
        </c:marker>
      </c:pivotFmt>
      <c:pivotFmt>
        <c:idx val="26"/>
      </c:pivotFmt>
      <c:pivotFmt>
        <c:idx val="27"/>
      </c:pivotFmt>
    </c:pivotFmts>
    <c:plotArea>
      <c:layout/>
      <c:lineChart>
        <c:grouping val="standard"/>
        <c:varyColors val="0"/>
        <c:ser>
          <c:idx val="0"/>
          <c:order val="0"/>
          <c:tx>
            <c:v>Branded</c:v>
          </c:tx>
          <c:marker>
            <c:symbol val="none"/>
          </c:marker>
          <c:cat>
            <c:strLit>
              <c:ptCount val="9"/>
              <c:pt idx="0">
                <c:v>Sum of Jan(1)</c:v>
              </c:pt>
              <c:pt idx="1">
                <c:v>Sum of Feb(2)</c:v>
              </c:pt>
              <c:pt idx="2">
                <c:v>Sum of Mar(3)</c:v>
              </c:pt>
              <c:pt idx="3">
                <c:v>Sum of Apr(4)</c:v>
              </c:pt>
              <c:pt idx="4">
                <c:v>Sum of May(5)</c:v>
              </c:pt>
              <c:pt idx="5">
                <c:v>Sum of Jun(6)</c:v>
              </c:pt>
              <c:pt idx="6">
                <c:v>Sum of Jul(7)</c:v>
              </c:pt>
              <c:pt idx="7">
                <c:v>Sum of Aug(8)</c:v>
              </c:pt>
              <c:pt idx="8">
                <c:v>Sum of Sep(9)</c:v>
              </c:pt>
            </c:strLit>
          </c:cat>
          <c:val>
            <c:numLit>
              <c:formatCode>General</c:formatCode>
              <c:ptCount val="9"/>
              <c:pt idx="0">
                <c:v>656</c:v>
              </c:pt>
              <c:pt idx="1">
                <c:v>638</c:v>
              </c:pt>
              <c:pt idx="2">
                <c:v>671</c:v>
              </c:pt>
              <c:pt idx="3">
                <c:v>634</c:v>
              </c:pt>
              <c:pt idx="4">
                <c:v>755</c:v>
              </c:pt>
              <c:pt idx="5">
                <c:v>639</c:v>
              </c:pt>
              <c:pt idx="6">
                <c:v>716</c:v>
              </c:pt>
              <c:pt idx="7">
                <c:v>626</c:v>
              </c:pt>
              <c:pt idx="8">
                <c:v>641</c:v>
              </c:pt>
            </c:numLit>
          </c:val>
          <c:smooth val="0"/>
          <c:extLst>
            <c:ext xmlns:c16="http://schemas.microsoft.com/office/drawing/2014/chart" uri="{C3380CC4-5D6E-409C-BE32-E72D297353CC}">
              <c16:uniqueId val="{00000000-699F-4964-961F-F66E6CFCB789}"/>
            </c:ext>
          </c:extLst>
        </c:ser>
        <c:ser>
          <c:idx val="1"/>
          <c:order val="1"/>
          <c:tx>
            <c:v>Generic</c:v>
          </c:tx>
          <c:marker>
            <c:symbol val="none"/>
          </c:marker>
          <c:cat>
            <c:strLit>
              <c:ptCount val="9"/>
              <c:pt idx="0">
                <c:v>Sum of Jan(1)</c:v>
              </c:pt>
              <c:pt idx="1">
                <c:v>Sum of Feb(2)</c:v>
              </c:pt>
              <c:pt idx="2">
                <c:v>Sum of Mar(3)</c:v>
              </c:pt>
              <c:pt idx="3">
                <c:v>Sum of Apr(4)</c:v>
              </c:pt>
              <c:pt idx="4">
                <c:v>Sum of May(5)</c:v>
              </c:pt>
              <c:pt idx="5">
                <c:v>Sum of Jun(6)</c:v>
              </c:pt>
              <c:pt idx="6">
                <c:v>Sum of Jul(7)</c:v>
              </c:pt>
              <c:pt idx="7">
                <c:v>Sum of Aug(8)</c:v>
              </c:pt>
              <c:pt idx="8">
                <c:v>Sum of Sep(9)</c:v>
              </c:pt>
            </c:strLit>
          </c:cat>
          <c:val>
            <c:numLit>
              <c:formatCode>General</c:formatCode>
              <c:ptCount val="9"/>
              <c:pt idx="0">
                <c:v>8597</c:v>
              </c:pt>
              <c:pt idx="1">
                <c:v>8060</c:v>
              </c:pt>
              <c:pt idx="2">
                <c:v>8854</c:v>
              </c:pt>
              <c:pt idx="3">
                <c:v>8381</c:v>
              </c:pt>
              <c:pt idx="4">
                <c:v>8656</c:v>
              </c:pt>
              <c:pt idx="5">
                <c:v>8629</c:v>
              </c:pt>
              <c:pt idx="6">
                <c:v>8755</c:v>
              </c:pt>
              <c:pt idx="7">
                <c:v>8793</c:v>
              </c:pt>
              <c:pt idx="8">
                <c:v>8407</c:v>
              </c:pt>
            </c:numLit>
          </c:val>
          <c:smooth val="0"/>
          <c:extLst>
            <c:ext xmlns:c16="http://schemas.microsoft.com/office/drawing/2014/chart" uri="{C3380CC4-5D6E-409C-BE32-E72D297353CC}">
              <c16:uniqueId val="{00000001-699F-4964-961F-F66E6CFCB789}"/>
            </c:ext>
          </c:extLst>
        </c:ser>
        <c:dLbls>
          <c:showLegendKey val="0"/>
          <c:showVal val="0"/>
          <c:showCatName val="0"/>
          <c:showSerName val="0"/>
          <c:showPercent val="0"/>
          <c:showBubbleSize val="0"/>
        </c:dLbls>
        <c:dropLines/>
        <c:smooth val="0"/>
        <c:axId val="242208768"/>
        <c:axId val="242210304"/>
      </c:lineChart>
      <c:catAx>
        <c:axId val="242208768"/>
        <c:scaling>
          <c:orientation val="minMax"/>
        </c:scaling>
        <c:delete val="0"/>
        <c:axPos val="b"/>
        <c:title>
          <c:tx>
            <c:rich>
              <a:bodyPr/>
              <a:lstStyle/>
              <a:p>
                <a:pPr>
                  <a:defRPr/>
                </a:pPr>
                <a:r>
                  <a:rPr lang="en-US"/>
                  <a:t>Monthly</a:t>
                </a:r>
                <a:r>
                  <a:rPr lang="en-US" baseline="0"/>
                  <a:t> Sale</a:t>
                </a:r>
                <a:endParaRPr lang="en-US"/>
              </a:p>
            </c:rich>
          </c:tx>
          <c:overlay val="0"/>
        </c:title>
        <c:numFmt formatCode="General" sourceLinked="0"/>
        <c:majorTickMark val="none"/>
        <c:minorTickMark val="none"/>
        <c:tickLblPos val="nextTo"/>
        <c:crossAx val="242210304"/>
        <c:crosses val="autoZero"/>
        <c:auto val="1"/>
        <c:lblAlgn val="ctr"/>
        <c:lblOffset val="100"/>
        <c:noMultiLvlLbl val="0"/>
      </c:catAx>
      <c:valAx>
        <c:axId val="242210304"/>
        <c:scaling>
          <c:orientation val="minMax"/>
        </c:scaling>
        <c:delete val="0"/>
        <c:axPos val="l"/>
        <c:majorGridlines/>
        <c:title>
          <c:tx>
            <c:rich>
              <a:bodyPr/>
              <a:lstStyle/>
              <a:p>
                <a:pPr>
                  <a:defRPr/>
                </a:pPr>
                <a:r>
                  <a:rPr lang="en-US"/>
                  <a:t>Quantity</a:t>
                </a:r>
                <a:r>
                  <a:rPr lang="en-US" baseline="0"/>
                  <a:t> sold</a:t>
                </a:r>
                <a:endParaRPr lang="en-US"/>
              </a:p>
            </c:rich>
          </c:tx>
          <c:overlay val="0"/>
        </c:title>
        <c:numFmt formatCode="General" sourceLinked="1"/>
        <c:majorTickMark val="out"/>
        <c:minorTickMark val="none"/>
        <c:tickLblPos val="nextTo"/>
        <c:crossAx val="242208768"/>
        <c:crosses val="autoZero"/>
        <c:crossBetween val="between"/>
      </c:valAx>
    </c:plotArea>
    <c:legend>
      <c:legendPos val="r"/>
      <c:overlay val="0"/>
    </c:legend>
    <c:plotVisOnly val="1"/>
    <c:dispBlanksAs val="gap"/>
    <c:showDLblsOverMax val="0"/>
  </c:chart>
  <c:spPr>
    <a:blipFill>
      <a:blip xmlns:r="http://schemas.openxmlformats.org/officeDocument/2006/relationships" r:embed="rId1"/>
      <a:tile tx="0" ty="0" sx="100000" sy="100000" flip="none" algn="tl"/>
    </a:blipFill>
    <a:scene3d>
      <a:camera prst="orthographicFront"/>
      <a:lightRig rig="balanced" dir="t"/>
    </a:scene3d>
    <a:sp3d>
      <a:bevelT w="114300" prst="artDeco"/>
      <a:bevelB w="114300" prst="artDeco"/>
    </a:sp3d>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3" Type="http://schemas.openxmlformats.org/officeDocument/2006/relationships/hyperlink" Target="#November!A1"/><Relationship Id="rId18" Type="http://schemas.openxmlformats.org/officeDocument/2006/relationships/hyperlink" Target="#'Attendence (May)'!A1"/><Relationship Id="rId26" Type="http://schemas.openxmlformats.org/officeDocument/2006/relationships/image" Target="../media/image3.jpeg"/><Relationship Id="rId3" Type="http://schemas.openxmlformats.org/officeDocument/2006/relationships/image" Target="../media/image2.jpeg"/><Relationship Id="rId21" Type="http://schemas.openxmlformats.org/officeDocument/2006/relationships/hyperlink" Target="#'Attendence (Aug)'!A1"/><Relationship Id="rId34" Type="http://schemas.microsoft.com/office/2007/relationships/hdphoto" Target="../media/hdphoto3.wdp"/><Relationship Id="rId7" Type="http://schemas.openxmlformats.org/officeDocument/2006/relationships/hyperlink" Target="#May!A1"/><Relationship Id="rId12" Type="http://schemas.openxmlformats.org/officeDocument/2006/relationships/hyperlink" Target="#October!A1"/><Relationship Id="rId17" Type="http://schemas.openxmlformats.org/officeDocument/2006/relationships/hyperlink" Target="#'Attendence (Aprail)'!A1"/><Relationship Id="rId25" Type="http://schemas.openxmlformats.org/officeDocument/2006/relationships/hyperlink" Target="#'Attendence (Dec)'!A1"/><Relationship Id="rId33" Type="http://schemas.openxmlformats.org/officeDocument/2006/relationships/image" Target="../media/image6.png"/><Relationship Id="rId2" Type="http://schemas.openxmlformats.org/officeDocument/2006/relationships/hyperlink" Target="#Februray!A1"/><Relationship Id="rId16" Type="http://schemas.openxmlformats.org/officeDocument/2006/relationships/hyperlink" Target="#'Attendence (March)'!A1"/><Relationship Id="rId20" Type="http://schemas.openxmlformats.org/officeDocument/2006/relationships/hyperlink" Target="#'Attendence (July)'!A1"/><Relationship Id="rId29" Type="http://schemas.microsoft.com/office/2007/relationships/hdphoto" Target="../media/hdphoto2.wdp"/><Relationship Id="rId1" Type="http://schemas.openxmlformats.org/officeDocument/2006/relationships/hyperlink" Target="#'Daily Sales(JAN)'!A1"/><Relationship Id="rId6" Type="http://schemas.openxmlformats.org/officeDocument/2006/relationships/hyperlink" Target="#Aprail!A1"/><Relationship Id="rId11" Type="http://schemas.openxmlformats.org/officeDocument/2006/relationships/hyperlink" Target="#September!A1"/><Relationship Id="rId24" Type="http://schemas.openxmlformats.org/officeDocument/2006/relationships/hyperlink" Target="#'Attendence (Nov)'!A1"/><Relationship Id="rId32" Type="http://schemas.openxmlformats.org/officeDocument/2006/relationships/hyperlink" Target="#help!A1"/><Relationship Id="rId5" Type="http://schemas.openxmlformats.org/officeDocument/2006/relationships/hyperlink" Target="#March!A1"/><Relationship Id="rId15" Type="http://schemas.openxmlformats.org/officeDocument/2006/relationships/hyperlink" Target="#'Attendence (Feb)'!A1"/><Relationship Id="rId23" Type="http://schemas.openxmlformats.org/officeDocument/2006/relationships/hyperlink" Target="#'Attendence (Oct)'!A1"/><Relationship Id="rId28" Type="http://schemas.openxmlformats.org/officeDocument/2006/relationships/image" Target="../media/image4.png"/><Relationship Id="rId10" Type="http://schemas.openxmlformats.org/officeDocument/2006/relationships/hyperlink" Target="#August!A1"/><Relationship Id="rId19" Type="http://schemas.openxmlformats.org/officeDocument/2006/relationships/hyperlink" Target="#'Attendence (June)'!A1"/><Relationship Id="rId31" Type="http://schemas.openxmlformats.org/officeDocument/2006/relationships/image" Target="../media/image5.jpeg"/><Relationship Id="rId4" Type="http://schemas.microsoft.com/office/2007/relationships/hdphoto" Target="../media/hdphoto1.wdp"/><Relationship Id="rId9" Type="http://schemas.openxmlformats.org/officeDocument/2006/relationships/hyperlink" Target="#July!A1"/><Relationship Id="rId14" Type="http://schemas.openxmlformats.org/officeDocument/2006/relationships/hyperlink" Target="#'Attendence (Jan)'!A1"/><Relationship Id="rId22" Type="http://schemas.openxmlformats.org/officeDocument/2006/relationships/hyperlink" Target="#'Attendence (Sep)'!A1"/><Relationship Id="rId27" Type="http://schemas.openxmlformats.org/officeDocument/2006/relationships/hyperlink" Target="#'Working Sheet'!A1"/><Relationship Id="rId30" Type="http://schemas.openxmlformats.org/officeDocument/2006/relationships/hyperlink" Target="#Graph!A1"/><Relationship Id="rId8" Type="http://schemas.openxmlformats.org/officeDocument/2006/relationships/hyperlink" Target="#June!A1"/></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7.png"/><Relationship Id="rId7" Type="http://schemas.openxmlformats.org/officeDocument/2006/relationships/hyperlink" Target="#help!A1"/><Relationship Id="rId2" Type="http://schemas.openxmlformats.org/officeDocument/2006/relationships/hyperlink" Target="#'Working Sheet'!A1"/><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hyperlink" Target="#Analysis!A1"/><Relationship Id="rId10" Type="http://schemas.openxmlformats.org/officeDocument/2006/relationships/hyperlink" Target="#graph!A1"/><Relationship Id="rId4" Type="http://schemas.microsoft.com/office/2007/relationships/hdphoto" Target="../media/hdphoto4.wdp"/><Relationship Id="rId9" Type="http://schemas.microsoft.com/office/2007/relationships/hdphoto" Target="../media/hdphoto5.wdp"/></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7.png"/><Relationship Id="rId7" Type="http://schemas.openxmlformats.org/officeDocument/2006/relationships/hyperlink" Target="#help!A1"/><Relationship Id="rId2" Type="http://schemas.openxmlformats.org/officeDocument/2006/relationships/hyperlink" Target="#'Working Sheet'!A1"/><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hyperlink" Target="#graph!A1"/><Relationship Id="rId4" Type="http://schemas.microsoft.com/office/2007/relationships/hdphoto" Target="../media/hdphoto4.wdp"/><Relationship Id="rId9" Type="http://schemas.microsoft.com/office/2007/relationships/hdphoto" Target="../media/hdphoto5.wdp"/></Relationships>
</file>

<file path=xl/drawings/_rels/drawing4.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7.png"/><Relationship Id="rId7" Type="http://schemas.openxmlformats.org/officeDocument/2006/relationships/hyperlink" Target="#help!A1"/><Relationship Id="rId2" Type="http://schemas.openxmlformats.org/officeDocument/2006/relationships/hyperlink" Target="#'Working Sheet'!A1"/><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hyperlink" Target="#graph!A1"/><Relationship Id="rId4" Type="http://schemas.microsoft.com/office/2007/relationships/hdphoto" Target="../media/hdphoto4.wdp"/><Relationship Id="rId9" Type="http://schemas.microsoft.com/office/2007/relationships/hdphoto" Target="../media/hdphoto5.wdp"/></Relationships>
</file>

<file path=xl/drawings/_rels/drawing5.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7.png"/><Relationship Id="rId7" Type="http://schemas.openxmlformats.org/officeDocument/2006/relationships/hyperlink" Target="#help!A1"/><Relationship Id="rId2" Type="http://schemas.openxmlformats.org/officeDocument/2006/relationships/hyperlink" Target="#'Working Sheet'!A1"/><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hyperlink" Target="#graph!A1"/><Relationship Id="rId4" Type="http://schemas.microsoft.com/office/2007/relationships/hdphoto" Target="../media/hdphoto4.wdp"/><Relationship Id="rId9" Type="http://schemas.microsoft.com/office/2007/relationships/hdphoto" Target="../media/hdphoto5.wdp"/></Relationships>
</file>

<file path=xl/drawings/_rels/drawing6.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7.png"/><Relationship Id="rId7" Type="http://schemas.openxmlformats.org/officeDocument/2006/relationships/hyperlink" Target="#help!A1"/><Relationship Id="rId2" Type="http://schemas.openxmlformats.org/officeDocument/2006/relationships/hyperlink" Target="#'Working Sheet'!A1"/><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hyperlink" Target="#graph!A1"/><Relationship Id="rId4" Type="http://schemas.microsoft.com/office/2007/relationships/hdphoto" Target="../media/hdphoto4.wdp"/><Relationship Id="rId9" Type="http://schemas.microsoft.com/office/2007/relationships/hdphoto" Target="../media/hdphoto5.wdp"/></Relationships>
</file>

<file path=xl/drawings/_rels/drawing7.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7.png"/><Relationship Id="rId7" Type="http://schemas.openxmlformats.org/officeDocument/2006/relationships/hyperlink" Target="#help!A1"/><Relationship Id="rId2" Type="http://schemas.openxmlformats.org/officeDocument/2006/relationships/hyperlink" Target="#'Working Sheet'!A1"/><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hyperlink" Target="#graph!A1"/><Relationship Id="rId4" Type="http://schemas.microsoft.com/office/2007/relationships/hdphoto" Target="../media/hdphoto4.wdp"/><Relationship Id="rId9" Type="http://schemas.microsoft.com/office/2007/relationships/hdphoto" Target="../media/hdphoto5.wdp"/></Relationships>
</file>

<file path=xl/drawings/_rels/drawing8.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7.png"/><Relationship Id="rId7" Type="http://schemas.openxmlformats.org/officeDocument/2006/relationships/hyperlink" Target="#help!A1"/><Relationship Id="rId2" Type="http://schemas.openxmlformats.org/officeDocument/2006/relationships/hyperlink" Target="#'Working Sheet'!A1"/><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hyperlink" Target="#graph!A1"/><Relationship Id="rId4" Type="http://schemas.microsoft.com/office/2007/relationships/hdphoto" Target="../media/hdphoto4.wdp"/><Relationship Id="rId9" Type="http://schemas.microsoft.com/office/2007/relationships/hdphoto" Target="../media/hdphoto5.wdp"/></Relationships>
</file>

<file path=xl/drawings/_rels/drawing9.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7.png"/><Relationship Id="rId7" Type="http://schemas.openxmlformats.org/officeDocument/2006/relationships/hyperlink" Target="#help!A1"/><Relationship Id="rId2" Type="http://schemas.openxmlformats.org/officeDocument/2006/relationships/hyperlink" Target="#'Working Sheet'!A1"/><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hyperlink" Target="#graph!A1"/><Relationship Id="rId4" Type="http://schemas.microsoft.com/office/2007/relationships/hdphoto" Target="../media/hdphoto4.wdp"/><Relationship Id="rId9" Type="http://schemas.microsoft.com/office/2007/relationships/hdphoto" Target="../media/hdphoto5.wdp"/></Relationships>
</file>

<file path=xl/drawings/_rels/drawing10.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7.png"/><Relationship Id="rId7" Type="http://schemas.openxmlformats.org/officeDocument/2006/relationships/hyperlink" Target="#help!A1"/><Relationship Id="rId2" Type="http://schemas.openxmlformats.org/officeDocument/2006/relationships/hyperlink" Target="#'Working Sheet'!A1"/><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hyperlink" Target="#graph!A1"/><Relationship Id="rId4" Type="http://schemas.microsoft.com/office/2007/relationships/hdphoto" Target="../media/hdphoto4.wdp"/><Relationship Id="rId9" Type="http://schemas.microsoft.com/office/2007/relationships/hdphoto" Target="../media/hdphoto5.wdp"/></Relationships>
</file>

<file path=xl/drawings/_rels/drawing11.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7.png"/><Relationship Id="rId7" Type="http://schemas.openxmlformats.org/officeDocument/2006/relationships/hyperlink" Target="#help!A1"/><Relationship Id="rId2" Type="http://schemas.openxmlformats.org/officeDocument/2006/relationships/hyperlink" Target="#'Working Sheet'!A1"/><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hyperlink" Target="#graph!A1"/><Relationship Id="rId4" Type="http://schemas.microsoft.com/office/2007/relationships/hdphoto" Target="../media/hdphoto4.wdp"/><Relationship Id="rId9" Type="http://schemas.microsoft.com/office/2007/relationships/hdphoto" Target="../media/hdphoto5.wdp"/></Relationships>
</file>

<file path=xl/drawings/_rels/drawing1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7.png"/><Relationship Id="rId7" Type="http://schemas.openxmlformats.org/officeDocument/2006/relationships/hyperlink" Target="#help!A1"/><Relationship Id="rId2" Type="http://schemas.openxmlformats.org/officeDocument/2006/relationships/hyperlink" Target="#'Working Sheet'!A1"/><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hyperlink" Target="#graph!A1"/><Relationship Id="rId4" Type="http://schemas.microsoft.com/office/2007/relationships/hdphoto" Target="../media/hdphoto4.wdp"/><Relationship Id="rId9" Type="http://schemas.microsoft.com/office/2007/relationships/hdphoto" Target="../media/hdphoto5.wdp"/></Relationships>
</file>

<file path=xl/drawings/_rels/drawing1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7.png"/><Relationship Id="rId7" Type="http://schemas.openxmlformats.org/officeDocument/2006/relationships/hyperlink" Target="#help!A1"/><Relationship Id="rId2" Type="http://schemas.openxmlformats.org/officeDocument/2006/relationships/hyperlink" Target="#'Working Sheet'!A1"/><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hyperlink" Target="#graph!A1"/><Relationship Id="rId4" Type="http://schemas.microsoft.com/office/2007/relationships/hdphoto" Target="../media/hdphoto4.wdp"/><Relationship Id="rId9" Type="http://schemas.microsoft.com/office/2007/relationships/hdphoto" Target="../media/hdphoto5.wdp"/></Relationships>
</file>

<file path=xl/drawings/_rels/drawing14.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7.png"/><Relationship Id="rId7" Type="http://schemas.openxmlformats.org/officeDocument/2006/relationships/hyperlink" Target="#help!A1"/><Relationship Id="rId2" Type="http://schemas.openxmlformats.org/officeDocument/2006/relationships/hyperlink" Target="#'Working Sheet'!A1"/><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hyperlink" Target="#graph!A1"/><Relationship Id="rId4" Type="http://schemas.microsoft.com/office/2007/relationships/hdphoto" Target="../media/hdphoto4.wdp"/><Relationship Id="rId9" Type="http://schemas.microsoft.com/office/2007/relationships/hdphoto" Target="../media/hdphoto5.wdp"/></Relationships>
</file>

<file path=xl/drawings/_rels/drawing15.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7.png"/><Relationship Id="rId7" Type="http://schemas.openxmlformats.org/officeDocument/2006/relationships/hyperlink" Target="#help!A1"/><Relationship Id="rId2" Type="http://schemas.openxmlformats.org/officeDocument/2006/relationships/hyperlink" Target="#'Working Sheet'!A1"/><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hyperlink" Target="#graph!A1"/><Relationship Id="rId4" Type="http://schemas.microsoft.com/office/2007/relationships/hdphoto" Target="../media/hdphoto4.wdp"/><Relationship Id="rId9" Type="http://schemas.microsoft.com/office/2007/relationships/hdphoto" Target="../media/hdphoto5.wdp"/></Relationships>
</file>

<file path=xl/drawings/_rels/drawing16.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7.png"/><Relationship Id="rId7" Type="http://schemas.openxmlformats.org/officeDocument/2006/relationships/hyperlink" Target="#help!A1"/><Relationship Id="rId2" Type="http://schemas.openxmlformats.org/officeDocument/2006/relationships/hyperlink" Target="#'Working Sheet'!A1"/><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hyperlink" Target="#graph!A1"/><Relationship Id="rId4" Type="http://schemas.microsoft.com/office/2007/relationships/hdphoto" Target="../media/hdphoto4.wdp"/><Relationship Id="rId9" Type="http://schemas.microsoft.com/office/2007/relationships/hdphoto" Target="../media/hdphoto5.wdp"/></Relationships>
</file>

<file path=xl/drawings/_rels/drawing17.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7.png"/><Relationship Id="rId7" Type="http://schemas.openxmlformats.org/officeDocument/2006/relationships/hyperlink" Target="#help!A1"/><Relationship Id="rId2" Type="http://schemas.openxmlformats.org/officeDocument/2006/relationships/hyperlink" Target="#'Working Sheet'!A1"/><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hyperlink" Target="#graph!A1"/><Relationship Id="rId4" Type="http://schemas.microsoft.com/office/2007/relationships/hdphoto" Target="../media/hdphoto4.wdp"/><Relationship Id="rId9" Type="http://schemas.microsoft.com/office/2007/relationships/hdphoto" Target="../media/hdphoto5.wdp"/></Relationships>
</file>

<file path=xl/drawings/_rels/drawing18.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7.png"/><Relationship Id="rId7" Type="http://schemas.openxmlformats.org/officeDocument/2006/relationships/hyperlink" Target="#help!A1"/><Relationship Id="rId2" Type="http://schemas.openxmlformats.org/officeDocument/2006/relationships/hyperlink" Target="#'Working Sheet'!A1"/><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hyperlink" Target="#graph!A1"/><Relationship Id="rId4" Type="http://schemas.microsoft.com/office/2007/relationships/hdphoto" Target="../media/hdphoto4.wdp"/><Relationship Id="rId9" Type="http://schemas.microsoft.com/office/2007/relationships/hdphoto" Target="../media/hdphoto5.wdp"/></Relationships>
</file>

<file path=xl/drawings/_rels/drawing19.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7.png"/><Relationship Id="rId7" Type="http://schemas.openxmlformats.org/officeDocument/2006/relationships/hyperlink" Target="#help!A1"/><Relationship Id="rId2" Type="http://schemas.openxmlformats.org/officeDocument/2006/relationships/hyperlink" Target="#'Working Sheet'!A1"/><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hyperlink" Target="#graph!A1"/><Relationship Id="rId4" Type="http://schemas.microsoft.com/office/2007/relationships/hdphoto" Target="../media/hdphoto4.wdp"/><Relationship Id="rId9" Type="http://schemas.microsoft.com/office/2007/relationships/hdphoto" Target="../media/hdphoto5.wdp"/></Relationships>
</file>

<file path=xl/drawings/_rels/drawing20.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7.png"/><Relationship Id="rId7" Type="http://schemas.openxmlformats.org/officeDocument/2006/relationships/hyperlink" Target="#help!A1"/><Relationship Id="rId2" Type="http://schemas.openxmlformats.org/officeDocument/2006/relationships/hyperlink" Target="#'Working Sheet'!A1"/><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hyperlink" Target="#graph!A1"/><Relationship Id="rId4" Type="http://schemas.microsoft.com/office/2007/relationships/hdphoto" Target="../media/hdphoto4.wdp"/><Relationship Id="rId9" Type="http://schemas.microsoft.com/office/2007/relationships/hdphoto" Target="../media/hdphoto5.wdp"/></Relationships>
</file>

<file path=xl/drawings/_rels/drawing21.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7.png"/><Relationship Id="rId7" Type="http://schemas.openxmlformats.org/officeDocument/2006/relationships/hyperlink" Target="#help!A1"/><Relationship Id="rId2" Type="http://schemas.openxmlformats.org/officeDocument/2006/relationships/hyperlink" Target="#'Working Sheet'!A1"/><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hyperlink" Target="#graph!A1"/><Relationship Id="rId4" Type="http://schemas.microsoft.com/office/2007/relationships/hdphoto" Target="../media/hdphoto4.wdp"/><Relationship Id="rId9" Type="http://schemas.microsoft.com/office/2007/relationships/hdphoto" Target="../media/hdphoto5.wdp"/></Relationships>
</file>

<file path=xl/drawings/_rels/drawing2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7.png"/><Relationship Id="rId7" Type="http://schemas.openxmlformats.org/officeDocument/2006/relationships/hyperlink" Target="#help!A1"/><Relationship Id="rId2" Type="http://schemas.openxmlformats.org/officeDocument/2006/relationships/hyperlink" Target="#'Working Sheet'!A1"/><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hyperlink" Target="#graph!A1"/><Relationship Id="rId4" Type="http://schemas.microsoft.com/office/2007/relationships/hdphoto" Target="../media/hdphoto4.wdp"/><Relationship Id="rId9" Type="http://schemas.microsoft.com/office/2007/relationships/hdphoto" Target="../media/hdphoto5.wdp"/></Relationships>
</file>

<file path=xl/drawings/_rels/drawing2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7.png"/><Relationship Id="rId7" Type="http://schemas.openxmlformats.org/officeDocument/2006/relationships/hyperlink" Target="#help!A1"/><Relationship Id="rId2" Type="http://schemas.openxmlformats.org/officeDocument/2006/relationships/hyperlink" Target="#'Working Sheet'!A1"/><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hyperlink" Target="#graph!A1"/><Relationship Id="rId4" Type="http://schemas.microsoft.com/office/2007/relationships/hdphoto" Target="../media/hdphoto4.wdp"/><Relationship Id="rId9" Type="http://schemas.microsoft.com/office/2007/relationships/hdphoto" Target="../media/hdphoto5.wdp"/></Relationships>
</file>

<file path=xl/drawings/_rels/drawing24.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7.png"/><Relationship Id="rId7" Type="http://schemas.openxmlformats.org/officeDocument/2006/relationships/hyperlink" Target="#help!A1"/><Relationship Id="rId2" Type="http://schemas.openxmlformats.org/officeDocument/2006/relationships/hyperlink" Target="#'Working Sheet'!A1"/><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hyperlink" Target="#graph!A1"/><Relationship Id="rId4" Type="http://schemas.microsoft.com/office/2007/relationships/hdphoto" Target="../media/hdphoto4.wdp"/><Relationship Id="rId9" Type="http://schemas.microsoft.com/office/2007/relationships/hdphoto" Target="../media/hdphoto5.wdp"/></Relationships>
</file>

<file path=xl/drawings/_rels/drawing25.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7.png"/><Relationship Id="rId7" Type="http://schemas.openxmlformats.org/officeDocument/2006/relationships/hyperlink" Target="#help!A1"/><Relationship Id="rId2" Type="http://schemas.openxmlformats.org/officeDocument/2006/relationships/hyperlink" Target="#'Working Sheet'!A1"/><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hyperlink" Target="#graph!A1"/><Relationship Id="rId4" Type="http://schemas.microsoft.com/office/2007/relationships/hdphoto" Target="../media/hdphoto4.wdp"/><Relationship Id="rId9" Type="http://schemas.microsoft.com/office/2007/relationships/hdphoto" Target="../media/hdphoto5.wdp"/></Relationships>
</file>

<file path=xl/drawings/_rels/drawing26.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7.png"/><Relationship Id="rId7" Type="http://schemas.openxmlformats.org/officeDocument/2006/relationships/hyperlink" Target="#help!A1"/><Relationship Id="rId2" Type="http://schemas.openxmlformats.org/officeDocument/2006/relationships/hyperlink" Target="#'Working Sheet'!A1"/><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hyperlink" Target="#graph!A1"/><Relationship Id="rId4" Type="http://schemas.microsoft.com/office/2007/relationships/hdphoto" Target="../media/hdphoto4.wdp"/><Relationship Id="rId9" Type="http://schemas.microsoft.com/office/2007/relationships/hdphoto" Target="../media/hdphoto5.wdp"/></Relationships>
</file>

<file path=xl/drawings/_rels/drawing27.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chart" Target="../charts/chart4.xml"/><Relationship Id="rId3" Type="http://schemas.openxmlformats.org/officeDocument/2006/relationships/image" Target="../media/image7.png"/><Relationship Id="rId7" Type="http://schemas.openxmlformats.org/officeDocument/2006/relationships/hyperlink" Target="#help!A1"/><Relationship Id="rId12" Type="http://schemas.openxmlformats.org/officeDocument/2006/relationships/chart" Target="../charts/chart3.xml"/><Relationship Id="rId2" Type="http://schemas.openxmlformats.org/officeDocument/2006/relationships/hyperlink" Target="#'Working Sheet'!A1"/><Relationship Id="rId1" Type="http://schemas.openxmlformats.org/officeDocument/2006/relationships/image" Target="../media/image3.jpeg"/><Relationship Id="rId6" Type="http://schemas.openxmlformats.org/officeDocument/2006/relationships/image" Target="../media/image8.jpeg"/><Relationship Id="rId11" Type="http://schemas.openxmlformats.org/officeDocument/2006/relationships/chart" Target="../charts/chart2.xml"/><Relationship Id="rId5" Type="http://schemas.openxmlformats.org/officeDocument/2006/relationships/hyperlink" Target="#graph!A1"/><Relationship Id="rId10" Type="http://schemas.openxmlformats.org/officeDocument/2006/relationships/chart" Target="../charts/chart1.xml"/><Relationship Id="rId4" Type="http://schemas.microsoft.com/office/2007/relationships/hdphoto" Target="../media/hdphoto4.wdp"/><Relationship Id="rId9" Type="http://schemas.microsoft.com/office/2007/relationships/hdphoto" Target="../media/hdphoto5.wdp"/></Relationships>
</file>

<file path=xl/drawings/_rels/drawing28.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11.png"/><Relationship Id="rId7" Type="http://schemas.openxmlformats.org/officeDocument/2006/relationships/hyperlink" Target="#help!A1"/><Relationship Id="rId2" Type="http://schemas.openxmlformats.org/officeDocument/2006/relationships/hyperlink" Target="#'Working Sheet'!A1"/><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hyperlink" Target="#graph!A1"/><Relationship Id="rId4" Type="http://schemas.microsoft.com/office/2007/relationships/hdphoto" Target="../media/hdphoto6.wdp"/><Relationship Id="rId9" Type="http://schemas.microsoft.com/office/2007/relationships/hdphoto" Target="../media/hdphoto7.wdp"/></Relationships>
</file>

<file path=xl/drawings/drawing1.xml><?xml version="1.0" encoding="utf-8"?>
<xdr:wsDr xmlns:xdr="http://schemas.openxmlformats.org/drawingml/2006/spreadsheetDrawing" xmlns:a="http://schemas.openxmlformats.org/drawingml/2006/main">
  <xdr:twoCellAnchor>
    <xdr:from>
      <xdr:col>0</xdr:col>
      <xdr:colOff>304800</xdr:colOff>
      <xdr:row>1</xdr:row>
      <xdr:rowOff>123827</xdr:rowOff>
    </xdr:from>
    <xdr:to>
      <xdr:col>2</xdr:col>
      <xdr:colOff>155448</xdr:colOff>
      <xdr:row>3</xdr:row>
      <xdr:rowOff>62867</xdr:rowOff>
    </xdr:to>
    <xdr:sp macro="" textlink="">
      <xdr:nvSpPr>
        <xdr:cNvPr id="2" name="Flowchart: Alternate Process 1">
          <a:hlinkClick xmlns:r="http://schemas.openxmlformats.org/officeDocument/2006/relationships" r:id="rId1"/>
          <a:extLst>
            <a:ext uri="{FF2B5EF4-FFF2-40B4-BE49-F238E27FC236}">
              <a16:creationId xmlns:a16="http://schemas.microsoft.com/office/drawing/2014/main" id="{00000000-0008-0000-0000-000002000000}"/>
            </a:ext>
          </a:extLst>
        </xdr:cNvPr>
        <xdr:cNvSpPr/>
      </xdr:nvSpPr>
      <xdr:spPr>
        <a:xfrm>
          <a:off x="304800" y="314327"/>
          <a:ext cx="1069848" cy="320040"/>
        </a:xfrm>
        <a:prstGeom prst="flowChartAlternateProcess">
          <a:avLst/>
        </a:prstGeom>
        <a:gradFill flip="none" rotWithShape="1">
          <a:gsLst>
            <a:gs pos="0">
              <a:srgbClr val="92D050"/>
            </a:gs>
            <a:gs pos="54000">
              <a:schemeClr val="bg1"/>
            </a:gs>
            <a:gs pos="100000">
              <a:schemeClr val="accent6">
                <a:lumMod val="75000"/>
              </a:schemeClr>
            </a:gs>
          </a:gsLst>
          <a:lin ang="135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en-US" sz="8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Daily</a:t>
          </a:r>
          <a:r>
            <a:rPr lang="en-US" sz="800" b="1" cap="all" spc="0" baseline="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 Sales(Jan)</a:t>
          </a:r>
          <a:endParaRPr lang="en-US" sz="105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endParaRPr>
        </a:p>
      </xdr:txBody>
    </xdr:sp>
    <xdr:clientData/>
  </xdr:twoCellAnchor>
  <xdr:twoCellAnchor>
    <xdr:from>
      <xdr:col>0</xdr:col>
      <xdr:colOff>295275</xdr:colOff>
      <xdr:row>4</xdr:row>
      <xdr:rowOff>133350</xdr:rowOff>
    </xdr:from>
    <xdr:to>
      <xdr:col>2</xdr:col>
      <xdr:colOff>145923</xdr:colOff>
      <xdr:row>6</xdr:row>
      <xdr:rowOff>72390</xdr:rowOff>
    </xdr:to>
    <xdr:sp macro="" textlink="">
      <xdr:nvSpPr>
        <xdr:cNvPr id="3" name="Flowchart: Alternate Process 2">
          <a:hlinkClick xmlns:r="http://schemas.openxmlformats.org/officeDocument/2006/relationships" r:id="rId2"/>
          <a:extLst>
            <a:ext uri="{FF2B5EF4-FFF2-40B4-BE49-F238E27FC236}">
              <a16:creationId xmlns:a16="http://schemas.microsoft.com/office/drawing/2014/main" id="{00000000-0008-0000-0000-000003000000}"/>
            </a:ext>
          </a:extLst>
        </xdr:cNvPr>
        <xdr:cNvSpPr/>
      </xdr:nvSpPr>
      <xdr:spPr>
        <a:xfrm>
          <a:off x="295275" y="895350"/>
          <a:ext cx="1069848" cy="320040"/>
        </a:xfrm>
        <a:prstGeom prst="flowChartAlternateProcess">
          <a:avLst/>
        </a:prstGeom>
        <a:gradFill flip="none" rotWithShape="1">
          <a:gsLst>
            <a:gs pos="0">
              <a:srgbClr val="92D050"/>
            </a:gs>
            <a:gs pos="54000">
              <a:schemeClr val="bg1"/>
            </a:gs>
            <a:gs pos="100000">
              <a:schemeClr val="accent6">
                <a:lumMod val="75000"/>
              </a:schemeClr>
            </a:gs>
          </a:gsLst>
          <a:lin ang="135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en-US" sz="8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D.S.(</a:t>
          </a:r>
          <a:r>
            <a:rPr lang="en-US" sz="800" b="1" cap="all" spc="0" baseline="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February)</a:t>
          </a:r>
          <a:endParaRPr lang="en-US" sz="10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endParaRPr>
        </a:p>
      </xdr:txBody>
    </xdr:sp>
    <xdr:clientData/>
  </xdr:twoCellAnchor>
  <xdr:twoCellAnchor>
    <xdr:from>
      <xdr:col>5</xdr:col>
      <xdr:colOff>57151</xdr:colOff>
      <xdr:row>0</xdr:row>
      <xdr:rowOff>123824</xdr:rowOff>
    </xdr:from>
    <xdr:to>
      <xdr:col>16</xdr:col>
      <xdr:colOff>142875</xdr:colOff>
      <xdr:row>4</xdr:row>
      <xdr:rowOff>133349</xdr:rowOff>
    </xdr:to>
    <xdr:sp macro="" textlink="">
      <xdr:nvSpPr>
        <xdr:cNvPr id="5" name="Rounded Rectangle 4">
          <a:extLst>
            <a:ext uri="{FF2B5EF4-FFF2-40B4-BE49-F238E27FC236}">
              <a16:creationId xmlns:a16="http://schemas.microsoft.com/office/drawing/2014/main" id="{00000000-0008-0000-0000-000005000000}"/>
            </a:ext>
          </a:extLst>
        </xdr:cNvPr>
        <xdr:cNvSpPr/>
      </xdr:nvSpPr>
      <xdr:spPr>
        <a:xfrm>
          <a:off x="3105151" y="123824"/>
          <a:ext cx="6791324" cy="771525"/>
        </a:xfrm>
        <a:prstGeom prst="roundRect">
          <a:avLst/>
        </a:prstGeom>
        <a:blipFill dpi="0" rotWithShape="1">
          <a:blip xmlns:r="http://schemas.openxmlformats.org/officeDocument/2006/relationships" r:embed="rId3">
            <a:extLst>
              <a:ext uri="{BEBA8EAE-BF5A-486C-A8C5-ECC9F3942E4B}">
                <a14:imgProps xmlns:a14="http://schemas.microsoft.com/office/drawing/2010/main">
                  <a14:imgLayer r:embed="rId4">
                    <a14:imgEffect>
                      <a14:sharpenSoften amount="50000"/>
                    </a14:imgEffect>
                  </a14:imgLayer>
                </a14:imgProps>
              </a:ext>
              <a:ext uri="{28A0092B-C50C-407E-A947-70E740481C1C}">
                <a14:useLocalDpi xmlns:a14="http://schemas.microsoft.com/office/drawing/2010/main" val="0"/>
              </a:ext>
            </a:extLst>
          </a:blip>
          <a:srcRect/>
          <a:stretch>
            <a:fillRect/>
          </a:stretch>
        </a:blipFill>
        <a:ln>
          <a:noFill/>
        </a:ln>
        <a:effectLst>
          <a:innerShdw blurRad="114300">
            <a:prstClr val="black"/>
          </a:innerShdw>
        </a:effectLst>
        <a:scene3d>
          <a:camera prst="orthographicFront">
            <a:rot lat="0" lon="900000" rev="0"/>
          </a:camera>
          <a:lightRig rig="threePt" dir="t"/>
        </a:scene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scene3d>
            <a:camera prst="orthographicFront"/>
            <a:lightRig rig="brightRoom" dir="t"/>
          </a:scene3d>
          <a:sp3d contourW="6350" prstMaterial="plastic">
            <a:bevelT w="20320" h="20320" prst="angle"/>
            <a:contourClr>
              <a:schemeClr val="accent1">
                <a:tint val="100000"/>
                <a:shade val="100000"/>
                <a:hueMod val="100000"/>
                <a:satMod val="100000"/>
              </a:schemeClr>
            </a:contourClr>
          </a:sp3d>
        </a:bodyPr>
        <a:lstStyle/>
        <a:p>
          <a:pPr marL="0" marR="0" algn="ctr">
            <a:lnSpc>
              <a:spcPct val="115000"/>
            </a:lnSpc>
            <a:spcBef>
              <a:spcPts val="0"/>
            </a:spcBef>
            <a:spcAft>
              <a:spcPts val="1000"/>
            </a:spcAft>
          </a:pPr>
          <a:r>
            <a:rPr lang="en-US" sz="1600" b="1" u="sng" spc="300">
              <a:ln w="5715" cap="flat" cmpd="sng" algn="ctr">
                <a:solidFill>
                  <a:srgbClr val="F4F6F9"/>
                </a:solidFill>
                <a:prstDash val="solid"/>
                <a:miter lim="0"/>
              </a:ln>
              <a:solidFill>
                <a:srgbClr val="00B0F0"/>
              </a:solidFill>
              <a:effectLst>
                <a:glow rad="63500">
                  <a:schemeClr val="accent1">
                    <a:satMod val="175000"/>
                    <a:alpha val="40000"/>
                  </a:schemeClr>
                </a:glow>
                <a:outerShdw blurRad="50800" dist="38100" dir="10800000" algn="r">
                  <a:srgbClr val="000000">
                    <a:alpha val="40000"/>
                  </a:srgbClr>
                </a:outerShdw>
                <a:reflection blurRad="6350" stA="55000" endA="50" endPos="85000" dist="60007" dir="5400000" sy="-100000" algn="bl"/>
              </a:effectLst>
              <a:ea typeface="Calibri"/>
              <a:cs typeface="Times New Roman"/>
            </a:rPr>
            <a:t>SHARMA MEDICAL SHOP</a:t>
          </a:r>
          <a:endParaRPr lang="en-US" sz="1600" u="sng">
            <a:solidFill>
              <a:srgbClr val="00B0F0"/>
            </a:solidFill>
            <a:effectLst/>
            <a:ea typeface="Calibri"/>
            <a:cs typeface="Times New Roman"/>
          </a:endParaRPr>
        </a:p>
      </xdr:txBody>
    </xdr:sp>
    <xdr:clientData/>
  </xdr:twoCellAnchor>
  <xdr:twoCellAnchor>
    <xdr:from>
      <xdr:col>0</xdr:col>
      <xdr:colOff>285750</xdr:colOff>
      <xdr:row>7</xdr:row>
      <xdr:rowOff>114300</xdr:rowOff>
    </xdr:from>
    <xdr:to>
      <xdr:col>2</xdr:col>
      <xdr:colOff>136398</xdr:colOff>
      <xdr:row>9</xdr:row>
      <xdr:rowOff>53340</xdr:rowOff>
    </xdr:to>
    <xdr:sp macro="" textlink="">
      <xdr:nvSpPr>
        <xdr:cNvPr id="6" name="Flowchart: Alternate Process 5">
          <a:hlinkClick xmlns:r="http://schemas.openxmlformats.org/officeDocument/2006/relationships" r:id="rId5"/>
          <a:extLst>
            <a:ext uri="{FF2B5EF4-FFF2-40B4-BE49-F238E27FC236}">
              <a16:creationId xmlns:a16="http://schemas.microsoft.com/office/drawing/2014/main" id="{00000000-0008-0000-0000-000006000000}"/>
            </a:ext>
          </a:extLst>
        </xdr:cNvPr>
        <xdr:cNvSpPr/>
      </xdr:nvSpPr>
      <xdr:spPr>
        <a:xfrm>
          <a:off x="285750" y="1447800"/>
          <a:ext cx="1069848" cy="320040"/>
        </a:xfrm>
        <a:prstGeom prst="flowChartAlternateProcess">
          <a:avLst/>
        </a:prstGeom>
        <a:gradFill flip="none" rotWithShape="1">
          <a:gsLst>
            <a:gs pos="0">
              <a:srgbClr val="92D050"/>
            </a:gs>
            <a:gs pos="54000">
              <a:schemeClr val="bg1"/>
            </a:gs>
            <a:gs pos="100000">
              <a:schemeClr val="accent6">
                <a:lumMod val="75000"/>
              </a:schemeClr>
            </a:gs>
          </a:gsLst>
          <a:lin ang="135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en-US" sz="10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D.S.(mARCH)</a:t>
          </a:r>
        </a:p>
      </xdr:txBody>
    </xdr:sp>
    <xdr:clientData/>
  </xdr:twoCellAnchor>
  <xdr:twoCellAnchor>
    <xdr:from>
      <xdr:col>0</xdr:col>
      <xdr:colOff>295276</xdr:colOff>
      <xdr:row>10</xdr:row>
      <xdr:rowOff>152399</xdr:rowOff>
    </xdr:from>
    <xdr:to>
      <xdr:col>2</xdr:col>
      <xdr:colOff>142876</xdr:colOff>
      <xdr:row>12</xdr:row>
      <xdr:rowOff>95248</xdr:rowOff>
    </xdr:to>
    <xdr:sp macro="" textlink="">
      <xdr:nvSpPr>
        <xdr:cNvPr id="7" name="Flowchart: Alternate Process 6">
          <a:hlinkClick xmlns:r="http://schemas.openxmlformats.org/officeDocument/2006/relationships" r:id="rId6"/>
          <a:extLst>
            <a:ext uri="{FF2B5EF4-FFF2-40B4-BE49-F238E27FC236}">
              <a16:creationId xmlns:a16="http://schemas.microsoft.com/office/drawing/2014/main" id="{00000000-0008-0000-0000-000007000000}"/>
            </a:ext>
          </a:extLst>
        </xdr:cNvPr>
        <xdr:cNvSpPr/>
      </xdr:nvSpPr>
      <xdr:spPr>
        <a:xfrm>
          <a:off x="295276" y="2057399"/>
          <a:ext cx="1066800" cy="323849"/>
        </a:xfrm>
        <a:prstGeom prst="flowChartAlternateProcess">
          <a:avLst/>
        </a:prstGeom>
        <a:gradFill flip="none" rotWithShape="1">
          <a:gsLst>
            <a:gs pos="0">
              <a:srgbClr val="92D050"/>
            </a:gs>
            <a:gs pos="54000">
              <a:schemeClr val="bg1"/>
            </a:gs>
            <a:gs pos="100000">
              <a:schemeClr val="accent6">
                <a:lumMod val="75000"/>
              </a:schemeClr>
            </a:gs>
          </a:gsLst>
          <a:lin ang="135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en-US" sz="10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D.S.(aPRAIL)</a:t>
          </a:r>
        </a:p>
      </xdr:txBody>
    </xdr:sp>
    <xdr:clientData/>
  </xdr:twoCellAnchor>
  <xdr:twoCellAnchor>
    <xdr:from>
      <xdr:col>0</xdr:col>
      <xdr:colOff>314325</xdr:colOff>
      <xdr:row>13</xdr:row>
      <xdr:rowOff>142875</xdr:rowOff>
    </xdr:from>
    <xdr:to>
      <xdr:col>2</xdr:col>
      <xdr:colOff>161925</xdr:colOff>
      <xdr:row>15</xdr:row>
      <xdr:rowOff>85724</xdr:rowOff>
    </xdr:to>
    <xdr:sp macro="" textlink="">
      <xdr:nvSpPr>
        <xdr:cNvPr id="11" name="Flowchart: Alternate Process 10">
          <a:hlinkClick xmlns:r="http://schemas.openxmlformats.org/officeDocument/2006/relationships" r:id="rId7"/>
          <a:extLst>
            <a:ext uri="{FF2B5EF4-FFF2-40B4-BE49-F238E27FC236}">
              <a16:creationId xmlns:a16="http://schemas.microsoft.com/office/drawing/2014/main" id="{00000000-0008-0000-0000-00000B000000}"/>
            </a:ext>
          </a:extLst>
        </xdr:cNvPr>
        <xdr:cNvSpPr/>
      </xdr:nvSpPr>
      <xdr:spPr>
        <a:xfrm>
          <a:off x="314325" y="2619375"/>
          <a:ext cx="1066800" cy="323849"/>
        </a:xfrm>
        <a:prstGeom prst="flowChartAlternateProcess">
          <a:avLst/>
        </a:prstGeom>
        <a:gradFill flip="none" rotWithShape="1">
          <a:gsLst>
            <a:gs pos="0">
              <a:srgbClr val="92D050"/>
            </a:gs>
            <a:gs pos="54000">
              <a:schemeClr val="bg1"/>
            </a:gs>
            <a:gs pos="100000">
              <a:schemeClr val="accent6">
                <a:lumMod val="75000"/>
              </a:schemeClr>
            </a:gs>
          </a:gsLst>
          <a:lin ang="135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en-US" sz="10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D.S.(MAY)</a:t>
          </a:r>
        </a:p>
      </xdr:txBody>
    </xdr:sp>
    <xdr:clientData/>
  </xdr:twoCellAnchor>
  <xdr:twoCellAnchor>
    <xdr:from>
      <xdr:col>0</xdr:col>
      <xdr:colOff>323850</xdr:colOff>
      <xdr:row>17</xdr:row>
      <xdr:rowOff>0</xdr:rowOff>
    </xdr:from>
    <xdr:to>
      <xdr:col>2</xdr:col>
      <xdr:colOff>171450</xdr:colOff>
      <xdr:row>18</xdr:row>
      <xdr:rowOff>133349</xdr:rowOff>
    </xdr:to>
    <xdr:sp macro="" textlink="">
      <xdr:nvSpPr>
        <xdr:cNvPr id="12" name="Flowchart: Alternate Process 11">
          <a:hlinkClick xmlns:r="http://schemas.openxmlformats.org/officeDocument/2006/relationships" r:id="rId8"/>
          <a:extLst>
            <a:ext uri="{FF2B5EF4-FFF2-40B4-BE49-F238E27FC236}">
              <a16:creationId xmlns:a16="http://schemas.microsoft.com/office/drawing/2014/main" id="{00000000-0008-0000-0000-00000C000000}"/>
            </a:ext>
          </a:extLst>
        </xdr:cNvPr>
        <xdr:cNvSpPr/>
      </xdr:nvSpPr>
      <xdr:spPr>
        <a:xfrm>
          <a:off x="323850" y="3238500"/>
          <a:ext cx="1066800" cy="323849"/>
        </a:xfrm>
        <a:prstGeom prst="flowChartAlternateProcess">
          <a:avLst/>
        </a:prstGeom>
        <a:gradFill flip="none" rotWithShape="1">
          <a:gsLst>
            <a:gs pos="0">
              <a:srgbClr val="92D050"/>
            </a:gs>
            <a:gs pos="54000">
              <a:schemeClr val="bg1"/>
            </a:gs>
            <a:gs pos="100000">
              <a:schemeClr val="accent6">
                <a:lumMod val="75000"/>
              </a:schemeClr>
            </a:gs>
          </a:gsLst>
          <a:lin ang="135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en-US" sz="10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D.S.(JUNE)</a:t>
          </a:r>
        </a:p>
      </xdr:txBody>
    </xdr:sp>
    <xdr:clientData/>
  </xdr:twoCellAnchor>
  <xdr:twoCellAnchor>
    <xdr:from>
      <xdr:col>0</xdr:col>
      <xdr:colOff>295275</xdr:colOff>
      <xdr:row>20</xdr:row>
      <xdr:rowOff>66675</xdr:rowOff>
    </xdr:from>
    <xdr:to>
      <xdr:col>2</xdr:col>
      <xdr:colOff>142875</xdr:colOff>
      <xdr:row>22</xdr:row>
      <xdr:rowOff>9524</xdr:rowOff>
    </xdr:to>
    <xdr:sp macro="" textlink="">
      <xdr:nvSpPr>
        <xdr:cNvPr id="13" name="Flowchart: Alternate Process 12">
          <a:hlinkClick xmlns:r="http://schemas.openxmlformats.org/officeDocument/2006/relationships" r:id="rId9"/>
          <a:extLst>
            <a:ext uri="{FF2B5EF4-FFF2-40B4-BE49-F238E27FC236}">
              <a16:creationId xmlns:a16="http://schemas.microsoft.com/office/drawing/2014/main" id="{00000000-0008-0000-0000-00000D000000}"/>
            </a:ext>
          </a:extLst>
        </xdr:cNvPr>
        <xdr:cNvSpPr/>
      </xdr:nvSpPr>
      <xdr:spPr>
        <a:xfrm>
          <a:off x="295275" y="3876675"/>
          <a:ext cx="1066800" cy="323849"/>
        </a:xfrm>
        <a:prstGeom prst="flowChartAlternateProcess">
          <a:avLst/>
        </a:prstGeom>
        <a:gradFill flip="none" rotWithShape="1">
          <a:gsLst>
            <a:gs pos="0">
              <a:srgbClr val="92D050"/>
            </a:gs>
            <a:gs pos="54000">
              <a:schemeClr val="bg1"/>
            </a:gs>
            <a:gs pos="100000">
              <a:schemeClr val="accent6">
                <a:lumMod val="75000"/>
              </a:schemeClr>
            </a:gs>
          </a:gsLst>
          <a:lin ang="135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en-US" sz="10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D.S.(JULY)</a:t>
          </a:r>
        </a:p>
      </xdr:txBody>
    </xdr:sp>
    <xdr:clientData/>
  </xdr:twoCellAnchor>
  <xdr:twoCellAnchor>
    <xdr:from>
      <xdr:col>2</xdr:col>
      <xdr:colOff>504825</xdr:colOff>
      <xdr:row>4</xdr:row>
      <xdr:rowOff>95250</xdr:rowOff>
    </xdr:from>
    <xdr:to>
      <xdr:col>4</xdr:col>
      <xdr:colOff>352425</xdr:colOff>
      <xdr:row>6</xdr:row>
      <xdr:rowOff>38099</xdr:rowOff>
    </xdr:to>
    <xdr:sp macro="" textlink="">
      <xdr:nvSpPr>
        <xdr:cNvPr id="14" name="Flowchart: Alternate Process 13">
          <a:hlinkClick xmlns:r="http://schemas.openxmlformats.org/officeDocument/2006/relationships" r:id="rId10"/>
          <a:extLst>
            <a:ext uri="{FF2B5EF4-FFF2-40B4-BE49-F238E27FC236}">
              <a16:creationId xmlns:a16="http://schemas.microsoft.com/office/drawing/2014/main" id="{00000000-0008-0000-0000-00000E000000}"/>
            </a:ext>
          </a:extLst>
        </xdr:cNvPr>
        <xdr:cNvSpPr/>
      </xdr:nvSpPr>
      <xdr:spPr>
        <a:xfrm>
          <a:off x="1724025" y="857250"/>
          <a:ext cx="1066800" cy="323849"/>
        </a:xfrm>
        <a:prstGeom prst="flowChartAlternateProcess">
          <a:avLst/>
        </a:prstGeom>
        <a:gradFill flip="none" rotWithShape="1">
          <a:gsLst>
            <a:gs pos="0">
              <a:srgbClr val="92D050"/>
            </a:gs>
            <a:gs pos="54000">
              <a:schemeClr val="bg1"/>
            </a:gs>
            <a:gs pos="100000">
              <a:schemeClr val="accent6">
                <a:lumMod val="75000"/>
              </a:schemeClr>
            </a:gs>
          </a:gsLst>
          <a:lin ang="135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en-US" sz="10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D.S.(AUGUST)</a:t>
          </a:r>
        </a:p>
      </xdr:txBody>
    </xdr:sp>
    <xdr:clientData/>
  </xdr:twoCellAnchor>
  <xdr:twoCellAnchor>
    <xdr:from>
      <xdr:col>2</xdr:col>
      <xdr:colOff>504824</xdr:colOff>
      <xdr:row>7</xdr:row>
      <xdr:rowOff>57150</xdr:rowOff>
    </xdr:from>
    <xdr:to>
      <xdr:col>4</xdr:col>
      <xdr:colOff>355472</xdr:colOff>
      <xdr:row>8</xdr:row>
      <xdr:rowOff>186690</xdr:rowOff>
    </xdr:to>
    <xdr:sp macro="" textlink="">
      <xdr:nvSpPr>
        <xdr:cNvPr id="15" name="Flowchart: Alternate Process 14">
          <a:hlinkClick xmlns:r="http://schemas.openxmlformats.org/officeDocument/2006/relationships" r:id="rId11"/>
          <a:extLst>
            <a:ext uri="{FF2B5EF4-FFF2-40B4-BE49-F238E27FC236}">
              <a16:creationId xmlns:a16="http://schemas.microsoft.com/office/drawing/2014/main" id="{00000000-0008-0000-0000-00000F000000}"/>
            </a:ext>
          </a:extLst>
        </xdr:cNvPr>
        <xdr:cNvSpPr/>
      </xdr:nvSpPr>
      <xdr:spPr>
        <a:xfrm>
          <a:off x="1724024" y="1390650"/>
          <a:ext cx="1069848" cy="320040"/>
        </a:xfrm>
        <a:prstGeom prst="flowChartAlternateProcess">
          <a:avLst/>
        </a:prstGeom>
        <a:gradFill flip="none" rotWithShape="1">
          <a:gsLst>
            <a:gs pos="0">
              <a:srgbClr val="92D050"/>
            </a:gs>
            <a:gs pos="54000">
              <a:schemeClr val="bg1"/>
            </a:gs>
            <a:gs pos="100000">
              <a:schemeClr val="accent6">
                <a:lumMod val="75000"/>
              </a:schemeClr>
            </a:gs>
          </a:gsLst>
          <a:lin ang="135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en-US" sz="9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D.S.(SEPTEMBER)</a:t>
          </a:r>
        </a:p>
      </xdr:txBody>
    </xdr:sp>
    <xdr:clientData/>
  </xdr:twoCellAnchor>
  <xdr:twoCellAnchor>
    <xdr:from>
      <xdr:col>2</xdr:col>
      <xdr:colOff>533400</xdr:colOff>
      <xdr:row>10</xdr:row>
      <xdr:rowOff>104775</xdr:rowOff>
    </xdr:from>
    <xdr:to>
      <xdr:col>4</xdr:col>
      <xdr:colOff>384048</xdr:colOff>
      <xdr:row>12</xdr:row>
      <xdr:rowOff>43815</xdr:rowOff>
    </xdr:to>
    <xdr:sp macro="" textlink="">
      <xdr:nvSpPr>
        <xdr:cNvPr id="16" name="Flowchart: Alternate Process 15">
          <a:hlinkClick xmlns:r="http://schemas.openxmlformats.org/officeDocument/2006/relationships" r:id="rId12"/>
          <a:extLst>
            <a:ext uri="{FF2B5EF4-FFF2-40B4-BE49-F238E27FC236}">
              <a16:creationId xmlns:a16="http://schemas.microsoft.com/office/drawing/2014/main" id="{00000000-0008-0000-0000-000010000000}"/>
            </a:ext>
          </a:extLst>
        </xdr:cNvPr>
        <xdr:cNvSpPr/>
      </xdr:nvSpPr>
      <xdr:spPr>
        <a:xfrm>
          <a:off x="1752600" y="2009775"/>
          <a:ext cx="1069848" cy="320040"/>
        </a:xfrm>
        <a:prstGeom prst="flowChartAlternateProcess">
          <a:avLst/>
        </a:prstGeom>
        <a:gradFill flip="none" rotWithShape="1">
          <a:gsLst>
            <a:gs pos="0">
              <a:srgbClr val="92D050"/>
            </a:gs>
            <a:gs pos="54000">
              <a:schemeClr val="bg1"/>
            </a:gs>
            <a:gs pos="100000">
              <a:schemeClr val="accent6">
                <a:lumMod val="75000"/>
              </a:schemeClr>
            </a:gs>
          </a:gsLst>
          <a:lin ang="135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en-US" sz="9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D.S.(OCTOBER)</a:t>
          </a:r>
        </a:p>
      </xdr:txBody>
    </xdr:sp>
    <xdr:clientData/>
  </xdr:twoCellAnchor>
  <xdr:twoCellAnchor>
    <xdr:from>
      <xdr:col>2</xdr:col>
      <xdr:colOff>571500</xdr:colOff>
      <xdr:row>13</xdr:row>
      <xdr:rowOff>76200</xdr:rowOff>
    </xdr:from>
    <xdr:to>
      <xdr:col>4</xdr:col>
      <xdr:colOff>422148</xdr:colOff>
      <xdr:row>15</xdr:row>
      <xdr:rowOff>15240</xdr:rowOff>
    </xdr:to>
    <xdr:sp macro="" textlink="">
      <xdr:nvSpPr>
        <xdr:cNvPr id="17" name="Flowchart: Alternate Process 16">
          <a:hlinkClick xmlns:r="http://schemas.openxmlformats.org/officeDocument/2006/relationships" r:id="rId13"/>
          <a:extLst>
            <a:ext uri="{FF2B5EF4-FFF2-40B4-BE49-F238E27FC236}">
              <a16:creationId xmlns:a16="http://schemas.microsoft.com/office/drawing/2014/main" id="{00000000-0008-0000-0000-000011000000}"/>
            </a:ext>
          </a:extLst>
        </xdr:cNvPr>
        <xdr:cNvSpPr/>
      </xdr:nvSpPr>
      <xdr:spPr>
        <a:xfrm>
          <a:off x="1790700" y="2552700"/>
          <a:ext cx="1069848" cy="320040"/>
        </a:xfrm>
        <a:prstGeom prst="flowChartAlternateProcess">
          <a:avLst/>
        </a:prstGeom>
        <a:gradFill flip="none" rotWithShape="1">
          <a:gsLst>
            <a:gs pos="0">
              <a:srgbClr val="92D050"/>
            </a:gs>
            <a:gs pos="54000">
              <a:schemeClr val="bg1"/>
            </a:gs>
            <a:gs pos="100000">
              <a:schemeClr val="accent6">
                <a:lumMod val="75000"/>
              </a:schemeClr>
            </a:gs>
          </a:gsLst>
          <a:lin ang="135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en-US" sz="9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D.S.(NOVEMBER)</a:t>
          </a:r>
        </a:p>
      </xdr:txBody>
    </xdr:sp>
    <xdr:clientData/>
  </xdr:twoCellAnchor>
  <xdr:twoCellAnchor>
    <xdr:from>
      <xdr:col>2</xdr:col>
      <xdr:colOff>581025</xdr:colOff>
      <xdr:row>16</xdr:row>
      <xdr:rowOff>142875</xdr:rowOff>
    </xdr:from>
    <xdr:to>
      <xdr:col>4</xdr:col>
      <xdr:colOff>431673</xdr:colOff>
      <xdr:row>18</xdr:row>
      <xdr:rowOff>81915</xdr:rowOff>
    </xdr:to>
    <xdr:sp macro="" textlink="">
      <xdr:nvSpPr>
        <xdr:cNvPr id="18" name="Flowchart: Alternate Process 17">
          <a:hlinkClick xmlns:r="http://schemas.openxmlformats.org/officeDocument/2006/relationships" r:id="rId11"/>
          <a:extLst>
            <a:ext uri="{FF2B5EF4-FFF2-40B4-BE49-F238E27FC236}">
              <a16:creationId xmlns:a16="http://schemas.microsoft.com/office/drawing/2014/main" id="{00000000-0008-0000-0000-000012000000}"/>
            </a:ext>
          </a:extLst>
        </xdr:cNvPr>
        <xdr:cNvSpPr/>
      </xdr:nvSpPr>
      <xdr:spPr>
        <a:xfrm>
          <a:off x="1800225" y="3190875"/>
          <a:ext cx="1069848" cy="320040"/>
        </a:xfrm>
        <a:prstGeom prst="flowChartAlternateProcess">
          <a:avLst/>
        </a:prstGeom>
        <a:gradFill flip="none" rotWithShape="1">
          <a:gsLst>
            <a:gs pos="0">
              <a:srgbClr val="92D050"/>
            </a:gs>
            <a:gs pos="54000">
              <a:schemeClr val="bg1"/>
            </a:gs>
            <a:gs pos="100000">
              <a:schemeClr val="accent6">
                <a:lumMod val="75000"/>
              </a:schemeClr>
            </a:gs>
          </a:gsLst>
          <a:lin ang="135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en-US" sz="9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D.S.(DECEMBER)</a:t>
          </a:r>
        </a:p>
      </xdr:txBody>
    </xdr:sp>
    <xdr:clientData/>
  </xdr:twoCellAnchor>
  <xdr:twoCellAnchor>
    <xdr:from>
      <xdr:col>14</xdr:col>
      <xdr:colOff>571500</xdr:colOff>
      <xdr:row>6</xdr:row>
      <xdr:rowOff>0</xdr:rowOff>
    </xdr:from>
    <xdr:to>
      <xdr:col>16</xdr:col>
      <xdr:colOff>422148</xdr:colOff>
      <xdr:row>7</xdr:row>
      <xdr:rowOff>129540</xdr:rowOff>
    </xdr:to>
    <xdr:sp macro="" textlink="">
      <xdr:nvSpPr>
        <xdr:cNvPr id="20" name="Flowchart: Alternate Process 19">
          <a:hlinkClick xmlns:r="http://schemas.openxmlformats.org/officeDocument/2006/relationships" r:id="rId14"/>
          <a:extLst>
            <a:ext uri="{FF2B5EF4-FFF2-40B4-BE49-F238E27FC236}">
              <a16:creationId xmlns:a16="http://schemas.microsoft.com/office/drawing/2014/main" id="{00000000-0008-0000-0000-000014000000}"/>
            </a:ext>
          </a:extLst>
        </xdr:cNvPr>
        <xdr:cNvSpPr/>
      </xdr:nvSpPr>
      <xdr:spPr>
        <a:xfrm>
          <a:off x="9105900" y="1143000"/>
          <a:ext cx="1069848" cy="320040"/>
        </a:xfrm>
        <a:prstGeom prst="flowChartAlternateProcess">
          <a:avLst/>
        </a:prstGeom>
        <a:gradFill flip="none" rotWithShape="1">
          <a:gsLst>
            <a:gs pos="0">
              <a:srgbClr val="92D050"/>
            </a:gs>
            <a:gs pos="54000">
              <a:schemeClr val="bg1"/>
            </a:gs>
            <a:gs pos="100000">
              <a:schemeClr val="accent6">
                <a:lumMod val="75000"/>
              </a:schemeClr>
            </a:gs>
          </a:gsLst>
          <a:lin ang="13500000" scaled="1"/>
          <a:tileRect/>
        </a:gradFill>
        <a:ln>
          <a:noFill/>
        </a:ln>
        <a:effectLst/>
        <a:scene3d>
          <a:camera prst="orthographicFront">
            <a:rot lat="0" lon="0" rev="0"/>
          </a:camera>
          <a:lightRig rig="chilly" dir="t">
            <a:rot lat="0" lon="0" rev="18480000"/>
          </a:lightRig>
        </a:scene3d>
        <a:sp3d prstMaterial="clear">
          <a:bevelT h="635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en-US" sz="900" b="1" cap="all" spc="0">
              <a:ln w="0"/>
              <a:solidFill>
                <a:schemeClr val="bg1"/>
              </a:solidFill>
              <a:effectLst>
                <a:reflection blurRad="12700" stA="50000" endPos="50000" dist="5000" dir="5400000" sy="-100000" rotWithShape="0"/>
              </a:effectLst>
            </a:rPr>
            <a:t>ATTD.(JAN)</a:t>
          </a:r>
        </a:p>
      </xdr:txBody>
    </xdr:sp>
    <xdr:clientData/>
  </xdr:twoCellAnchor>
  <xdr:twoCellAnchor>
    <xdr:from>
      <xdr:col>15</xdr:col>
      <xdr:colOff>19050</xdr:colOff>
      <xdr:row>9</xdr:row>
      <xdr:rowOff>104775</xdr:rowOff>
    </xdr:from>
    <xdr:to>
      <xdr:col>16</xdr:col>
      <xdr:colOff>479298</xdr:colOff>
      <xdr:row>11</xdr:row>
      <xdr:rowOff>43815</xdr:rowOff>
    </xdr:to>
    <xdr:sp macro="" textlink="">
      <xdr:nvSpPr>
        <xdr:cNvPr id="22" name="Flowchart: Alternate Process 21">
          <a:hlinkClick xmlns:r="http://schemas.openxmlformats.org/officeDocument/2006/relationships" r:id="rId15"/>
          <a:extLst>
            <a:ext uri="{FF2B5EF4-FFF2-40B4-BE49-F238E27FC236}">
              <a16:creationId xmlns:a16="http://schemas.microsoft.com/office/drawing/2014/main" id="{00000000-0008-0000-0000-000016000000}"/>
            </a:ext>
          </a:extLst>
        </xdr:cNvPr>
        <xdr:cNvSpPr/>
      </xdr:nvSpPr>
      <xdr:spPr>
        <a:xfrm>
          <a:off x="9163050" y="1819275"/>
          <a:ext cx="1069848" cy="320040"/>
        </a:xfrm>
        <a:prstGeom prst="flowChartAlternateProcess">
          <a:avLst/>
        </a:prstGeom>
        <a:gradFill flip="none" rotWithShape="1">
          <a:gsLst>
            <a:gs pos="0">
              <a:srgbClr val="92D050"/>
            </a:gs>
            <a:gs pos="54000">
              <a:schemeClr val="bg1"/>
            </a:gs>
            <a:gs pos="100000">
              <a:schemeClr val="accent6">
                <a:lumMod val="75000"/>
              </a:schemeClr>
            </a:gs>
          </a:gsLst>
          <a:lin ang="13500000" scaled="1"/>
          <a:tileRect/>
        </a:gradFill>
        <a:ln>
          <a:noFill/>
        </a:ln>
        <a:effectLst/>
        <a:scene3d>
          <a:camera prst="orthographicFront">
            <a:rot lat="0" lon="0" rev="0"/>
          </a:camera>
          <a:lightRig rig="chilly" dir="t">
            <a:rot lat="0" lon="0" rev="18480000"/>
          </a:lightRig>
        </a:scene3d>
        <a:sp3d prstMaterial="clear">
          <a:bevelT h="635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en-US" sz="900" b="1" cap="all" spc="0">
              <a:ln w="0"/>
              <a:solidFill>
                <a:schemeClr val="bg1"/>
              </a:solidFill>
              <a:effectLst>
                <a:reflection blurRad="12700" stA="50000" endPos="50000" dist="5000" dir="5400000" sy="-100000" rotWithShape="0"/>
              </a:effectLst>
            </a:rPr>
            <a:t>ATTD.(FEB)</a:t>
          </a:r>
        </a:p>
      </xdr:txBody>
    </xdr:sp>
    <xdr:clientData/>
  </xdr:twoCellAnchor>
  <xdr:twoCellAnchor>
    <xdr:from>
      <xdr:col>15</xdr:col>
      <xdr:colOff>9525</xdr:colOff>
      <xdr:row>11</xdr:row>
      <xdr:rowOff>171450</xdr:rowOff>
    </xdr:from>
    <xdr:to>
      <xdr:col>16</xdr:col>
      <xdr:colOff>469773</xdr:colOff>
      <xdr:row>13</xdr:row>
      <xdr:rowOff>110490</xdr:rowOff>
    </xdr:to>
    <xdr:sp macro="" textlink="">
      <xdr:nvSpPr>
        <xdr:cNvPr id="23" name="Flowchart: Alternate Process 22">
          <a:hlinkClick xmlns:r="http://schemas.openxmlformats.org/officeDocument/2006/relationships" r:id="rId16"/>
          <a:extLst>
            <a:ext uri="{FF2B5EF4-FFF2-40B4-BE49-F238E27FC236}">
              <a16:creationId xmlns:a16="http://schemas.microsoft.com/office/drawing/2014/main" id="{00000000-0008-0000-0000-000017000000}"/>
            </a:ext>
          </a:extLst>
        </xdr:cNvPr>
        <xdr:cNvSpPr/>
      </xdr:nvSpPr>
      <xdr:spPr>
        <a:xfrm>
          <a:off x="9153525" y="2266950"/>
          <a:ext cx="1069848" cy="320040"/>
        </a:xfrm>
        <a:prstGeom prst="flowChartAlternateProcess">
          <a:avLst/>
        </a:prstGeom>
        <a:gradFill flip="none" rotWithShape="1">
          <a:gsLst>
            <a:gs pos="0">
              <a:srgbClr val="92D050"/>
            </a:gs>
            <a:gs pos="54000">
              <a:schemeClr val="bg1"/>
            </a:gs>
            <a:gs pos="100000">
              <a:schemeClr val="accent6">
                <a:lumMod val="75000"/>
              </a:schemeClr>
            </a:gs>
          </a:gsLst>
          <a:lin ang="13500000" scaled="1"/>
          <a:tileRect/>
        </a:gradFill>
        <a:ln>
          <a:noFill/>
        </a:ln>
        <a:effectLst/>
        <a:scene3d>
          <a:camera prst="orthographicFront">
            <a:rot lat="0" lon="0" rev="0"/>
          </a:camera>
          <a:lightRig rig="chilly" dir="t">
            <a:rot lat="0" lon="0" rev="18480000"/>
          </a:lightRig>
        </a:scene3d>
        <a:sp3d prstMaterial="clear">
          <a:bevelT h="635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en-US" sz="900" b="1" cap="all" spc="0">
              <a:ln w="0"/>
              <a:solidFill>
                <a:schemeClr val="bg1"/>
              </a:solidFill>
              <a:effectLst>
                <a:reflection blurRad="12700" stA="50000" endPos="50000" dist="5000" dir="5400000" sy="-100000" rotWithShape="0"/>
              </a:effectLst>
            </a:rPr>
            <a:t>ATTD.(MARCH)</a:t>
          </a:r>
        </a:p>
      </xdr:txBody>
    </xdr:sp>
    <xdr:clientData/>
  </xdr:twoCellAnchor>
  <xdr:twoCellAnchor>
    <xdr:from>
      <xdr:col>15</xdr:col>
      <xdr:colOff>9525</xdr:colOff>
      <xdr:row>14</xdr:row>
      <xdr:rowOff>95250</xdr:rowOff>
    </xdr:from>
    <xdr:to>
      <xdr:col>16</xdr:col>
      <xdr:colOff>469773</xdr:colOff>
      <xdr:row>16</xdr:row>
      <xdr:rowOff>34290</xdr:rowOff>
    </xdr:to>
    <xdr:sp macro="" textlink="">
      <xdr:nvSpPr>
        <xdr:cNvPr id="24" name="Flowchart: Alternate Process 23">
          <a:hlinkClick xmlns:r="http://schemas.openxmlformats.org/officeDocument/2006/relationships" r:id="rId17"/>
          <a:extLst>
            <a:ext uri="{FF2B5EF4-FFF2-40B4-BE49-F238E27FC236}">
              <a16:creationId xmlns:a16="http://schemas.microsoft.com/office/drawing/2014/main" id="{00000000-0008-0000-0000-000018000000}"/>
            </a:ext>
          </a:extLst>
        </xdr:cNvPr>
        <xdr:cNvSpPr/>
      </xdr:nvSpPr>
      <xdr:spPr>
        <a:xfrm>
          <a:off x="9153525" y="2762250"/>
          <a:ext cx="1069848" cy="320040"/>
        </a:xfrm>
        <a:prstGeom prst="flowChartAlternateProcess">
          <a:avLst/>
        </a:prstGeom>
        <a:gradFill flip="none" rotWithShape="1">
          <a:gsLst>
            <a:gs pos="0">
              <a:srgbClr val="92D050"/>
            </a:gs>
            <a:gs pos="54000">
              <a:schemeClr val="bg1"/>
            </a:gs>
            <a:gs pos="100000">
              <a:schemeClr val="accent6">
                <a:lumMod val="75000"/>
              </a:schemeClr>
            </a:gs>
          </a:gsLst>
          <a:lin ang="13500000" scaled="1"/>
          <a:tileRect/>
        </a:gradFill>
        <a:ln>
          <a:noFill/>
        </a:ln>
        <a:effectLst/>
        <a:scene3d>
          <a:camera prst="orthographicFront">
            <a:rot lat="0" lon="0" rev="0"/>
          </a:camera>
          <a:lightRig rig="chilly" dir="t">
            <a:rot lat="0" lon="0" rev="18480000"/>
          </a:lightRig>
        </a:scene3d>
        <a:sp3d prstMaterial="clear">
          <a:bevelT h="635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en-US" sz="900" b="1" cap="all" spc="0">
              <a:ln w="0"/>
              <a:solidFill>
                <a:schemeClr val="bg1"/>
              </a:solidFill>
              <a:effectLst>
                <a:reflection blurRad="12700" stA="50000" endPos="50000" dist="5000" dir="5400000" sy="-100000" rotWithShape="0"/>
              </a:effectLst>
            </a:rPr>
            <a:t>ATTD.(APRAIL)</a:t>
          </a:r>
        </a:p>
      </xdr:txBody>
    </xdr:sp>
    <xdr:clientData/>
  </xdr:twoCellAnchor>
  <xdr:twoCellAnchor>
    <xdr:from>
      <xdr:col>15</xdr:col>
      <xdr:colOff>47625</xdr:colOff>
      <xdr:row>17</xdr:row>
      <xdr:rowOff>57150</xdr:rowOff>
    </xdr:from>
    <xdr:to>
      <xdr:col>16</xdr:col>
      <xdr:colOff>507873</xdr:colOff>
      <xdr:row>18</xdr:row>
      <xdr:rowOff>186690</xdr:rowOff>
    </xdr:to>
    <xdr:sp macro="" textlink="">
      <xdr:nvSpPr>
        <xdr:cNvPr id="25" name="Flowchart: Alternate Process 24">
          <a:hlinkClick xmlns:r="http://schemas.openxmlformats.org/officeDocument/2006/relationships" r:id="rId18"/>
          <a:extLst>
            <a:ext uri="{FF2B5EF4-FFF2-40B4-BE49-F238E27FC236}">
              <a16:creationId xmlns:a16="http://schemas.microsoft.com/office/drawing/2014/main" id="{00000000-0008-0000-0000-000019000000}"/>
            </a:ext>
          </a:extLst>
        </xdr:cNvPr>
        <xdr:cNvSpPr/>
      </xdr:nvSpPr>
      <xdr:spPr>
        <a:xfrm>
          <a:off x="9191625" y="3295650"/>
          <a:ext cx="1069848" cy="320040"/>
        </a:xfrm>
        <a:prstGeom prst="flowChartAlternateProcess">
          <a:avLst/>
        </a:prstGeom>
        <a:gradFill flip="none" rotWithShape="1">
          <a:gsLst>
            <a:gs pos="0">
              <a:srgbClr val="92D050"/>
            </a:gs>
            <a:gs pos="54000">
              <a:schemeClr val="bg1"/>
            </a:gs>
            <a:gs pos="100000">
              <a:schemeClr val="accent6">
                <a:lumMod val="75000"/>
              </a:schemeClr>
            </a:gs>
          </a:gsLst>
          <a:lin ang="13500000" scaled="1"/>
          <a:tileRect/>
        </a:gradFill>
        <a:ln>
          <a:noFill/>
        </a:ln>
        <a:effectLst/>
        <a:scene3d>
          <a:camera prst="orthographicFront">
            <a:rot lat="0" lon="0" rev="0"/>
          </a:camera>
          <a:lightRig rig="chilly" dir="t">
            <a:rot lat="0" lon="0" rev="18480000"/>
          </a:lightRig>
        </a:scene3d>
        <a:sp3d prstMaterial="clear">
          <a:bevelT h="635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en-US" sz="900" b="1" cap="all" spc="0">
              <a:ln w="0"/>
              <a:solidFill>
                <a:schemeClr val="bg1"/>
              </a:solidFill>
              <a:effectLst>
                <a:reflection blurRad="12700" stA="50000" endPos="50000" dist="5000" dir="5400000" sy="-100000" rotWithShape="0"/>
              </a:effectLst>
            </a:rPr>
            <a:t>ATTD.(MAY)</a:t>
          </a:r>
        </a:p>
      </xdr:txBody>
    </xdr:sp>
    <xdr:clientData/>
  </xdr:twoCellAnchor>
  <xdr:twoCellAnchor>
    <xdr:from>
      <xdr:col>15</xdr:col>
      <xdr:colOff>19050</xdr:colOff>
      <xdr:row>19</xdr:row>
      <xdr:rowOff>171450</xdr:rowOff>
    </xdr:from>
    <xdr:to>
      <xdr:col>16</xdr:col>
      <xdr:colOff>479298</xdr:colOff>
      <xdr:row>21</xdr:row>
      <xdr:rowOff>110490</xdr:rowOff>
    </xdr:to>
    <xdr:sp macro="" textlink="">
      <xdr:nvSpPr>
        <xdr:cNvPr id="26" name="Flowchart: Alternate Process 25">
          <a:hlinkClick xmlns:r="http://schemas.openxmlformats.org/officeDocument/2006/relationships" r:id="rId19"/>
          <a:extLst>
            <a:ext uri="{FF2B5EF4-FFF2-40B4-BE49-F238E27FC236}">
              <a16:creationId xmlns:a16="http://schemas.microsoft.com/office/drawing/2014/main" id="{00000000-0008-0000-0000-00001A000000}"/>
            </a:ext>
          </a:extLst>
        </xdr:cNvPr>
        <xdr:cNvSpPr/>
      </xdr:nvSpPr>
      <xdr:spPr>
        <a:xfrm>
          <a:off x="9163050" y="3790950"/>
          <a:ext cx="1069848" cy="320040"/>
        </a:xfrm>
        <a:prstGeom prst="flowChartAlternateProcess">
          <a:avLst/>
        </a:prstGeom>
        <a:gradFill flip="none" rotWithShape="1">
          <a:gsLst>
            <a:gs pos="0">
              <a:srgbClr val="92D050"/>
            </a:gs>
            <a:gs pos="54000">
              <a:schemeClr val="bg1"/>
            </a:gs>
            <a:gs pos="100000">
              <a:schemeClr val="accent6">
                <a:lumMod val="75000"/>
              </a:schemeClr>
            </a:gs>
          </a:gsLst>
          <a:lin ang="13500000" scaled="1"/>
          <a:tileRect/>
        </a:gradFill>
        <a:ln>
          <a:noFill/>
        </a:ln>
        <a:effectLst/>
        <a:scene3d>
          <a:camera prst="orthographicFront">
            <a:rot lat="0" lon="0" rev="0"/>
          </a:camera>
          <a:lightRig rig="chilly" dir="t">
            <a:rot lat="0" lon="0" rev="18480000"/>
          </a:lightRig>
        </a:scene3d>
        <a:sp3d prstMaterial="clear">
          <a:bevelT h="635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en-US" sz="900" b="1" cap="all" spc="0">
              <a:ln w="0"/>
              <a:solidFill>
                <a:schemeClr val="bg1"/>
              </a:solidFill>
              <a:effectLst>
                <a:reflection blurRad="12700" stA="50000" endPos="50000" dist="5000" dir="5400000" sy="-100000" rotWithShape="0"/>
              </a:effectLst>
            </a:rPr>
            <a:t>ATTD.(JUNE)</a:t>
          </a:r>
        </a:p>
      </xdr:txBody>
    </xdr:sp>
    <xdr:clientData/>
  </xdr:twoCellAnchor>
  <xdr:twoCellAnchor>
    <xdr:from>
      <xdr:col>17</xdr:col>
      <xdr:colOff>571500</xdr:colOff>
      <xdr:row>5</xdr:row>
      <xdr:rowOff>180975</xdr:rowOff>
    </xdr:from>
    <xdr:to>
      <xdr:col>19</xdr:col>
      <xdr:colOff>422148</xdr:colOff>
      <xdr:row>7</xdr:row>
      <xdr:rowOff>120015</xdr:rowOff>
    </xdr:to>
    <xdr:sp macro="" textlink="">
      <xdr:nvSpPr>
        <xdr:cNvPr id="27" name="Flowchart: Alternate Process 26">
          <a:hlinkClick xmlns:r="http://schemas.openxmlformats.org/officeDocument/2006/relationships" r:id="rId20"/>
          <a:extLst>
            <a:ext uri="{FF2B5EF4-FFF2-40B4-BE49-F238E27FC236}">
              <a16:creationId xmlns:a16="http://schemas.microsoft.com/office/drawing/2014/main" id="{00000000-0008-0000-0000-00001B000000}"/>
            </a:ext>
          </a:extLst>
        </xdr:cNvPr>
        <xdr:cNvSpPr/>
      </xdr:nvSpPr>
      <xdr:spPr>
        <a:xfrm>
          <a:off x="10934700" y="1133475"/>
          <a:ext cx="1069848" cy="320040"/>
        </a:xfrm>
        <a:prstGeom prst="flowChartAlternateProcess">
          <a:avLst/>
        </a:prstGeom>
        <a:gradFill flip="none" rotWithShape="1">
          <a:gsLst>
            <a:gs pos="0">
              <a:srgbClr val="92D050"/>
            </a:gs>
            <a:gs pos="54000">
              <a:schemeClr val="bg1"/>
            </a:gs>
            <a:gs pos="100000">
              <a:schemeClr val="accent6">
                <a:lumMod val="75000"/>
              </a:schemeClr>
            </a:gs>
          </a:gsLst>
          <a:lin ang="13500000" scaled="1"/>
          <a:tileRect/>
        </a:gradFill>
        <a:ln>
          <a:noFill/>
        </a:ln>
        <a:effectLst/>
        <a:scene3d>
          <a:camera prst="orthographicFront">
            <a:rot lat="0" lon="0" rev="0"/>
          </a:camera>
          <a:lightRig rig="chilly" dir="t">
            <a:rot lat="0" lon="0" rev="18480000"/>
          </a:lightRig>
        </a:scene3d>
        <a:sp3d prstMaterial="clear">
          <a:bevelT h="635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en-US" sz="900" b="1" cap="all" spc="0">
              <a:ln w="0"/>
              <a:solidFill>
                <a:schemeClr val="bg1"/>
              </a:solidFill>
              <a:effectLst>
                <a:reflection blurRad="12700" stA="50000" endPos="50000" dist="5000" dir="5400000" sy="-100000" rotWithShape="0"/>
              </a:effectLst>
            </a:rPr>
            <a:t>ATTD.(JULY)</a:t>
          </a:r>
        </a:p>
      </xdr:txBody>
    </xdr:sp>
    <xdr:clientData/>
  </xdr:twoCellAnchor>
  <xdr:twoCellAnchor>
    <xdr:from>
      <xdr:col>17</xdr:col>
      <xdr:colOff>533400</xdr:colOff>
      <xdr:row>8</xdr:row>
      <xdr:rowOff>142875</xdr:rowOff>
    </xdr:from>
    <xdr:to>
      <xdr:col>19</xdr:col>
      <xdr:colOff>384048</xdr:colOff>
      <xdr:row>10</xdr:row>
      <xdr:rowOff>81915</xdr:rowOff>
    </xdr:to>
    <xdr:sp macro="" textlink="">
      <xdr:nvSpPr>
        <xdr:cNvPr id="28" name="Flowchart: Alternate Process 27">
          <a:hlinkClick xmlns:r="http://schemas.openxmlformats.org/officeDocument/2006/relationships" r:id="rId21"/>
          <a:extLst>
            <a:ext uri="{FF2B5EF4-FFF2-40B4-BE49-F238E27FC236}">
              <a16:creationId xmlns:a16="http://schemas.microsoft.com/office/drawing/2014/main" id="{00000000-0008-0000-0000-00001C000000}"/>
            </a:ext>
          </a:extLst>
        </xdr:cNvPr>
        <xdr:cNvSpPr/>
      </xdr:nvSpPr>
      <xdr:spPr>
        <a:xfrm>
          <a:off x="10896600" y="1666875"/>
          <a:ext cx="1069848" cy="320040"/>
        </a:xfrm>
        <a:prstGeom prst="flowChartAlternateProcess">
          <a:avLst/>
        </a:prstGeom>
        <a:gradFill flip="none" rotWithShape="1">
          <a:gsLst>
            <a:gs pos="0">
              <a:srgbClr val="92D050"/>
            </a:gs>
            <a:gs pos="54000">
              <a:schemeClr val="bg1"/>
            </a:gs>
            <a:gs pos="100000">
              <a:schemeClr val="accent6">
                <a:lumMod val="75000"/>
              </a:schemeClr>
            </a:gs>
          </a:gsLst>
          <a:lin ang="13500000" scaled="1"/>
          <a:tileRect/>
        </a:gradFill>
        <a:ln>
          <a:noFill/>
        </a:ln>
        <a:effectLst/>
        <a:scene3d>
          <a:camera prst="orthographicFront">
            <a:rot lat="0" lon="0" rev="0"/>
          </a:camera>
          <a:lightRig rig="chilly" dir="t">
            <a:rot lat="0" lon="0" rev="18480000"/>
          </a:lightRig>
        </a:scene3d>
        <a:sp3d prstMaterial="clear">
          <a:bevelT h="635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en-US" sz="900" b="1" cap="all" spc="0">
              <a:ln w="0"/>
              <a:solidFill>
                <a:schemeClr val="bg1"/>
              </a:solidFill>
              <a:effectLst>
                <a:reflection blurRad="12700" stA="50000" endPos="50000" dist="5000" dir="5400000" sy="-100000" rotWithShape="0"/>
              </a:effectLst>
            </a:rPr>
            <a:t>ATTD.(AUG)</a:t>
          </a:r>
        </a:p>
      </xdr:txBody>
    </xdr:sp>
    <xdr:clientData/>
  </xdr:twoCellAnchor>
  <xdr:twoCellAnchor>
    <xdr:from>
      <xdr:col>17</xdr:col>
      <xdr:colOff>542925</xdr:colOff>
      <xdr:row>11</xdr:row>
      <xdr:rowOff>57150</xdr:rowOff>
    </xdr:from>
    <xdr:to>
      <xdr:col>19</xdr:col>
      <xdr:colOff>393573</xdr:colOff>
      <xdr:row>12</xdr:row>
      <xdr:rowOff>186690</xdr:rowOff>
    </xdr:to>
    <xdr:sp macro="" textlink="">
      <xdr:nvSpPr>
        <xdr:cNvPr id="29" name="Flowchart: Alternate Process 28">
          <a:hlinkClick xmlns:r="http://schemas.openxmlformats.org/officeDocument/2006/relationships" r:id="rId22"/>
          <a:extLst>
            <a:ext uri="{FF2B5EF4-FFF2-40B4-BE49-F238E27FC236}">
              <a16:creationId xmlns:a16="http://schemas.microsoft.com/office/drawing/2014/main" id="{00000000-0008-0000-0000-00001D000000}"/>
            </a:ext>
          </a:extLst>
        </xdr:cNvPr>
        <xdr:cNvSpPr/>
      </xdr:nvSpPr>
      <xdr:spPr>
        <a:xfrm>
          <a:off x="10906125" y="2152650"/>
          <a:ext cx="1069848" cy="320040"/>
        </a:xfrm>
        <a:prstGeom prst="flowChartAlternateProcess">
          <a:avLst/>
        </a:prstGeom>
        <a:gradFill flip="none" rotWithShape="1">
          <a:gsLst>
            <a:gs pos="0">
              <a:srgbClr val="92D050"/>
            </a:gs>
            <a:gs pos="54000">
              <a:schemeClr val="bg1"/>
            </a:gs>
            <a:gs pos="100000">
              <a:schemeClr val="accent6">
                <a:lumMod val="75000"/>
              </a:schemeClr>
            </a:gs>
          </a:gsLst>
          <a:lin ang="13500000" scaled="1"/>
          <a:tileRect/>
        </a:gradFill>
        <a:ln>
          <a:noFill/>
        </a:ln>
        <a:effectLst/>
        <a:scene3d>
          <a:camera prst="orthographicFront">
            <a:rot lat="0" lon="0" rev="0"/>
          </a:camera>
          <a:lightRig rig="chilly" dir="t">
            <a:rot lat="0" lon="0" rev="18480000"/>
          </a:lightRig>
        </a:scene3d>
        <a:sp3d prstMaterial="clear">
          <a:bevelT h="635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en-US" sz="900" b="1" cap="all" spc="0">
              <a:ln w="0"/>
              <a:solidFill>
                <a:schemeClr val="bg1"/>
              </a:solidFill>
              <a:effectLst>
                <a:reflection blurRad="12700" stA="50000" endPos="50000" dist="5000" dir="5400000" sy="-100000" rotWithShape="0"/>
              </a:effectLst>
            </a:rPr>
            <a:t>ATTD.(SEP)</a:t>
          </a:r>
        </a:p>
      </xdr:txBody>
    </xdr:sp>
    <xdr:clientData/>
  </xdr:twoCellAnchor>
  <xdr:twoCellAnchor>
    <xdr:from>
      <xdr:col>17</xdr:col>
      <xdr:colOff>571500</xdr:colOff>
      <xdr:row>14</xdr:row>
      <xdr:rowOff>9525</xdr:rowOff>
    </xdr:from>
    <xdr:to>
      <xdr:col>19</xdr:col>
      <xdr:colOff>422148</xdr:colOff>
      <xdr:row>15</xdr:row>
      <xdr:rowOff>139065</xdr:rowOff>
    </xdr:to>
    <xdr:sp macro="" textlink="">
      <xdr:nvSpPr>
        <xdr:cNvPr id="30" name="Flowchart: Alternate Process 29">
          <a:hlinkClick xmlns:r="http://schemas.openxmlformats.org/officeDocument/2006/relationships" r:id="rId23"/>
          <a:extLst>
            <a:ext uri="{FF2B5EF4-FFF2-40B4-BE49-F238E27FC236}">
              <a16:creationId xmlns:a16="http://schemas.microsoft.com/office/drawing/2014/main" id="{00000000-0008-0000-0000-00001E000000}"/>
            </a:ext>
          </a:extLst>
        </xdr:cNvPr>
        <xdr:cNvSpPr/>
      </xdr:nvSpPr>
      <xdr:spPr>
        <a:xfrm>
          <a:off x="10934700" y="2676525"/>
          <a:ext cx="1069848" cy="320040"/>
        </a:xfrm>
        <a:prstGeom prst="flowChartAlternateProcess">
          <a:avLst/>
        </a:prstGeom>
        <a:gradFill flip="none" rotWithShape="1">
          <a:gsLst>
            <a:gs pos="0">
              <a:srgbClr val="92D050"/>
            </a:gs>
            <a:gs pos="54000">
              <a:schemeClr val="bg1"/>
            </a:gs>
            <a:gs pos="100000">
              <a:schemeClr val="accent6">
                <a:lumMod val="75000"/>
              </a:schemeClr>
            </a:gs>
          </a:gsLst>
          <a:lin ang="13500000" scaled="1"/>
          <a:tileRect/>
        </a:gradFill>
        <a:ln>
          <a:noFill/>
        </a:ln>
        <a:effectLst/>
        <a:scene3d>
          <a:camera prst="orthographicFront">
            <a:rot lat="0" lon="0" rev="0"/>
          </a:camera>
          <a:lightRig rig="chilly" dir="t">
            <a:rot lat="0" lon="0" rev="18480000"/>
          </a:lightRig>
        </a:scene3d>
        <a:sp3d prstMaterial="clear">
          <a:bevelT h="635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en-US" sz="900" b="1" cap="all" spc="0">
              <a:ln w="0"/>
              <a:solidFill>
                <a:schemeClr val="bg1"/>
              </a:solidFill>
              <a:effectLst>
                <a:reflection blurRad="12700" stA="50000" endPos="50000" dist="5000" dir="5400000" sy="-100000" rotWithShape="0"/>
              </a:effectLst>
            </a:rPr>
            <a:t>ATTD.(OCT)</a:t>
          </a:r>
        </a:p>
      </xdr:txBody>
    </xdr:sp>
    <xdr:clientData/>
  </xdr:twoCellAnchor>
  <xdr:twoCellAnchor>
    <xdr:from>
      <xdr:col>17</xdr:col>
      <xdr:colOff>571500</xdr:colOff>
      <xdr:row>16</xdr:row>
      <xdr:rowOff>133350</xdr:rowOff>
    </xdr:from>
    <xdr:to>
      <xdr:col>19</xdr:col>
      <xdr:colOff>422148</xdr:colOff>
      <xdr:row>18</xdr:row>
      <xdr:rowOff>72390</xdr:rowOff>
    </xdr:to>
    <xdr:sp macro="" textlink="">
      <xdr:nvSpPr>
        <xdr:cNvPr id="31" name="Flowchart: Alternate Process 30">
          <a:hlinkClick xmlns:r="http://schemas.openxmlformats.org/officeDocument/2006/relationships" r:id="rId24"/>
          <a:extLst>
            <a:ext uri="{FF2B5EF4-FFF2-40B4-BE49-F238E27FC236}">
              <a16:creationId xmlns:a16="http://schemas.microsoft.com/office/drawing/2014/main" id="{00000000-0008-0000-0000-00001F000000}"/>
            </a:ext>
          </a:extLst>
        </xdr:cNvPr>
        <xdr:cNvSpPr/>
      </xdr:nvSpPr>
      <xdr:spPr>
        <a:xfrm>
          <a:off x="10934700" y="3181350"/>
          <a:ext cx="1069848" cy="320040"/>
        </a:xfrm>
        <a:prstGeom prst="flowChartAlternateProcess">
          <a:avLst/>
        </a:prstGeom>
        <a:gradFill flip="none" rotWithShape="1">
          <a:gsLst>
            <a:gs pos="0">
              <a:srgbClr val="92D050"/>
            </a:gs>
            <a:gs pos="54000">
              <a:schemeClr val="bg1"/>
            </a:gs>
            <a:gs pos="100000">
              <a:schemeClr val="accent6">
                <a:lumMod val="75000"/>
              </a:schemeClr>
            </a:gs>
          </a:gsLst>
          <a:lin ang="13500000" scaled="1"/>
          <a:tileRect/>
        </a:gradFill>
        <a:ln>
          <a:noFill/>
        </a:ln>
        <a:effectLst/>
        <a:scene3d>
          <a:camera prst="orthographicFront">
            <a:rot lat="0" lon="0" rev="0"/>
          </a:camera>
          <a:lightRig rig="chilly" dir="t">
            <a:rot lat="0" lon="0" rev="18480000"/>
          </a:lightRig>
        </a:scene3d>
        <a:sp3d prstMaterial="clear">
          <a:bevelT h="635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en-US" sz="900" b="1" cap="all" spc="0">
              <a:ln w="0"/>
              <a:solidFill>
                <a:schemeClr val="bg1"/>
              </a:solidFill>
              <a:effectLst>
                <a:reflection blurRad="12700" stA="50000" endPos="50000" dist="5000" dir="5400000" sy="-100000" rotWithShape="0"/>
              </a:effectLst>
            </a:rPr>
            <a:t>ATTD.(NOV)</a:t>
          </a:r>
        </a:p>
      </xdr:txBody>
    </xdr:sp>
    <xdr:clientData/>
  </xdr:twoCellAnchor>
  <xdr:twoCellAnchor>
    <xdr:from>
      <xdr:col>17</xdr:col>
      <xdr:colOff>542925</xdr:colOff>
      <xdr:row>19</xdr:row>
      <xdr:rowOff>123825</xdr:rowOff>
    </xdr:from>
    <xdr:to>
      <xdr:col>19</xdr:col>
      <xdr:colOff>393573</xdr:colOff>
      <xdr:row>21</xdr:row>
      <xdr:rowOff>62865</xdr:rowOff>
    </xdr:to>
    <xdr:sp macro="" textlink="">
      <xdr:nvSpPr>
        <xdr:cNvPr id="32" name="Flowchart: Alternate Process 31">
          <a:hlinkClick xmlns:r="http://schemas.openxmlformats.org/officeDocument/2006/relationships" r:id="rId25"/>
          <a:extLst>
            <a:ext uri="{FF2B5EF4-FFF2-40B4-BE49-F238E27FC236}">
              <a16:creationId xmlns:a16="http://schemas.microsoft.com/office/drawing/2014/main" id="{00000000-0008-0000-0000-000020000000}"/>
            </a:ext>
          </a:extLst>
        </xdr:cNvPr>
        <xdr:cNvSpPr/>
      </xdr:nvSpPr>
      <xdr:spPr>
        <a:xfrm>
          <a:off x="10906125" y="3743325"/>
          <a:ext cx="1069848" cy="320040"/>
        </a:xfrm>
        <a:prstGeom prst="flowChartAlternateProcess">
          <a:avLst/>
        </a:prstGeom>
        <a:gradFill flip="none" rotWithShape="1">
          <a:gsLst>
            <a:gs pos="0">
              <a:srgbClr val="92D050"/>
            </a:gs>
            <a:gs pos="54000">
              <a:schemeClr val="bg1"/>
            </a:gs>
            <a:gs pos="100000">
              <a:schemeClr val="accent6">
                <a:lumMod val="75000"/>
              </a:schemeClr>
            </a:gs>
          </a:gsLst>
          <a:lin ang="13500000" scaled="1"/>
          <a:tileRect/>
        </a:gradFill>
        <a:ln>
          <a:noFill/>
        </a:ln>
        <a:effectLst/>
        <a:scene3d>
          <a:camera prst="orthographicFront">
            <a:rot lat="0" lon="0" rev="0"/>
          </a:camera>
          <a:lightRig rig="chilly" dir="t">
            <a:rot lat="0" lon="0" rev="18480000"/>
          </a:lightRig>
        </a:scene3d>
        <a:sp3d prstMaterial="clear">
          <a:bevelT h="635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en-US" sz="900" b="1" cap="all" spc="0">
              <a:ln w="0"/>
              <a:solidFill>
                <a:schemeClr val="bg1"/>
              </a:solidFill>
              <a:effectLst>
                <a:reflection blurRad="12700" stA="50000" endPos="50000" dist="5000" dir="5400000" sy="-100000" rotWithShape="0"/>
              </a:effectLst>
            </a:rPr>
            <a:t>ATTD.(DEC)</a:t>
          </a:r>
        </a:p>
      </xdr:txBody>
    </xdr:sp>
    <xdr:clientData/>
  </xdr:twoCellAnchor>
  <xdr:twoCellAnchor>
    <xdr:from>
      <xdr:col>22</xdr:col>
      <xdr:colOff>66675</xdr:colOff>
      <xdr:row>2</xdr:row>
      <xdr:rowOff>19050</xdr:rowOff>
    </xdr:from>
    <xdr:to>
      <xdr:col>23</xdr:col>
      <xdr:colOff>295275</xdr:colOff>
      <xdr:row>22</xdr:row>
      <xdr:rowOff>133350</xdr:rowOff>
    </xdr:to>
    <xdr:grpSp>
      <xdr:nvGrpSpPr>
        <xdr:cNvPr id="33" name="Group 32">
          <a:extLst>
            <a:ext uri="{FF2B5EF4-FFF2-40B4-BE49-F238E27FC236}">
              <a16:creationId xmlns:a16="http://schemas.microsoft.com/office/drawing/2014/main" id="{00000000-0008-0000-0000-000021000000}"/>
            </a:ext>
          </a:extLst>
        </xdr:cNvPr>
        <xdr:cNvGrpSpPr/>
      </xdr:nvGrpSpPr>
      <xdr:grpSpPr>
        <a:xfrm>
          <a:off x="11591925" y="400050"/>
          <a:ext cx="752475" cy="3924300"/>
          <a:chOff x="114301" y="142875"/>
          <a:chExt cx="847724" cy="3924300"/>
        </a:xfrm>
      </xdr:grpSpPr>
      <xdr:pic>
        <xdr:nvPicPr>
          <xdr:cNvPr id="34" name="Picture 33">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35" name="Picture 34">
            <a:hlinkClick xmlns:r="http://schemas.openxmlformats.org/officeDocument/2006/relationships" r:id="rId27"/>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28" cstate="print">
            <a:extLst>
              <a:ext uri="{BEBA8EAE-BF5A-486C-A8C5-ECC9F3942E4B}">
                <a14:imgProps xmlns:a14="http://schemas.microsoft.com/office/drawing/2010/main">
                  <a14:imgLayer r:embed="rId29">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36" name="Picture 35">
            <a:hlinkClick xmlns:r="http://schemas.openxmlformats.org/officeDocument/2006/relationships" r:id="rId30"/>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37" name="Picture 36">
            <a:hlinkClick xmlns:r="http://schemas.openxmlformats.org/officeDocument/2006/relationships" r:id="rId32"/>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33" cstate="print">
            <a:extLst>
              <a:ext uri="{BEBA8EAE-BF5A-486C-A8C5-ECC9F3942E4B}">
                <a14:imgProps xmlns:a14="http://schemas.microsoft.com/office/drawing/2010/main">
                  <a14:imgLayer r:embed="rId34">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114301</xdr:colOff>
      <xdr:row>0</xdr:row>
      <xdr:rowOff>142874</xdr:rowOff>
    </xdr:from>
    <xdr:to>
      <xdr:col>0</xdr:col>
      <xdr:colOff>962025</xdr:colOff>
      <xdr:row>22</xdr:row>
      <xdr:rowOff>57149</xdr:rowOff>
    </xdr:to>
    <xdr:grpSp>
      <xdr:nvGrpSpPr>
        <xdr:cNvPr id="2" name="Group 1">
          <a:extLst>
            <a:ext uri="{FF2B5EF4-FFF2-40B4-BE49-F238E27FC236}">
              <a16:creationId xmlns:a16="http://schemas.microsoft.com/office/drawing/2014/main" id="{00000000-0008-0000-0100-000002000000}"/>
            </a:ext>
          </a:extLst>
        </xdr:cNvPr>
        <xdr:cNvGrpSpPr/>
      </xdr:nvGrpSpPr>
      <xdr:grpSpPr>
        <a:xfrm>
          <a:off x="114301" y="142874"/>
          <a:ext cx="847724" cy="4114800"/>
          <a:chOff x="114301" y="142875"/>
          <a:chExt cx="847724" cy="3924300"/>
        </a:xfrm>
      </xdr:grpSpPr>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4" name="Picture 3">
            <a:hlinkClick xmlns:r="http://schemas.openxmlformats.org/officeDocument/2006/relationships" r:id="rId2"/>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5" name="Picture 4">
            <a:hlinkClick xmlns:r="http://schemas.openxmlformats.org/officeDocument/2006/relationships" r:id="rId5"/>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6" name="Picture 5">
            <a:hlinkClick xmlns:r="http://schemas.openxmlformats.org/officeDocument/2006/relationships" r:id="rId7"/>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29</xdr:row>
      <xdr:rowOff>142874</xdr:rowOff>
    </xdr:from>
    <xdr:to>
      <xdr:col>0</xdr:col>
      <xdr:colOff>962025</xdr:colOff>
      <xdr:row>51</xdr:row>
      <xdr:rowOff>57149</xdr:rowOff>
    </xdr:to>
    <xdr:grpSp>
      <xdr:nvGrpSpPr>
        <xdr:cNvPr id="7" name="Group 6">
          <a:extLst>
            <a:ext uri="{FF2B5EF4-FFF2-40B4-BE49-F238E27FC236}">
              <a16:creationId xmlns:a16="http://schemas.microsoft.com/office/drawing/2014/main" id="{00000000-0008-0000-0100-000007000000}"/>
            </a:ext>
          </a:extLst>
        </xdr:cNvPr>
        <xdr:cNvGrpSpPr/>
      </xdr:nvGrpSpPr>
      <xdr:grpSpPr>
        <a:xfrm>
          <a:off x="114301" y="5676899"/>
          <a:ext cx="847724" cy="4105275"/>
          <a:chOff x="114301" y="142875"/>
          <a:chExt cx="847724" cy="3924300"/>
        </a:xfrm>
      </xdr:grpSpPr>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9" name="Picture 8">
            <a:hlinkClick xmlns:r="http://schemas.openxmlformats.org/officeDocument/2006/relationships" r:id="rId2"/>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10" name="Picture 9">
            <a:hlinkClick xmlns:r="http://schemas.openxmlformats.org/officeDocument/2006/relationships" r:id="rId10"/>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11" name="Picture 10">
            <a:hlinkClick xmlns:r="http://schemas.openxmlformats.org/officeDocument/2006/relationships" r:id="rId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58</xdr:row>
      <xdr:rowOff>142874</xdr:rowOff>
    </xdr:from>
    <xdr:to>
      <xdr:col>0</xdr:col>
      <xdr:colOff>962025</xdr:colOff>
      <xdr:row>80</xdr:row>
      <xdr:rowOff>57149</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14301" y="11201399"/>
          <a:ext cx="847724" cy="4105275"/>
          <a:chOff x="114301" y="142875"/>
          <a:chExt cx="847724" cy="3924300"/>
        </a:xfrm>
      </xdr:grpSpPr>
      <xdr:pic>
        <xdr:nvPicPr>
          <xdr:cNvPr id="18" name="Picture 17">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19" name="Picture 18">
            <a:hlinkClick xmlns:r="http://schemas.openxmlformats.org/officeDocument/2006/relationships" r:id="rId2"/>
            <a:extLst>
              <a:ext uri="{FF2B5EF4-FFF2-40B4-BE49-F238E27FC236}">
                <a16:creationId xmlns:a16="http://schemas.microsoft.com/office/drawing/2014/main" id="{00000000-0008-0000-0100-000013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20" name="Picture 19">
            <a:hlinkClick xmlns:r="http://schemas.openxmlformats.org/officeDocument/2006/relationships" r:id="rId10"/>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21" name="Picture 20">
            <a:hlinkClick xmlns:r="http://schemas.openxmlformats.org/officeDocument/2006/relationships" r:id="rId7"/>
            <a:extLst>
              <a:ext uri="{FF2B5EF4-FFF2-40B4-BE49-F238E27FC236}">
                <a16:creationId xmlns:a16="http://schemas.microsoft.com/office/drawing/2014/main" id="{00000000-0008-0000-0100-000015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142876</xdr:colOff>
      <xdr:row>0</xdr:row>
      <xdr:rowOff>66676</xdr:rowOff>
    </xdr:from>
    <xdr:to>
      <xdr:col>0</xdr:col>
      <xdr:colOff>990600</xdr:colOff>
      <xdr:row>20</xdr:row>
      <xdr:rowOff>28576</xdr:rowOff>
    </xdr:to>
    <xdr:grpSp>
      <xdr:nvGrpSpPr>
        <xdr:cNvPr id="32" name="Group 31">
          <a:extLst>
            <a:ext uri="{FF2B5EF4-FFF2-40B4-BE49-F238E27FC236}">
              <a16:creationId xmlns:a16="http://schemas.microsoft.com/office/drawing/2014/main" id="{00000000-0008-0000-0200-000020000000}"/>
            </a:ext>
          </a:extLst>
        </xdr:cNvPr>
        <xdr:cNvGrpSpPr/>
      </xdr:nvGrpSpPr>
      <xdr:grpSpPr>
        <a:xfrm>
          <a:off x="142876" y="66676"/>
          <a:ext cx="847724" cy="4343400"/>
          <a:chOff x="114301" y="142875"/>
          <a:chExt cx="847724" cy="3924300"/>
        </a:xfrm>
      </xdr:grpSpPr>
      <xdr:pic>
        <xdr:nvPicPr>
          <xdr:cNvPr id="33" name="Picture 32">
            <a:extLst>
              <a:ext uri="{FF2B5EF4-FFF2-40B4-BE49-F238E27FC236}">
                <a16:creationId xmlns:a16="http://schemas.microsoft.com/office/drawing/2014/main" id="{00000000-0008-0000-0200-00002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34" name="Picture 33">
            <a:hlinkClick xmlns:r="http://schemas.openxmlformats.org/officeDocument/2006/relationships" r:id="rId2"/>
            <a:extLst>
              <a:ext uri="{FF2B5EF4-FFF2-40B4-BE49-F238E27FC236}">
                <a16:creationId xmlns:a16="http://schemas.microsoft.com/office/drawing/2014/main" id="{00000000-0008-0000-0200-000022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35" name="Picture 34">
            <a:hlinkClick xmlns:r="http://schemas.openxmlformats.org/officeDocument/2006/relationships" r:id="rId5"/>
            <a:extLst>
              <a:ext uri="{FF2B5EF4-FFF2-40B4-BE49-F238E27FC236}">
                <a16:creationId xmlns:a16="http://schemas.microsoft.com/office/drawing/2014/main" id="{00000000-0008-0000-0200-000023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36" name="Picture 35">
            <a:hlinkClick xmlns:r="http://schemas.openxmlformats.org/officeDocument/2006/relationships" r:id="rId7"/>
            <a:extLst>
              <a:ext uri="{FF2B5EF4-FFF2-40B4-BE49-F238E27FC236}">
                <a16:creationId xmlns:a16="http://schemas.microsoft.com/office/drawing/2014/main" id="{00000000-0008-0000-0200-000024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29</xdr:row>
      <xdr:rowOff>142874</xdr:rowOff>
    </xdr:from>
    <xdr:to>
      <xdr:col>0</xdr:col>
      <xdr:colOff>962025</xdr:colOff>
      <xdr:row>51</xdr:row>
      <xdr:rowOff>57149</xdr:rowOff>
    </xdr:to>
    <xdr:grpSp>
      <xdr:nvGrpSpPr>
        <xdr:cNvPr id="37" name="Group 36">
          <a:extLst>
            <a:ext uri="{FF2B5EF4-FFF2-40B4-BE49-F238E27FC236}">
              <a16:creationId xmlns:a16="http://schemas.microsoft.com/office/drawing/2014/main" id="{00000000-0008-0000-0200-000025000000}"/>
            </a:ext>
          </a:extLst>
        </xdr:cNvPr>
        <xdr:cNvGrpSpPr/>
      </xdr:nvGrpSpPr>
      <xdr:grpSpPr>
        <a:xfrm>
          <a:off x="114301" y="6238874"/>
          <a:ext cx="847724" cy="4105275"/>
          <a:chOff x="114301" y="142875"/>
          <a:chExt cx="847724" cy="3924300"/>
        </a:xfrm>
      </xdr:grpSpPr>
      <xdr:pic>
        <xdr:nvPicPr>
          <xdr:cNvPr id="38" name="Picture 37">
            <a:extLst>
              <a:ext uri="{FF2B5EF4-FFF2-40B4-BE49-F238E27FC236}">
                <a16:creationId xmlns:a16="http://schemas.microsoft.com/office/drawing/2014/main" id="{00000000-0008-0000-0200-00002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39" name="Picture 38">
            <a:hlinkClick xmlns:r="http://schemas.openxmlformats.org/officeDocument/2006/relationships" r:id="rId2"/>
            <a:extLst>
              <a:ext uri="{FF2B5EF4-FFF2-40B4-BE49-F238E27FC236}">
                <a16:creationId xmlns:a16="http://schemas.microsoft.com/office/drawing/2014/main" id="{00000000-0008-0000-0200-000027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40" name="Picture 39">
            <a:hlinkClick xmlns:r="http://schemas.openxmlformats.org/officeDocument/2006/relationships" r:id="rId5"/>
            <a:extLst>
              <a:ext uri="{FF2B5EF4-FFF2-40B4-BE49-F238E27FC236}">
                <a16:creationId xmlns:a16="http://schemas.microsoft.com/office/drawing/2014/main" id="{00000000-0008-0000-0200-000028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41" name="Picture 40">
            <a:hlinkClick xmlns:r="http://schemas.openxmlformats.org/officeDocument/2006/relationships" r:id="rId7"/>
            <a:extLst>
              <a:ext uri="{FF2B5EF4-FFF2-40B4-BE49-F238E27FC236}">
                <a16:creationId xmlns:a16="http://schemas.microsoft.com/office/drawing/2014/main" id="{00000000-0008-0000-0200-000029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58</xdr:row>
      <xdr:rowOff>142874</xdr:rowOff>
    </xdr:from>
    <xdr:to>
      <xdr:col>0</xdr:col>
      <xdr:colOff>962025</xdr:colOff>
      <xdr:row>80</xdr:row>
      <xdr:rowOff>57149</xdr:rowOff>
    </xdr:to>
    <xdr:grpSp>
      <xdr:nvGrpSpPr>
        <xdr:cNvPr id="42" name="Group 41">
          <a:extLst>
            <a:ext uri="{FF2B5EF4-FFF2-40B4-BE49-F238E27FC236}">
              <a16:creationId xmlns:a16="http://schemas.microsoft.com/office/drawing/2014/main" id="{00000000-0008-0000-0200-00002A000000}"/>
            </a:ext>
          </a:extLst>
        </xdr:cNvPr>
        <xdr:cNvGrpSpPr/>
      </xdr:nvGrpSpPr>
      <xdr:grpSpPr>
        <a:xfrm>
          <a:off x="114301" y="11763374"/>
          <a:ext cx="847724" cy="4105275"/>
          <a:chOff x="114301" y="142875"/>
          <a:chExt cx="847724" cy="3924300"/>
        </a:xfrm>
      </xdr:grpSpPr>
      <xdr:pic>
        <xdr:nvPicPr>
          <xdr:cNvPr id="43" name="Picture 42">
            <a:extLst>
              <a:ext uri="{FF2B5EF4-FFF2-40B4-BE49-F238E27FC236}">
                <a16:creationId xmlns:a16="http://schemas.microsoft.com/office/drawing/2014/main" id="{00000000-0008-0000-0200-00002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44" name="Picture 43">
            <a:hlinkClick xmlns:r="http://schemas.openxmlformats.org/officeDocument/2006/relationships" r:id="rId2"/>
            <a:extLst>
              <a:ext uri="{FF2B5EF4-FFF2-40B4-BE49-F238E27FC236}">
                <a16:creationId xmlns:a16="http://schemas.microsoft.com/office/drawing/2014/main" id="{00000000-0008-0000-0200-00002C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45" name="Picture 44">
            <a:hlinkClick xmlns:r="http://schemas.openxmlformats.org/officeDocument/2006/relationships" r:id="rId5"/>
            <a:extLst>
              <a:ext uri="{FF2B5EF4-FFF2-40B4-BE49-F238E27FC236}">
                <a16:creationId xmlns:a16="http://schemas.microsoft.com/office/drawing/2014/main" id="{00000000-0008-0000-0200-00002D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46" name="Picture 45">
            <a:hlinkClick xmlns:r="http://schemas.openxmlformats.org/officeDocument/2006/relationships" r:id="rId7"/>
            <a:extLst>
              <a:ext uri="{FF2B5EF4-FFF2-40B4-BE49-F238E27FC236}">
                <a16:creationId xmlns:a16="http://schemas.microsoft.com/office/drawing/2014/main" id="{00000000-0008-0000-0200-00002E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114301</xdr:colOff>
      <xdr:row>0</xdr:row>
      <xdr:rowOff>142874</xdr:rowOff>
    </xdr:from>
    <xdr:to>
      <xdr:col>0</xdr:col>
      <xdr:colOff>962025</xdr:colOff>
      <xdr:row>22</xdr:row>
      <xdr:rowOff>57149</xdr:rowOff>
    </xdr:to>
    <xdr:grpSp>
      <xdr:nvGrpSpPr>
        <xdr:cNvPr id="2" name="Group 1">
          <a:extLst>
            <a:ext uri="{FF2B5EF4-FFF2-40B4-BE49-F238E27FC236}">
              <a16:creationId xmlns:a16="http://schemas.microsoft.com/office/drawing/2014/main" id="{00000000-0008-0000-0300-000002000000}"/>
            </a:ext>
          </a:extLst>
        </xdr:cNvPr>
        <xdr:cNvGrpSpPr/>
      </xdr:nvGrpSpPr>
      <xdr:grpSpPr>
        <a:xfrm>
          <a:off x="114301" y="142874"/>
          <a:ext cx="847724" cy="4105275"/>
          <a:chOff x="114301" y="142875"/>
          <a:chExt cx="847724" cy="3924300"/>
        </a:xfrm>
      </xdr:grpSpPr>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4" name="Picture 3">
            <a:hlinkClick xmlns:r="http://schemas.openxmlformats.org/officeDocument/2006/relationships" r:id="rId2"/>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5" name="Picture 4">
            <a:hlinkClick xmlns:r="http://schemas.openxmlformats.org/officeDocument/2006/relationships" r:id="rId5"/>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6" name="Picture 5">
            <a:hlinkClick xmlns:r="http://schemas.openxmlformats.org/officeDocument/2006/relationships" r:id="rId7"/>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29</xdr:row>
      <xdr:rowOff>142874</xdr:rowOff>
    </xdr:from>
    <xdr:to>
      <xdr:col>0</xdr:col>
      <xdr:colOff>962025</xdr:colOff>
      <xdr:row>51</xdr:row>
      <xdr:rowOff>57149</xdr:rowOff>
    </xdr:to>
    <xdr:grpSp>
      <xdr:nvGrpSpPr>
        <xdr:cNvPr id="7" name="Group 6">
          <a:extLst>
            <a:ext uri="{FF2B5EF4-FFF2-40B4-BE49-F238E27FC236}">
              <a16:creationId xmlns:a16="http://schemas.microsoft.com/office/drawing/2014/main" id="{00000000-0008-0000-0300-000007000000}"/>
            </a:ext>
          </a:extLst>
        </xdr:cNvPr>
        <xdr:cNvGrpSpPr/>
      </xdr:nvGrpSpPr>
      <xdr:grpSpPr>
        <a:xfrm>
          <a:off x="114301" y="5667374"/>
          <a:ext cx="847724" cy="4105275"/>
          <a:chOff x="114301" y="142875"/>
          <a:chExt cx="847724" cy="3924300"/>
        </a:xfrm>
      </xdr:grpSpPr>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9" name="Picture 8">
            <a:hlinkClick xmlns:r="http://schemas.openxmlformats.org/officeDocument/2006/relationships" r:id="rId2"/>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10" name="Picture 9">
            <a:hlinkClick xmlns:r="http://schemas.openxmlformats.org/officeDocument/2006/relationships" r:id="rId5"/>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11" name="Picture 10">
            <a:hlinkClick xmlns:r="http://schemas.openxmlformats.org/officeDocument/2006/relationships" r:id="rId7"/>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58</xdr:row>
      <xdr:rowOff>142874</xdr:rowOff>
    </xdr:from>
    <xdr:to>
      <xdr:col>0</xdr:col>
      <xdr:colOff>962025</xdr:colOff>
      <xdr:row>80</xdr:row>
      <xdr:rowOff>57149</xdr:rowOff>
    </xdr:to>
    <xdr:grpSp>
      <xdr:nvGrpSpPr>
        <xdr:cNvPr id="12" name="Group 11">
          <a:extLst>
            <a:ext uri="{FF2B5EF4-FFF2-40B4-BE49-F238E27FC236}">
              <a16:creationId xmlns:a16="http://schemas.microsoft.com/office/drawing/2014/main" id="{00000000-0008-0000-0300-00000C000000}"/>
            </a:ext>
          </a:extLst>
        </xdr:cNvPr>
        <xdr:cNvGrpSpPr/>
      </xdr:nvGrpSpPr>
      <xdr:grpSpPr>
        <a:xfrm>
          <a:off x="114301" y="11191874"/>
          <a:ext cx="847724" cy="4105275"/>
          <a:chOff x="114301" y="142875"/>
          <a:chExt cx="847724" cy="3924300"/>
        </a:xfrm>
      </xdr:grpSpPr>
      <xdr:pic>
        <xdr:nvPicPr>
          <xdr:cNvPr id="13" name="Picture 12">
            <a:extLst>
              <a:ext uri="{FF2B5EF4-FFF2-40B4-BE49-F238E27FC236}">
                <a16:creationId xmlns:a16="http://schemas.microsoft.com/office/drawing/2014/main" id="{00000000-0008-0000-0300-00000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14" name="Picture 13">
            <a:hlinkClick xmlns:r="http://schemas.openxmlformats.org/officeDocument/2006/relationships" r:id="rId2"/>
            <a:extLst>
              <a:ext uri="{FF2B5EF4-FFF2-40B4-BE49-F238E27FC236}">
                <a16:creationId xmlns:a16="http://schemas.microsoft.com/office/drawing/2014/main" id="{00000000-0008-0000-0300-00000E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15" name="Picture 14">
            <a:hlinkClick xmlns:r="http://schemas.openxmlformats.org/officeDocument/2006/relationships" r:id="rId5"/>
            <a:extLst>
              <a:ext uri="{FF2B5EF4-FFF2-40B4-BE49-F238E27FC236}">
                <a16:creationId xmlns:a16="http://schemas.microsoft.com/office/drawing/2014/main" id="{00000000-0008-0000-0300-00000F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16" name="Picture 15">
            <a:hlinkClick xmlns:r="http://schemas.openxmlformats.org/officeDocument/2006/relationships" r:id="rId7"/>
            <a:extLst>
              <a:ext uri="{FF2B5EF4-FFF2-40B4-BE49-F238E27FC236}">
                <a16:creationId xmlns:a16="http://schemas.microsoft.com/office/drawing/2014/main" id="{00000000-0008-0000-0300-000010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114301</xdr:colOff>
      <xdr:row>0</xdr:row>
      <xdr:rowOff>142874</xdr:rowOff>
    </xdr:from>
    <xdr:to>
      <xdr:col>0</xdr:col>
      <xdr:colOff>962025</xdr:colOff>
      <xdr:row>22</xdr:row>
      <xdr:rowOff>57149</xdr:rowOff>
    </xdr:to>
    <xdr:grpSp>
      <xdr:nvGrpSpPr>
        <xdr:cNvPr id="2" name="Group 1">
          <a:extLst>
            <a:ext uri="{FF2B5EF4-FFF2-40B4-BE49-F238E27FC236}">
              <a16:creationId xmlns:a16="http://schemas.microsoft.com/office/drawing/2014/main" id="{00000000-0008-0000-0400-000002000000}"/>
            </a:ext>
          </a:extLst>
        </xdr:cNvPr>
        <xdr:cNvGrpSpPr/>
      </xdr:nvGrpSpPr>
      <xdr:grpSpPr>
        <a:xfrm>
          <a:off x="114301" y="142874"/>
          <a:ext cx="847724" cy="4105275"/>
          <a:chOff x="114301" y="142875"/>
          <a:chExt cx="847724" cy="3924300"/>
        </a:xfrm>
      </xdr:grpSpPr>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4" name="Picture 3">
            <a:hlinkClick xmlns:r="http://schemas.openxmlformats.org/officeDocument/2006/relationships" r:id="rId2"/>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5" name="Picture 4">
            <a:hlinkClick xmlns:r="http://schemas.openxmlformats.org/officeDocument/2006/relationships" r:id="rId5"/>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6" name="Picture 5">
            <a:hlinkClick xmlns:r="http://schemas.openxmlformats.org/officeDocument/2006/relationships" r:id="rId7"/>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29</xdr:row>
      <xdr:rowOff>142874</xdr:rowOff>
    </xdr:from>
    <xdr:to>
      <xdr:col>0</xdr:col>
      <xdr:colOff>962025</xdr:colOff>
      <xdr:row>51</xdr:row>
      <xdr:rowOff>57149</xdr:rowOff>
    </xdr:to>
    <xdr:grpSp>
      <xdr:nvGrpSpPr>
        <xdr:cNvPr id="7" name="Group 6">
          <a:extLst>
            <a:ext uri="{FF2B5EF4-FFF2-40B4-BE49-F238E27FC236}">
              <a16:creationId xmlns:a16="http://schemas.microsoft.com/office/drawing/2014/main" id="{00000000-0008-0000-0400-000007000000}"/>
            </a:ext>
          </a:extLst>
        </xdr:cNvPr>
        <xdr:cNvGrpSpPr/>
      </xdr:nvGrpSpPr>
      <xdr:grpSpPr>
        <a:xfrm>
          <a:off x="114301" y="5667374"/>
          <a:ext cx="847724" cy="4105275"/>
          <a:chOff x="114301" y="142875"/>
          <a:chExt cx="847724" cy="3924300"/>
        </a:xfrm>
      </xdr:grpSpPr>
      <xdr:pic>
        <xdr:nvPicPr>
          <xdr:cNvPr id="8" name="Picture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9" name="Picture 8">
            <a:hlinkClick xmlns:r="http://schemas.openxmlformats.org/officeDocument/2006/relationships" r:id="rId2"/>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10" name="Picture 9">
            <a:hlinkClick xmlns:r="http://schemas.openxmlformats.org/officeDocument/2006/relationships" r:id="rId5"/>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11" name="Picture 10">
            <a:hlinkClick xmlns:r="http://schemas.openxmlformats.org/officeDocument/2006/relationships" r:id="rId7"/>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58</xdr:row>
      <xdr:rowOff>142874</xdr:rowOff>
    </xdr:from>
    <xdr:to>
      <xdr:col>0</xdr:col>
      <xdr:colOff>962025</xdr:colOff>
      <xdr:row>80</xdr:row>
      <xdr:rowOff>57149</xdr:rowOff>
    </xdr:to>
    <xdr:grpSp>
      <xdr:nvGrpSpPr>
        <xdr:cNvPr id="12" name="Group 11">
          <a:extLst>
            <a:ext uri="{FF2B5EF4-FFF2-40B4-BE49-F238E27FC236}">
              <a16:creationId xmlns:a16="http://schemas.microsoft.com/office/drawing/2014/main" id="{00000000-0008-0000-0400-00000C000000}"/>
            </a:ext>
          </a:extLst>
        </xdr:cNvPr>
        <xdr:cNvGrpSpPr/>
      </xdr:nvGrpSpPr>
      <xdr:grpSpPr>
        <a:xfrm>
          <a:off x="114301" y="11191874"/>
          <a:ext cx="847724" cy="4105275"/>
          <a:chOff x="114301" y="142875"/>
          <a:chExt cx="847724" cy="3924300"/>
        </a:xfrm>
      </xdr:grpSpPr>
      <xdr:pic>
        <xdr:nvPicPr>
          <xdr:cNvPr id="13" name="Picture 12">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14" name="Picture 13">
            <a:hlinkClick xmlns:r="http://schemas.openxmlformats.org/officeDocument/2006/relationships" r:id="rId2"/>
            <a:extLst>
              <a:ext uri="{FF2B5EF4-FFF2-40B4-BE49-F238E27FC236}">
                <a16:creationId xmlns:a16="http://schemas.microsoft.com/office/drawing/2014/main" id="{00000000-0008-0000-0400-00000E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15" name="Picture 14">
            <a:hlinkClick xmlns:r="http://schemas.openxmlformats.org/officeDocument/2006/relationships" r:id="rId5"/>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16" name="Picture 15">
            <a:hlinkClick xmlns:r="http://schemas.openxmlformats.org/officeDocument/2006/relationships" r:id="rId7"/>
            <a:extLst>
              <a:ext uri="{FF2B5EF4-FFF2-40B4-BE49-F238E27FC236}">
                <a16:creationId xmlns:a16="http://schemas.microsoft.com/office/drawing/2014/main" id="{00000000-0008-0000-0400-000010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114301</xdr:colOff>
      <xdr:row>0</xdr:row>
      <xdr:rowOff>142874</xdr:rowOff>
    </xdr:from>
    <xdr:to>
      <xdr:col>0</xdr:col>
      <xdr:colOff>962025</xdr:colOff>
      <xdr:row>22</xdr:row>
      <xdr:rowOff>57149</xdr:rowOff>
    </xdr:to>
    <xdr:grpSp>
      <xdr:nvGrpSpPr>
        <xdr:cNvPr id="2" name="Group 1">
          <a:extLst>
            <a:ext uri="{FF2B5EF4-FFF2-40B4-BE49-F238E27FC236}">
              <a16:creationId xmlns:a16="http://schemas.microsoft.com/office/drawing/2014/main" id="{00000000-0008-0000-0500-000002000000}"/>
            </a:ext>
          </a:extLst>
        </xdr:cNvPr>
        <xdr:cNvGrpSpPr/>
      </xdr:nvGrpSpPr>
      <xdr:grpSpPr>
        <a:xfrm>
          <a:off x="114301" y="142874"/>
          <a:ext cx="847724" cy="4105275"/>
          <a:chOff x="114301" y="142875"/>
          <a:chExt cx="847724" cy="3924300"/>
        </a:xfrm>
      </xdr:grpSpPr>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4" name="Picture 3">
            <a:hlinkClick xmlns:r="http://schemas.openxmlformats.org/officeDocument/2006/relationships" r:id="rId2"/>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5" name="Picture 4">
            <a:hlinkClick xmlns:r="http://schemas.openxmlformats.org/officeDocument/2006/relationships" r:id="rId5"/>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6" name="Picture 5">
            <a:hlinkClick xmlns:r="http://schemas.openxmlformats.org/officeDocument/2006/relationships" r:id="rId7"/>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29</xdr:row>
      <xdr:rowOff>142874</xdr:rowOff>
    </xdr:from>
    <xdr:to>
      <xdr:col>0</xdr:col>
      <xdr:colOff>962025</xdr:colOff>
      <xdr:row>51</xdr:row>
      <xdr:rowOff>57149</xdr:rowOff>
    </xdr:to>
    <xdr:grpSp>
      <xdr:nvGrpSpPr>
        <xdr:cNvPr id="7" name="Group 6">
          <a:extLst>
            <a:ext uri="{FF2B5EF4-FFF2-40B4-BE49-F238E27FC236}">
              <a16:creationId xmlns:a16="http://schemas.microsoft.com/office/drawing/2014/main" id="{00000000-0008-0000-0500-000007000000}"/>
            </a:ext>
          </a:extLst>
        </xdr:cNvPr>
        <xdr:cNvGrpSpPr/>
      </xdr:nvGrpSpPr>
      <xdr:grpSpPr>
        <a:xfrm>
          <a:off x="114301" y="5667374"/>
          <a:ext cx="847724" cy="4105275"/>
          <a:chOff x="114301" y="142875"/>
          <a:chExt cx="847724" cy="3924300"/>
        </a:xfrm>
      </xdr:grpSpPr>
      <xdr:pic>
        <xdr:nvPicPr>
          <xdr:cNvPr id="8" name="Picture 7">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9" name="Picture 8">
            <a:hlinkClick xmlns:r="http://schemas.openxmlformats.org/officeDocument/2006/relationships" r:id="rId2"/>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10" name="Picture 9">
            <a:hlinkClick xmlns:r="http://schemas.openxmlformats.org/officeDocument/2006/relationships" r:id="rId5"/>
            <a:extLst>
              <a:ext uri="{FF2B5EF4-FFF2-40B4-BE49-F238E27FC236}">
                <a16:creationId xmlns:a16="http://schemas.microsoft.com/office/drawing/2014/main" id="{00000000-0008-0000-0500-00000A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11" name="Picture 10">
            <a:hlinkClick xmlns:r="http://schemas.openxmlformats.org/officeDocument/2006/relationships" r:id="rId7"/>
            <a:extLst>
              <a:ext uri="{FF2B5EF4-FFF2-40B4-BE49-F238E27FC236}">
                <a16:creationId xmlns:a16="http://schemas.microsoft.com/office/drawing/2014/main" id="{00000000-0008-0000-0500-00000B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58</xdr:row>
      <xdr:rowOff>142874</xdr:rowOff>
    </xdr:from>
    <xdr:to>
      <xdr:col>0</xdr:col>
      <xdr:colOff>962025</xdr:colOff>
      <xdr:row>80</xdr:row>
      <xdr:rowOff>57149</xdr:rowOff>
    </xdr:to>
    <xdr:grpSp>
      <xdr:nvGrpSpPr>
        <xdr:cNvPr id="12" name="Group 11">
          <a:extLst>
            <a:ext uri="{FF2B5EF4-FFF2-40B4-BE49-F238E27FC236}">
              <a16:creationId xmlns:a16="http://schemas.microsoft.com/office/drawing/2014/main" id="{00000000-0008-0000-0500-00000C000000}"/>
            </a:ext>
          </a:extLst>
        </xdr:cNvPr>
        <xdr:cNvGrpSpPr/>
      </xdr:nvGrpSpPr>
      <xdr:grpSpPr>
        <a:xfrm>
          <a:off x="114301" y="11191874"/>
          <a:ext cx="847724" cy="4105275"/>
          <a:chOff x="114301" y="142875"/>
          <a:chExt cx="847724" cy="3924300"/>
        </a:xfrm>
      </xdr:grpSpPr>
      <xdr:pic>
        <xdr:nvPicPr>
          <xdr:cNvPr id="13" name="Picture 12">
            <a:extLst>
              <a:ext uri="{FF2B5EF4-FFF2-40B4-BE49-F238E27FC236}">
                <a16:creationId xmlns:a16="http://schemas.microsoft.com/office/drawing/2014/main" id="{00000000-0008-0000-0500-00000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14" name="Picture 13">
            <a:hlinkClick xmlns:r="http://schemas.openxmlformats.org/officeDocument/2006/relationships" r:id="rId2"/>
            <a:extLst>
              <a:ext uri="{FF2B5EF4-FFF2-40B4-BE49-F238E27FC236}">
                <a16:creationId xmlns:a16="http://schemas.microsoft.com/office/drawing/2014/main" id="{00000000-0008-0000-0500-00000E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15" name="Picture 14">
            <a:hlinkClick xmlns:r="http://schemas.openxmlformats.org/officeDocument/2006/relationships" r:id="rId5"/>
            <a:extLst>
              <a:ext uri="{FF2B5EF4-FFF2-40B4-BE49-F238E27FC236}">
                <a16:creationId xmlns:a16="http://schemas.microsoft.com/office/drawing/2014/main" id="{00000000-0008-0000-0500-00000F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16" name="Picture 15">
            <a:hlinkClick xmlns:r="http://schemas.openxmlformats.org/officeDocument/2006/relationships" r:id="rId7"/>
            <a:extLst>
              <a:ext uri="{FF2B5EF4-FFF2-40B4-BE49-F238E27FC236}">
                <a16:creationId xmlns:a16="http://schemas.microsoft.com/office/drawing/2014/main" id="{00000000-0008-0000-0500-000010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114301</xdr:colOff>
      <xdr:row>0</xdr:row>
      <xdr:rowOff>142874</xdr:rowOff>
    </xdr:from>
    <xdr:to>
      <xdr:col>0</xdr:col>
      <xdr:colOff>962025</xdr:colOff>
      <xdr:row>22</xdr:row>
      <xdr:rowOff>57149</xdr:rowOff>
    </xdr:to>
    <xdr:grpSp>
      <xdr:nvGrpSpPr>
        <xdr:cNvPr id="2" name="Group 1">
          <a:extLst>
            <a:ext uri="{FF2B5EF4-FFF2-40B4-BE49-F238E27FC236}">
              <a16:creationId xmlns:a16="http://schemas.microsoft.com/office/drawing/2014/main" id="{00000000-0008-0000-0600-000002000000}"/>
            </a:ext>
          </a:extLst>
        </xdr:cNvPr>
        <xdr:cNvGrpSpPr/>
      </xdr:nvGrpSpPr>
      <xdr:grpSpPr>
        <a:xfrm>
          <a:off x="114301" y="142874"/>
          <a:ext cx="847724" cy="4105275"/>
          <a:chOff x="114301" y="142875"/>
          <a:chExt cx="847724" cy="3924300"/>
        </a:xfrm>
      </xdr:grpSpPr>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4" name="Picture 3">
            <a:hlinkClick xmlns:r="http://schemas.openxmlformats.org/officeDocument/2006/relationships" r:id="rId2"/>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5" name="Picture 4">
            <a:hlinkClick xmlns:r="http://schemas.openxmlformats.org/officeDocument/2006/relationships" r:id="rId5"/>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6" name="Picture 5">
            <a:hlinkClick xmlns:r="http://schemas.openxmlformats.org/officeDocument/2006/relationships" r:id="rId7"/>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29</xdr:row>
      <xdr:rowOff>142874</xdr:rowOff>
    </xdr:from>
    <xdr:to>
      <xdr:col>0</xdr:col>
      <xdr:colOff>962025</xdr:colOff>
      <xdr:row>51</xdr:row>
      <xdr:rowOff>57149</xdr:rowOff>
    </xdr:to>
    <xdr:grpSp>
      <xdr:nvGrpSpPr>
        <xdr:cNvPr id="7" name="Group 6">
          <a:extLst>
            <a:ext uri="{FF2B5EF4-FFF2-40B4-BE49-F238E27FC236}">
              <a16:creationId xmlns:a16="http://schemas.microsoft.com/office/drawing/2014/main" id="{00000000-0008-0000-0600-000007000000}"/>
            </a:ext>
          </a:extLst>
        </xdr:cNvPr>
        <xdr:cNvGrpSpPr/>
      </xdr:nvGrpSpPr>
      <xdr:grpSpPr>
        <a:xfrm>
          <a:off x="114301" y="5667374"/>
          <a:ext cx="847724" cy="4105275"/>
          <a:chOff x="114301" y="142875"/>
          <a:chExt cx="847724" cy="3924300"/>
        </a:xfrm>
      </xdr:grpSpPr>
      <xdr:pic>
        <xdr:nvPicPr>
          <xdr:cNvPr id="8" name="Picture 7">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9" name="Picture 8">
            <a:hlinkClick xmlns:r="http://schemas.openxmlformats.org/officeDocument/2006/relationships" r:id="rId2"/>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10" name="Picture 9">
            <a:hlinkClick xmlns:r="http://schemas.openxmlformats.org/officeDocument/2006/relationships" r:id="rId5"/>
            <a:extLst>
              <a:ext uri="{FF2B5EF4-FFF2-40B4-BE49-F238E27FC236}">
                <a16:creationId xmlns:a16="http://schemas.microsoft.com/office/drawing/2014/main" id="{00000000-0008-0000-0600-00000A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11" name="Picture 10">
            <a:hlinkClick xmlns:r="http://schemas.openxmlformats.org/officeDocument/2006/relationships" r:id="rId7"/>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58</xdr:row>
      <xdr:rowOff>142874</xdr:rowOff>
    </xdr:from>
    <xdr:to>
      <xdr:col>0</xdr:col>
      <xdr:colOff>962025</xdr:colOff>
      <xdr:row>80</xdr:row>
      <xdr:rowOff>57149</xdr:rowOff>
    </xdr:to>
    <xdr:grpSp>
      <xdr:nvGrpSpPr>
        <xdr:cNvPr id="12" name="Group 11">
          <a:extLst>
            <a:ext uri="{FF2B5EF4-FFF2-40B4-BE49-F238E27FC236}">
              <a16:creationId xmlns:a16="http://schemas.microsoft.com/office/drawing/2014/main" id="{00000000-0008-0000-0600-00000C000000}"/>
            </a:ext>
          </a:extLst>
        </xdr:cNvPr>
        <xdr:cNvGrpSpPr/>
      </xdr:nvGrpSpPr>
      <xdr:grpSpPr>
        <a:xfrm>
          <a:off x="114301" y="11191874"/>
          <a:ext cx="847724" cy="4105275"/>
          <a:chOff x="114301" y="142875"/>
          <a:chExt cx="847724" cy="3924300"/>
        </a:xfrm>
      </xdr:grpSpPr>
      <xdr:pic>
        <xdr:nvPicPr>
          <xdr:cNvPr id="13" name="Picture 12">
            <a:extLst>
              <a:ext uri="{FF2B5EF4-FFF2-40B4-BE49-F238E27FC236}">
                <a16:creationId xmlns:a16="http://schemas.microsoft.com/office/drawing/2014/main" id="{00000000-0008-0000-0600-00000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14" name="Picture 13">
            <a:hlinkClick xmlns:r="http://schemas.openxmlformats.org/officeDocument/2006/relationships" r:id="rId2"/>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15" name="Picture 14">
            <a:hlinkClick xmlns:r="http://schemas.openxmlformats.org/officeDocument/2006/relationships" r:id="rId5"/>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16" name="Picture 15">
            <a:hlinkClick xmlns:r="http://schemas.openxmlformats.org/officeDocument/2006/relationships" r:id="rId7"/>
            <a:extLst>
              <a:ext uri="{FF2B5EF4-FFF2-40B4-BE49-F238E27FC236}">
                <a16:creationId xmlns:a16="http://schemas.microsoft.com/office/drawing/2014/main" id="{00000000-0008-0000-0600-000010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114301</xdr:colOff>
      <xdr:row>0</xdr:row>
      <xdr:rowOff>142874</xdr:rowOff>
    </xdr:from>
    <xdr:to>
      <xdr:col>0</xdr:col>
      <xdr:colOff>962025</xdr:colOff>
      <xdr:row>22</xdr:row>
      <xdr:rowOff>57149</xdr:rowOff>
    </xdr:to>
    <xdr:grpSp>
      <xdr:nvGrpSpPr>
        <xdr:cNvPr id="2" name="Group 1">
          <a:extLst>
            <a:ext uri="{FF2B5EF4-FFF2-40B4-BE49-F238E27FC236}">
              <a16:creationId xmlns:a16="http://schemas.microsoft.com/office/drawing/2014/main" id="{00000000-0008-0000-0700-000002000000}"/>
            </a:ext>
          </a:extLst>
        </xdr:cNvPr>
        <xdr:cNvGrpSpPr/>
      </xdr:nvGrpSpPr>
      <xdr:grpSpPr>
        <a:xfrm>
          <a:off x="114301" y="142874"/>
          <a:ext cx="847724" cy="4105275"/>
          <a:chOff x="114301" y="142875"/>
          <a:chExt cx="847724" cy="3924300"/>
        </a:xfrm>
      </xdr:grpSpPr>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4" name="Picture 3">
            <a:hlinkClick xmlns:r="http://schemas.openxmlformats.org/officeDocument/2006/relationships" r:id="rId2"/>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5" name="Picture 4">
            <a:hlinkClick xmlns:r="http://schemas.openxmlformats.org/officeDocument/2006/relationships" r:id="rId5"/>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6" name="Picture 5">
            <a:hlinkClick xmlns:r="http://schemas.openxmlformats.org/officeDocument/2006/relationships" r:id="rId7"/>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29</xdr:row>
      <xdr:rowOff>142874</xdr:rowOff>
    </xdr:from>
    <xdr:to>
      <xdr:col>0</xdr:col>
      <xdr:colOff>962025</xdr:colOff>
      <xdr:row>51</xdr:row>
      <xdr:rowOff>57149</xdr:rowOff>
    </xdr:to>
    <xdr:grpSp>
      <xdr:nvGrpSpPr>
        <xdr:cNvPr id="7" name="Group 6">
          <a:extLst>
            <a:ext uri="{FF2B5EF4-FFF2-40B4-BE49-F238E27FC236}">
              <a16:creationId xmlns:a16="http://schemas.microsoft.com/office/drawing/2014/main" id="{00000000-0008-0000-0700-000007000000}"/>
            </a:ext>
          </a:extLst>
        </xdr:cNvPr>
        <xdr:cNvGrpSpPr/>
      </xdr:nvGrpSpPr>
      <xdr:grpSpPr>
        <a:xfrm>
          <a:off x="114301" y="5667374"/>
          <a:ext cx="847724" cy="4105275"/>
          <a:chOff x="114301" y="142875"/>
          <a:chExt cx="847724" cy="3924300"/>
        </a:xfrm>
      </xdr:grpSpPr>
      <xdr:pic>
        <xdr:nvPicPr>
          <xdr:cNvPr id="8" name="Picture 7">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9" name="Picture 8">
            <a:hlinkClick xmlns:r="http://schemas.openxmlformats.org/officeDocument/2006/relationships" r:id="rId2"/>
            <a:extLst>
              <a:ext uri="{FF2B5EF4-FFF2-40B4-BE49-F238E27FC236}">
                <a16:creationId xmlns:a16="http://schemas.microsoft.com/office/drawing/2014/main" id="{00000000-0008-0000-0700-000009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10" name="Picture 9">
            <a:hlinkClick xmlns:r="http://schemas.openxmlformats.org/officeDocument/2006/relationships" r:id="rId5"/>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11" name="Picture 10">
            <a:hlinkClick xmlns:r="http://schemas.openxmlformats.org/officeDocument/2006/relationships" r:id="rId7"/>
            <a:extLst>
              <a:ext uri="{FF2B5EF4-FFF2-40B4-BE49-F238E27FC236}">
                <a16:creationId xmlns:a16="http://schemas.microsoft.com/office/drawing/2014/main" id="{00000000-0008-0000-0700-00000B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58</xdr:row>
      <xdr:rowOff>142874</xdr:rowOff>
    </xdr:from>
    <xdr:to>
      <xdr:col>0</xdr:col>
      <xdr:colOff>962025</xdr:colOff>
      <xdr:row>80</xdr:row>
      <xdr:rowOff>57149</xdr:rowOff>
    </xdr:to>
    <xdr:grpSp>
      <xdr:nvGrpSpPr>
        <xdr:cNvPr id="12" name="Group 11">
          <a:extLst>
            <a:ext uri="{FF2B5EF4-FFF2-40B4-BE49-F238E27FC236}">
              <a16:creationId xmlns:a16="http://schemas.microsoft.com/office/drawing/2014/main" id="{00000000-0008-0000-0700-00000C000000}"/>
            </a:ext>
          </a:extLst>
        </xdr:cNvPr>
        <xdr:cNvGrpSpPr/>
      </xdr:nvGrpSpPr>
      <xdr:grpSpPr>
        <a:xfrm>
          <a:off x="114301" y="11191874"/>
          <a:ext cx="847724" cy="4105275"/>
          <a:chOff x="114301" y="142875"/>
          <a:chExt cx="847724" cy="3924300"/>
        </a:xfrm>
      </xdr:grpSpPr>
      <xdr:pic>
        <xdr:nvPicPr>
          <xdr:cNvPr id="13" name="Picture 12">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14" name="Picture 13">
            <a:hlinkClick xmlns:r="http://schemas.openxmlformats.org/officeDocument/2006/relationships" r:id="rId2"/>
            <a:extLst>
              <a:ext uri="{FF2B5EF4-FFF2-40B4-BE49-F238E27FC236}">
                <a16:creationId xmlns:a16="http://schemas.microsoft.com/office/drawing/2014/main" id="{00000000-0008-0000-0700-00000E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15" name="Picture 14">
            <a:hlinkClick xmlns:r="http://schemas.openxmlformats.org/officeDocument/2006/relationships" r:id="rId5"/>
            <a:extLst>
              <a:ext uri="{FF2B5EF4-FFF2-40B4-BE49-F238E27FC236}">
                <a16:creationId xmlns:a16="http://schemas.microsoft.com/office/drawing/2014/main" id="{00000000-0008-0000-0700-00000F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16" name="Picture 15">
            <a:hlinkClick xmlns:r="http://schemas.openxmlformats.org/officeDocument/2006/relationships" r:id="rId7"/>
            <a:extLst>
              <a:ext uri="{FF2B5EF4-FFF2-40B4-BE49-F238E27FC236}">
                <a16:creationId xmlns:a16="http://schemas.microsoft.com/office/drawing/2014/main" id="{00000000-0008-0000-0700-000010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114301</xdr:colOff>
      <xdr:row>0</xdr:row>
      <xdr:rowOff>142874</xdr:rowOff>
    </xdr:from>
    <xdr:to>
      <xdr:col>0</xdr:col>
      <xdr:colOff>962025</xdr:colOff>
      <xdr:row>22</xdr:row>
      <xdr:rowOff>57149</xdr:rowOff>
    </xdr:to>
    <xdr:grpSp>
      <xdr:nvGrpSpPr>
        <xdr:cNvPr id="2" name="Group 1">
          <a:extLst>
            <a:ext uri="{FF2B5EF4-FFF2-40B4-BE49-F238E27FC236}">
              <a16:creationId xmlns:a16="http://schemas.microsoft.com/office/drawing/2014/main" id="{00000000-0008-0000-0800-000002000000}"/>
            </a:ext>
          </a:extLst>
        </xdr:cNvPr>
        <xdr:cNvGrpSpPr/>
      </xdr:nvGrpSpPr>
      <xdr:grpSpPr>
        <a:xfrm>
          <a:off x="114301" y="142874"/>
          <a:ext cx="847724" cy="4105275"/>
          <a:chOff x="114301" y="142875"/>
          <a:chExt cx="847724" cy="3924300"/>
        </a:xfrm>
      </xdr:grpSpPr>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4" name="Picture 3">
            <a:hlinkClick xmlns:r="http://schemas.openxmlformats.org/officeDocument/2006/relationships" r:id="rId2"/>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5" name="Picture 4">
            <a:hlinkClick xmlns:r="http://schemas.openxmlformats.org/officeDocument/2006/relationships" r:id="rId5"/>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6" name="Picture 5">
            <a:hlinkClick xmlns:r="http://schemas.openxmlformats.org/officeDocument/2006/relationships" r:id="rId7"/>
            <a:extLst>
              <a:ext uri="{FF2B5EF4-FFF2-40B4-BE49-F238E27FC236}">
                <a16:creationId xmlns:a16="http://schemas.microsoft.com/office/drawing/2014/main" id="{00000000-0008-0000-0800-000006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29</xdr:row>
      <xdr:rowOff>142874</xdr:rowOff>
    </xdr:from>
    <xdr:to>
      <xdr:col>0</xdr:col>
      <xdr:colOff>962025</xdr:colOff>
      <xdr:row>51</xdr:row>
      <xdr:rowOff>57149</xdr:rowOff>
    </xdr:to>
    <xdr:grpSp>
      <xdr:nvGrpSpPr>
        <xdr:cNvPr id="7" name="Group 6">
          <a:extLst>
            <a:ext uri="{FF2B5EF4-FFF2-40B4-BE49-F238E27FC236}">
              <a16:creationId xmlns:a16="http://schemas.microsoft.com/office/drawing/2014/main" id="{00000000-0008-0000-0800-000007000000}"/>
            </a:ext>
          </a:extLst>
        </xdr:cNvPr>
        <xdr:cNvGrpSpPr/>
      </xdr:nvGrpSpPr>
      <xdr:grpSpPr>
        <a:xfrm>
          <a:off x="114301" y="5667374"/>
          <a:ext cx="847724" cy="4105275"/>
          <a:chOff x="114301" y="142875"/>
          <a:chExt cx="847724" cy="3924300"/>
        </a:xfrm>
      </xdr:grpSpPr>
      <xdr:pic>
        <xdr:nvPicPr>
          <xdr:cNvPr id="8" name="Picture 7">
            <a:extLst>
              <a:ext uri="{FF2B5EF4-FFF2-40B4-BE49-F238E27FC236}">
                <a16:creationId xmlns:a16="http://schemas.microsoft.com/office/drawing/2014/main" id="{00000000-0008-0000-08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9" name="Picture 8">
            <a:hlinkClick xmlns:r="http://schemas.openxmlformats.org/officeDocument/2006/relationships" r:id="rId2"/>
            <a:extLst>
              <a:ext uri="{FF2B5EF4-FFF2-40B4-BE49-F238E27FC236}">
                <a16:creationId xmlns:a16="http://schemas.microsoft.com/office/drawing/2014/main" id="{00000000-0008-0000-0800-000009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10" name="Picture 9">
            <a:hlinkClick xmlns:r="http://schemas.openxmlformats.org/officeDocument/2006/relationships" r:id="rId5"/>
            <a:extLst>
              <a:ext uri="{FF2B5EF4-FFF2-40B4-BE49-F238E27FC236}">
                <a16:creationId xmlns:a16="http://schemas.microsoft.com/office/drawing/2014/main" id="{00000000-0008-0000-0800-00000A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11" name="Picture 10">
            <a:hlinkClick xmlns:r="http://schemas.openxmlformats.org/officeDocument/2006/relationships" r:id="rId7"/>
            <a:extLst>
              <a:ext uri="{FF2B5EF4-FFF2-40B4-BE49-F238E27FC236}">
                <a16:creationId xmlns:a16="http://schemas.microsoft.com/office/drawing/2014/main" id="{00000000-0008-0000-0800-00000B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58</xdr:row>
      <xdr:rowOff>142874</xdr:rowOff>
    </xdr:from>
    <xdr:to>
      <xdr:col>0</xdr:col>
      <xdr:colOff>962025</xdr:colOff>
      <xdr:row>80</xdr:row>
      <xdr:rowOff>57149</xdr:rowOff>
    </xdr:to>
    <xdr:grpSp>
      <xdr:nvGrpSpPr>
        <xdr:cNvPr id="12" name="Group 11">
          <a:extLst>
            <a:ext uri="{FF2B5EF4-FFF2-40B4-BE49-F238E27FC236}">
              <a16:creationId xmlns:a16="http://schemas.microsoft.com/office/drawing/2014/main" id="{00000000-0008-0000-0800-00000C000000}"/>
            </a:ext>
          </a:extLst>
        </xdr:cNvPr>
        <xdr:cNvGrpSpPr/>
      </xdr:nvGrpSpPr>
      <xdr:grpSpPr>
        <a:xfrm>
          <a:off x="114301" y="11191874"/>
          <a:ext cx="847724" cy="4105275"/>
          <a:chOff x="114301" y="142875"/>
          <a:chExt cx="847724" cy="3924300"/>
        </a:xfrm>
      </xdr:grpSpPr>
      <xdr:pic>
        <xdr:nvPicPr>
          <xdr:cNvPr id="13" name="Picture 12">
            <a:extLst>
              <a:ext uri="{FF2B5EF4-FFF2-40B4-BE49-F238E27FC236}">
                <a16:creationId xmlns:a16="http://schemas.microsoft.com/office/drawing/2014/main" id="{00000000-0008-0000-0800-00000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14" name="Picture 13">
            <a:hlinkClick xmlns:r="http://schemas.openxmlformats.org/officeDocument/2006/relationships" r:id="rId2"/>
            <a:extLst>
              <a:ext uri="{FF2B5EF4-FFF2-40B4-BE49-F238E27FC236}">
                <a16:creationId xmlns:a16="http://schemas.microsoft.com/office/drawing/2014/main" id="{00000000-0008-0000-0800-00000E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15" name="Picture 14">
            <a:hlinkClick xmlns:r="http://schemas.openxmlformats.org/officeDocument/2006/relationships" r:id="rId5"/>
            <a:extLst>
              <a:ext uri="{FF2B5EF4-FFF2-40B4-BE49-F238E27FC236}">
                <a16:creationId xmlns:a16="http://schemas.microsoft.com/office/drawing/2014/main" id="{00000000-0008-0000-0800-00000F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16" name="Picture 15">
            <a:hlinkClick xmlns:r="http://schemas.openxmlformats.org/officeDocument/2006/relationships" r:id="rId7"/>
            <a:extLst>
              <a:ext uri="{FF2B5EF4-FFF2-40B4-BE49-F238E27FC236}">
                <a16:creationId xmlns:a16="http://schemas.microsoft.com/office/drawing/2014/main" id="{00000000-0008-0000-0800-000010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114301</xdr:colOff>
      <xdr:row>0</xdr:row>
      <xdr:rowOff>142874</xdr:rowOff>
    </xdr:from>
    <xdr:to>
      <xdr:col>0</xdr:col>
      <xdr:colOff>962025</xdr:colOff>
      <xdr:row>22</xdr:row>
      <xdr:rowOff>57149</xdr:rowOff>
    </xdr:to>
    <xdr:grpSp>
      <xdr:nvGrpSpPr>
        <xdr:cNvPr id="2" name="Group 1">
          <a:extLst>
            <a:ext uri="{FF2B5EF4-FFF2-40B4-BE49-F238E27FC236}">
              <a16:creationId xmlns:a16="http://schemas.microsoft.com/office/drawing/2014/main" id="{00000000-0008-0000-0900-000002000000}"/>
            </a:ext>
          </a:extLst>
        </xdr:cNvPr>
        <xdr:cNvGrpSpPr/>
      </xdr:nvGrpSpPr>
      <xdr:grpSpPr>
        <a:xfrm>
          <a:off x="114301" y="142874"/>
          <a:ext cx="847724" cy="4105275"/>
          <a:chOff x="114301" y="142875"/>
          <a:chExt cx="847724" cy="3924300"/>
        </a:xfrm>
      </xdr:grpSpPr>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4" name="Picture 3">
            <a:hlinkClick xmlns:r="http://schemas.openxmlformats.org/officeDocument/2006/relationships" r:id="rId2"/>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5" name="Picture 4">
            <a:hlinkClick xmlns:r="http://schemas.openxmlformats.org/officeDocument/2006/relationships" r:id="rId5"/>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6" name="Picture 5">
            <a:hlinkClick xmlns:r="http://schemas.openxmlformats.org/officeDocument/2006/relationships" r:id="rId7"/>
            <a:extLst>
              <a:ext uri="{FF2B5EF4-FFF2-40B4-BE49-F238E27FC236}">
                <a16:creationId xmlns:a16="http://schemas.microsoft.com/office/drawing/2014/main" id="{00000000-0008-0000-0900-000006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29</xdr:row>
      <xdr:rowOff>142874</xdr:rowOff>
    </xdr:from>
    <xdr:to>
      <xdr:col>0</xdr:col>
      <xdr:colOff>962025</xdr:colOff>
      <xdr:row>51</xdr:row>
      <xdr:rowOff>57149</xdr:rowOff>
    </xdr:to>
    <xdr:grpSp>
      <xdr:nvGrpSpPr>
        <xdr:cNvPr id="7" name="Group 6">
          <a:extLst>
            <a:ext uri="{FF2B5EF4-FFF2-40B4-BE49-F238E27FC236}">
              <a16:creationId xmlns:a16="http://schemas.microsoft.com/office/drawing/2014/main" id="{00000000-0008-0000-0900-000007000000}"/>
            </a:ext>
          </a:extLst>
        </xdr:cNvPr>
        <xdr:cNvGrpSpPr/>
      </xdr:nvGrpSpPr>
      <xdr:grpSpPr>
        <a:xfrm>
          <a:off x="114301" y="5667374"/>
          <a:ext cx="847724" cy="4105275"/>
          <a:chOff x="114301" y="142875"/>
          <a:chExt cx="847724" cy="3924300"/>
        </a:xfrm>
      </xdr:grpSpPr>
      <xdr:pic>
        <xdr:nvPicPr>
          <xdr:cNvPr id="8" name="Picture 7">
            <a:extLst>
              <a:ext uri="{FF2B5EF4-FFF2-40B4-BE49-F238E27FC236}">
                <a16:creationId xmlns:a16="http://schemas.microsoft.com/office/drawing/2014/main" id="{00000000-0008-0000-09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9" name="Picture 8">
            <a:hlinkClick xmlns:r="http://schemas.openxmlformats.org/officeDocument/2006/relationships" r:id="rId2"/>
            <a:extLst>
              <a:ext uri="{FF2B5EF4-FFF2-40B4-BE49-F238E27FC236}">
                <a16:creationId xmlns:a16="http://schemas.microsoft.com/office/drawing/2014/main" id="{00000000-0008-0000-0900-000009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10" name="Picture 9">
            <a:hlinkClick xmlns:r="http://schemas.openxmlformats.org/officeDocument/2006/relationships" r:id="rId5"/>
            <a:extLst>
              <a:ext uri="{FF2B5EF4-FFF2-40B4-BE49-F238E27FC236}">
                <a16:creationId xmlns:a16="http://schemas.microsoft.com/office/drawing/2014/main" id="{00000000-0008-0000-0900-00000A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11" name="Picture 10">
            <a:hlinkClick xmlns:r="http://schemas.openxmlformats.org/officeDocument/2006/relationships" r:id="rId7"/>
            <a:extLst>
              <a:ext uri="{FF2B5EF4-FFF2-40B4-BE49-F238E27FC236}">
                <a16:creationId xmlns:a16="http://schemas.microsoft.com/office/drawing/2014/main" id="{00000000-0008-0000-0900-00000B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58</xdr:row>
      <xdr:rowOff>142874</xdr:rowOff>
    </xdr:from>
    <xdr:to>
      <xdr:col>0</xdr:col>
      <xdr:colOff>962025</xdr:colOff>
      <xdr:row>80</xdr:row>
      <xdr:rowOff>57149</xdr:rowOff>
    </xdr:to>
    <xdr:grpSp>
      <xdr:nvGrpSpPr>
        <xdr:cNvPr id="12" name="Group 11">
          <a:extLst>
            <a:ext uri="{FF2B5EF4-FFF2-40B4-BE49-F238E27FC236}">
              <a16:creationId xmlns:a16="http://schemas.microsoft.com/office/drawing/2014/main" id="{00000000-0008-0000-0900-00000C000000}"/>
            </a:ext>
          </a:extLst>
        </xdr:cNvPr>
        <xdr:cNvGrpSpPr/>
      </xdr:nvGrpSpPr>
      <xdr:grpSpPr>
        <a:xfrm>
          <a:off x="114301" y="11191874"/>
          <a:ext cx="847724" cy="4105275"/>
          <a:chOff x="114301" y="142875"/>
          <a:chExt cx="847724" cy="3924300"/>
        </a:xfrm>
      </xdr:grpSpPr>
      <xdr:pic>
        <xdr:nvPicPr>
          <xdr:cNvPr id="13" name="Picture 12">
            <a:extLst>
              <a:ext uri="{FF2B5EF4-FFF2-40B4-BE49-F238E27FC236}">
                <a16:creationId xmlns:a16="http://schemas.microsoft.com/office/drawing/2014/main" id="{00000000-0008-0000-0900-00000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14" name="Picture 13">
            <a:hlinkClick xmlns:r="http://schemas.openxmlformats.org/officeDocument/2006/relationships" r:id="rId2"/>
            <a:extLst>
              <a:ext uri="{FF2B5EF4-FFF2-40B4-BE49-F238E27FC236}">
                <a16:creationId xmlns:a16="http://schemas.microsoft.com/office/drawing/2014/main" id="{00000000-0008-0000-0900-00000E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15" name="Picture 14">
            <a:hlinkClick xmlns:r="http://schemas.openxmlformats.org/officeDocument/2006/relationships" r:id="rId5"/>
            <a:extLst>
              <a:ext uri="{FF2B5EF4-FFF2-40B4-BE49-F238E27FC236}">
                <a16:creationId xmlns:a16="http://schemas.microsoft.com/office/drawing/2014/main" id="{00000000-0008-0000-0900-00000F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16" name="Picture 15">
            <a:hlinkClick xmlns:r="http://schemas.openxmlformats.org/officeDocument/2006/relationships" r:id="rId7"/>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114301</xdr:colOff>
      <xdr:row>0</xdr:row>
      <xdr:rowOff>142874</xdr:rowOff>
    </xdr:from>
    <xdr:to>
      <xdr:col>0</xdr:col>
      <xdr:colOff>962025</xdr:colOff>
      <xdr:row>22</xdr:row>
      <xdr:rowOff>57149</xdr:rowOff>
    </xdr:to>
    <xdr:grpSp>
      <xdr:nvGrpSpPr>
        <xdr:cNvPr id="2" name="Group 1">
          <a:extLst>
            <a:ext uri="{FF2B5EF4-FFF2-40B4-BE49-F238E27FC236}">
              <a16:creationId xmlns:a16="http://schemas.microsoft.com/office/drawing/2014/main" id="{00000000-0008-0000-0A00-000002000000}"/>
            </a:ext>
          </a:extLst>
        </xdr:cNvPr>
        <xdr:cNvGrpSpPr/>
      </xdr:nvGrpSpPr>
      <xdr:grpSpPr>
        <a:xfrm>
          <a:off x="114301" y="142874"/>
          <a:ext cx="847724" cy="4105275"/>
          <a:chOff x="114301" y="142875"/>
          <a:chExt cx="847724" cy="3924300"/>
        </a:xfrm>
      </xdr:grpSpPr>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4" name="Picture 3">
            <a:hlinkClick xmlns:r="http://schemas.openxmlformats.org/officeDocument/2006/relationships" r:id="rId2"/>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5" name="Picture 4">
            <a:hlinkClick xmlns:r="http://schemas.openxmlformats.org/officeDocument/2006/relationships" r:id="rId5"/>
            <a:extLst>
              <a:ext uri="{FF2B5EF4-FFF2-40B4-BE49-F238E27FC236}">
                <a16:creationId xmlns:a16="http://schemas.microsoft.com/office/drawing/2014/main" id="{00000000-0008-0000-0A00-000005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6" name="Picture 5">
            <a:hlinkClick xmlns:r="http://schemas.openxmlformats.org/officeDocument/2006/relationships" r:id="rId7"/>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29</xdr:row>
      <xdr:rowOff>142874</xdr:rowOff>
    </xdr:from>
    <xdr:to>
      <xdr:col>0</xdr:col>
      <xdr:colOff>962025</xdr:colOff>
      <xdr:row>51</xdr:row>
      <xdr:rowOff>57149</xdr:rowOff>
    </xdr:to>
    <xdr:grpSp>
      <xdr:nvGrpSpPr>
        <xdr:cNvPr id="7" name="Group 6">
          <a:extLst>
            <a:ext uri="{FF2B5EF4-FFF2-40B4-BE49-F238E27FC236}">
              <a16:creationId xmlns:a16="http://schemas.microsoft.com/office/drawing/2014/main" id="{00000000-0008-0000-0A00-000007000000}"/>
            </a:ext>
          </a:extLst>
        </xdr:cNvPr>
        <xdr:cNvGrpSpPr/>
      </xdr:nvGrpSpPr>
      <xdr:grpSpPr>
        <a:xfrm>
          <a:off x="114301" y="5667374"/>
          <a:ext cx="847724" cy="4105275"/>
          <a:chOff x="114301" y="142875"/>
          <a:chExt cx="847724" cy="3924300"/>
        </a:xfrm>
      </xdr:grpSpPr>
      <xdr:pic>
        <xdr:nvPicPr>
          <xdr:cNvPr id="8" name="Picture 7">
            <a:extLst>
              <a:ext uri="{FF2B5EF4-FFF2-40B4-BE49-F238E27FC236}">
                <a16:creationId xmlns:a16="http://schemas.microsoft.com/office/drawing/2014/main" id="{00000000-0008-0000-0A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9" name="Picture 8">
            <a:hlinkClick xmlns:r="http://schemas.openxmlformats.org/officeDocument/2006/relationships" r:id="rId2"/>
            <a:extLst>
              <a:ext uri="{FF2B5EF4-FFF2-40B4-BE49-F238E27FC236}">
                <a16:creationId xmlns:a16="http://schemas.microsoft.com/office/drawing/2014/main" id="{00000000-0008-0000-0A00-000009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10" name="Picture 9">
            <a:hlinkClick xmlns:r="http://schemas.openxmlformats.org/officeDocument/2006/relationships" r:id="rId5"/>
            <a:extLst>
              <a:ext uri="{FF2B5EF4-FFF2-40B4-BE49-F238E27FC236}">
                <a16:creationId xmlns:a16="http://schemas.microsoft.com/office/drawing/2014/main" id="{00000000-0008-0000-0A00-00000A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11" name="Picture 10">
            <a:hlinkClick xmlns:r="http://schemas.openxmlformats.org/officeDocument/2006/relationships" r:id="rId7"/>
            <a:extLst>
              <a:ext uri="{FF2B5EF4-FFF2-40B4-BE49-F238E27FC236}">
                <a16:creationId xmlns:a16="http://schemas.microsoft.com/office/drawing/2014/main" id="{00000000-0008-0000-0A00-00000B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58</xdr:row>
      <xdr:rowOff>142874</xdr:rowOff>
    </xdr:from>
    <xdr:to>
      <xdr:col>0</xdr:col>
      <xdr:colOff>962025</xdr:colOff>
      <xdr:row>80</xdr:row>
      <xdr:rowOff>57149</xdr:rowOff>
    </xdr:to>
    <xdr:grpSp>
      <xdr:nvGrpSpPr>
        <xdr:cNvPr id="12" name="Group 11">
          <a:extLst>
            <a:ext uri="{FF2B5EF4-FFF2-40B4-BE49-F238E27FC236}">
              <a16:creationId xmlns:a16="http://schemas.microsoft.com/office/drawing/2014/main" id="{00000000-0008-0000-0A00-00000C000000}"/>
            </a:ext>
          </a:extLst>
        </xdr:cNvPr>
        <xdr:cNvGrpSpPr/>
      </xdr:nvGrpSpPr>
      <xdr:grpSpPr>
        <a:xfrm>
          <a:off x="114301" y="11191874"/>
          <a:ext cx="847724" cy="4105275"/>
          <a:chOff x="114301" y="142875"/>
          <a:chExt cx="847724" cy="3924300"/>
        </a:xfrm>
      </xdr:grpSpPr>
      <xdr:pic>
        <xdr:nvPicPr>
          <xdr:cNvPr id="13" name="Picture 12">
            <a:extLst>
              <a:ext uri="{FF2B5EF4-FFF2-40B4-BE49-F238E27FC236}">
                <a16:creationId xmlns:a16="http://schemas.microsoft.com/office/drawing/2014/main" id="{00000000-0008-0000-0A00-00000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14" name="Picture 13">
            <a:hlinkClick xmlns:r="http://schemas.openxmlformats.org/officeDocument/2006/relationships" r:id="rId2"/>
            <a:extLst>
              <a:ext uri="{FF2B5EF4-FFF2-40B4-BE49-F238E27FC236}">
                <a16:creationId xmlns:a16="http://schemas.microsoft.com/office/drawing/2014/main" id="{00000000-0008-0000-0A00-00000E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15" name="Picture 14">
            <a:hlinkClick xmlns:r="http://schemas.openxmlformats.org/officeDocument/2006/relationships" r:id="rId5"/>
            <a:extLst>
              <a:ext uri="{FF2B5EF4-FFF2-40B4-BE49-F238E27FC236}">
                <a16:creationId xmlns:a16="http://schemas.microsoft.com/office/drawing/2014/main" id="{00000000-0008-0000-0A00-00000F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16" name="Picture 15">
            <a:hlinkClick xmlns:r="http://schemas.openxmlformats.org/officeDocument/2006/relationships" r:id="rId7"/>
            <a:extLst>
              <a:ext uri="{FF2B5EF4-FFF2-40B4-BE49-F238E27FC236}">
                <a16:creationId xmlns:a16="http://schemas.microsoft.com/office/drawing/2014/main" id="{00000000-0008-0000-0A00-000010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114301</xdr:colOff>
      <xdr:row>0</xdr:row>
      <xdr:rowOff>142874</xdr:rowOff>
    </xdr:from>
    <xdr:to>
      <xdr:col>0</xdr:col>
      <xdr:colOff>962025</xdr:colOff>
      <xdr:row>22</xdr:row>
      <xdr:rowOff>57149</xdr:rowOff>
    </xdr:to>
    <xdr:grpSp>
      <xdr:nvGrpSpPr>
        <xdr:cNvPr id="2" name="Group 1">
          <a:extLst>
            <a:ext uri="{FF2B5EF4-FFF2-40B4-BE49-F238E27FC236}">
              <a16:creationId xmlns:a16="http://schemas.microsoft.com/office/drawing/2014/main" id="{00000000-0008-0000-0B00-000002000000}"/>
            </a:ext>
          </a:extLst>
        </xdr:cNvPr>
        <xdr:cNvGrpSpPr/>
      </xdr:nvGrpSpPr>
      <xdr:grpSpPr>
        <a:xfrm>
          <a:off x="114301" y="142874"/>
          <a:ext cx="847724" cy="4105275"/>
          <a:chOff x="114301" y="142875"/>
          <a:chExt cx="847724" cy="3924300"/>
        </a:xfrm>
      </xdr:grpSpPr>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4" name="Picture 3">
            <a:hlinkClick xmlns:r="http://schemas.openxmlformats.org/officeDocument/2006/relationships" r:id="rId2"/>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5" name="Picture 4">
            <a:hlinkClick xmlns:r="http://schemas.openxmlformats.org/officeDocument/2006/relationships" r:id="rId5"/>
            <a:extLst>
              <a:ext uri="{FF2B5EF4-FFF2-40B4-BE49-F238E27FC236}">
                <a16:creationId xmlns:a16="http://schemas.microsoft.com/office/drawing/2014/main" id="{00000000-0008-0000-0B00-000005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6" name="Picture 5">
            <a:hlinkClick xmlns:r="http://schemas.openxmlformats.org/officeDocument/2006/relationships" r:id="rId7"/>
            <a:extLst>
              <a:ext uri="{FF2B5EF4-FFF2-40B4-BE49-F238E27FC236}">
                <a16:creationId xmlns:a16="http://schemas.microsoft.com/office/drawing/2014/main" id="{00000000-0008-0000-0B00-000006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29</xdr:row>
      <xdr:rowOff>142874</xdr:rowOff>
    </xdr:from>
    <xdr:to>
      <xdr:col>0</xdr:col>
      <xdr:colOff>962025</xdr:colOff>
      <xdr:row>51</xdr:row>
      <xdr:rowOff>57149</xdr:rowOff>
    </xdr:to>
    <xdr:grpSp>
      <xdr:nvGrpSpPr>
        <xdr:cNvPr id="7" name="Group 6">
          <a:extLst>
            <a:ext uri="{FF2B5EF4-FFF2-40B4-BE49-F238E27FC236}">
              <a16:creationId xmlns:a16="http://schemas.microsoft.com/office/drawing/2014/main" id="{00000000-0008-0000-0B00-000007000000}"/>
            </a:ext>
          </a:extLst>
        </xdr:cNvPr>
        <xdr:cNvGrpSpPr/>
      </xdr:nvGrpSpPr>
      <xdr:grpSpPr>
        <a:xfrm>
          <a:off x="114301" y="5667374"/>
          <a:ext cx="847724" cy="4105275"/>
          <a:chOff x="114301" y="142875"/>
          <a:chExt cx="847724" cy="3924300"/>
        </a:xfrm>
      </xdr:grpSpPr>
      <xdr:pic>
        <xdr:nvPicPr>
          <xdr:cNvPr id="8" name="Picture 7">
            <a:extLst>
              <a:ext uri="{FF2B5EF4-FFF2-40B4-BE49-F238E27FC236}">
                <a16:creationId xmlns:a16="http://schemas.microsoft.com/office/drawing/2014/main" id="{00000000-0008-0000-0B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9" name="Picture 8">
            <a:hlinkClick xmlns:r="http://schemas.openxmlformats.org/officeDocument/2006/relationships" r:id="rId2"/>
            <a:extLst>
              <a:ext uri="{FF2B5EF4-FFF2-40B4-BE49-F238E27FC236}">
                <a16:creationId xmlns:a16="http://schemas.microsoft.com/office/drawing/2014/main" id="{00000000-0008-0000-0B00-000009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10" name="Picture 9">
            <a:hlinkClick xmlns:r="http://schemas.openxmlformats.org/officeDocument/2006/relationships" r:id="rId5"/>
            <a:extLst>
              <a:ext uri="{FF2B5EF4-FFF2-40B4-BE49-F238E27FC236}">
                <a16:creationId xmlns:a16="http://schemas.microsoft.com/office/drawing/2014/main" id="{00000000-0008-0000-0B00-00000A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11" name="Picture 10">
            <a:hlinkClick xmlns:r="http://schemas.openxmlformats.org/officeDocument/2006/relationships" r:id="rId7"/>
            <a:extLst>
              <a:ext uri="{FF2B5EF4-FFF2-40B4-BE49-F238E27FC236}">
                <a16:creationId xmlns:a16="http://schemas.microsoft.com/office/drawing/2014/main" id="{00000000-0008-0000-0B00-00000B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58</xdr:row>
      <xdr:rowOff>142874</xdr:rowOff>
    </xdr:from>
    <xdr:to>
      <xdr:col>0</xdr:col>
      <xdr:colOff>962025</xdr:colOff>
      <xdr:row>80</xdr:row>
      <xdr:rowOff>57149</xdr:rowOff>
    </xdr:to>
    <xdr:grpSp>
      <xdr:nvGrpSpPr>
        <xdr:cNvPr id="12" name="Group 11">
          <a:extLst>
            <a:ext uri="{FF2B5EF4-FFF2-40B4-BE49-F238E27FC236}">
              <a16:creationId xmlns:a16="http://schemas.microsoft.com/office/drawing/2014/main" id="{00000000-0008-0000-0B00-00000C000000}"/>
            </a:ext>
          </a:extLst>
        </xdr:cNvPr>
        <xdr:cNvGrpSpPr/>
      </xdr:nvGrpSpPr>
      <xdr:grpSpPr>
        <a:xfrm>
          <a:off x="114301" y="11191874"/>
          <a:ext cx="847724" cy="4105275"/>
          <a:chOff x="114301" y="142875"/>
          <a:chExt cx="847724" cy="3924300"/>
        </a:xfrm>
      </xdr:grpSpPr>
      <xdr:pic>
        <xdr:nvPicPr>
          <xdr:cNvPr id="13" name="Picture 12">
            <a:extLst>
              <a:ext uri="{FF2B5EF4-FFF2-40B4-BE49-F238E27FC236}">
                <a16:creationId xmlns:a16="http://schemas.microsoft.com/office/drawing/2014/main" id="{00000000-0008-0000-0B00-00000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14" name="Picture 13">
            <a:hlinkClick xmlns:r="http://schemas.openxmlformats.org/officeDocument/2006/relationships" r:id="rId2"/>
            <a:extLst>
              <a:ext uri="{FF2B5EF4-FFF2-40B4-BE49-F238E27FC236}">
                <a16:creationId xmlns:a16="http://schemas.microsoft.com/office/drawing/2014/main" id="{00000000-0008-0000-0B00-00000E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15" name="Picture 14">
            <a:hlinkClick xmlns:r="http://schemas.openxmlformats.org/officeDocument/2006/relationships" r:id="rId5"/>
            <a:extLst>
              <a:ext uri="{FF2B5EF4-FFF2-40B4-BE49-F238E27FC236}">
                <a16:creationId xmlns:a16="http://schemas.microsoft.com/office/drawing/2014/main" id="{00000000-0008-0000-0B00-00000F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16" name="Picture 15">
            <a:hlinkClick xmlns:r="http://schemas.openxmlformats.org/officeDocument/2006/relationships" r:id="rId7"/>
            <a:extLst>
              <a:ext uri="{FF2B5EF4-FFF2-40B4-BE49-F238E27FC236}">
                <a16:creationId xmlns:a16="http://schemas.microsoft.com/office/drawing/2014/main" id="{00000000-0008-0000-0B00-000010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114301</xdr:colOff>
      <xdr:row>0</xdr:row>
      <xdr:rowOff>142874</xdr:rowOff>
    </xdr:from>
    <xdr:to>
      <xdr:col>0</xdr:col>
      <xdr:colOff>962025</xdr:colOff>
      <xdr:row>22</xdr:row>
      <xdr:rowOff>57149</xdr:rowOff>
    </xdr:to>
    <xdr:grpSp>
      <xdr:nvGrpSpPr>
        <xdr:cNvPr id="2" name="Group 1">
          <a:extLst>
            <a:ext uri="{FF2B5EF4-FFF2-40B4-BE49-F238E27FC236}">
              <a16:creationId xmlns:a16="http://schemas.microsoft.com/office/drawing/2014/main" id="{00000000-0008-0000-0C00-000002000000}"/>
            </a:ext>
          </a:extLst>
        </xdr:cNvPr>
        <xdr:cNvGrpSpPr/>
      </xdr:nvGrpSpPr>
      <xdr:grpSpPr>
        <a:xfrm>
          <a:off x="114301" y="142874"/>
          <a:ext cx="847724" cy="4105275"/>
          <a:chOff x="114301" y="142875"/>
          <a:chExt cx="847724" cy="3924300"/>
        </a:xfrm>
      </xdr:grpSpPr>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4" name="Picture 3">
            <a:hlinkClick xmlns:r="http://schemas.openxmlformats.org/officeDocument/2006/relationships" r:id="rId2"/>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5" name="Picture 4">
            <a:hlinkClick xmlns:r="http://schemas.openxmlformats.org/officeDocument/2006/relationships" r:id="rId5"/>
            <a:extLst>
              <a:ext uri="{FF2B5EF4-FFF2-40B4-BE49-F238E27FC236}">
                <a16:creationId xmlns:a16="http://schemas.microsoft.com/office/drawing/2014/main" id="{00000000-0008-0000-0C00-000005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6" name="Picture 5">
            <a:hlinkClick xmlns:r="http://schemas.openxmlformats.org/officeDocument/2006/relationships" r:id="rId7"/>
            <a:extLst>
              <a:ext uri="{FF2B5EF4-FFF2-40B4-BE49-F238E27FC236}">
                <a16:creationId xmlns:a16="http://schemas.microsoft.com/office/drawing/2014/main" id="{00000000-0008-0000-0C00-000006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29</xdr:row>
      <xdr:rowOff>142874</xdr:rowOff>
    </xdr:from>
    <xdr:to>
      <xdr:col>0</xdr:col>
      <xdr:colOff>962025</xdr:colOff>
      <xdr:row>51</xdr:row>
      <xdr:rowOff>57149</xdr:rowOff>
    </xdr:to>
    <xdr:grpSp>
      <xdr:nvGrpSpPr>
        <xdr:cNvPr id="7" name="Group 6">
          <a:extLst>
            <a:ext uri="{FF2B5EF4-FFF2-40B4-BE49-F238E27FC236}">
              <a16:creationId xmlns:a16="http://schemas.microsoft.com/office/drawing/2014/main" id="{00000000-0008-0000-0C00-000007000000}"/>
            </a:ext>
          </a:extLst>
        </xdr:cNvPr>
        <xdr:cNvGrpSpPr/>
      </xdr:nvGrpSpPr>
      <xdr:grpSpPr>
        <a:xfrm>
          <a:off x="114301" y="5667374"/>
          <a:ext cx="847724" cy="4105275"/>
          <a:chOff x="114301" y="142875"/>
          <a:chExt cx="847724" cy="3924300"/>
        </a:xfrm>
      </xdr:grpSpPr>
      <xdr:pic>
        <xdr:nvPicPr>
          <xdr:cNvPr id="8" name="Picture 7">
            <a:extLst>
              <a:ext uri="{FF2B5EF4-FFF2-40B4-BE49-F238E27FC236}">
                <a16:creationId xmlns:a16="http://schemas.microsoft.com/office/drawing/2014/main" id="{00000000-0008-0000-0C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9" name="Picture 8">
            <a:hlinkClick xmlns:r="http://schemas.openxmlformats.org/officeDocument/2006/relationships" r:id="rId2"/>
            <a:extLst>
              <a:ext uri="{FF2B5EF4-FFF2-40B4-BE49-F238E27FC236}">
                <a16:creationId xmlns:a16="http://schemas.microsoft.com/office/drawing/2014/main" id="{00000000-0008-0000-0C00-000009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10" name="Picture 9">
            <a:hlinkClick xmlns:r="http://schemas.openxmlformats.org/officeDocument/2006/relationships" r:id="rId5"/>
            <a:extLst>
              <a:ext uri="{FF2B5EF4-FFF2-40B4-BE49-F238E27FC236}">
                <a16:creationId xmlns:a16="http://schemas.microsoft.com/office/drawing/2014/main" id="{00000000-0008-0000-0C00-00000A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11" name="Picture 10">
            <a:hlinkClick xmlns:r="http://schemas.openxmlformats.org/officeDocument/2006/relationships" r:id="rId7"/>
            <a:extLst>
              <a:ext uri="{FF2B5EF4-FFF2-40B4-BE49-F238E27FC236}">
                <a16:creationId xmlns:a16="http://schemas.microsoft.com/office/drawing/2014/main" id="{00000000-0008-0000-0C00-00000B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58</xdr:row>
      <xdr:rowOff>142874</xdr:rowOff>
    </xdr:from>
    <xdr:to>
      <xdr:col>0</xdr:col>
      <xdr:colOff>962025</xdr:colOff>
      <xdr:row>80</xdr:row>
      <xdr:rowOff>57149</xdr:rowOff>
    </xdr:to>
    <xdr:grpSp>
      <xdr:nvGrpSpPr>
        <xdr:cNvPr id="12" name="Group 11">
          <a:extLst>
            <a:ext uri="{FF2B5EF4-FFF2-40B4-BE49-F238E27FC236}">
              <a16:creationId xmlns:a16="http://schemas.microsoft.com/office/drawing/2014/main" id="{00000000-0008-0000-0C00-00000C000000}"/>
            </a:ext>
          </a:extLst>
        </xdr:cNvPr>
        <xdr:cNvGrpSpPr/>
      </xdr:nvGrpSpPr>
      <xdr:grpSpPr>
        <a:xfrm>
          <a:off x="114301" y="11191874"/>
          <a:ext cx="847724" cy="4105275"/>
          <a:chOff x="114301" y="142875"/>
          <a:chExt cx="847724" cy="3924300"/>
        </a:xfrm>
      </xdr:grpSpPr>
      <xdr:pic>
        <xdr:nvPicPr>
          <xdr:cNvPr id="13" name="Picture 12">
            <a:extLst>
              <a:ext uri="{FF2B5EF4-FFF2-40B4-BE49-F238E27FC236}">
                <a16:creationId xmlns:a16="http://schemas.microsoft.com/office/drawing/2014/main" id="{00000000-0008-0000-0C00-00000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14" name="Picture 13">
            <a:hlinkClick xmlns:r="http://schemas.openxmlformats.org/officeDocument/2006/relationships" r:id="rId2"/>
            <a:extLst>
              <a:ext uri="{FF2B5EF4-FFF2-40B4-BE49-F238E27FC236}">
                <a16:creationId xmlns:a16="http://schemas.microsoft.com/office/drawing/2014/main" id="{00000000-0008-0000-0C00-00000E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15" name="Picture 14">
            <a:hlinkClick xmlns:r="http://schemas.openxmlformats.org/officeDocument/2006/relationships" r:id="rId5"/>
            <a:extLst>
              <a:ext uri="{FF2B5EF4-FFF2-40B4-BE49-F238E27FC236}">
                <a16:creationId xmlns:a16="http://schemas.microsoft.com/office/drawing/2014/main" id="{00000000-0008-0000-0C00-00000F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16" name="Picture 15">
            <a:hlinkClick xmlns:r="http://schemas.openxmlformats.org/officeDocument/2006/relationships" r:id="rId7"/>
            <a:extLst>
              <a:ext uri="{FF2B5EF4-FFF2-40B4-BE49-F238E27FC236}">
                <a16:creationId xmlns:a16="http://schemas.microsoft.com/office/drawing/2014/main" id="{00000000-0008-0000-0C00-000010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114301</xdr:colOff>
      <xdr:row>0</xdr:row>
      <xdr:rowOff>142874</xdr:rowOff>
    </xdr:from>
    <xdr:to>
      <xdr:col>0</xdr:col>
      <xdr:colOff>962025</xdr:colOff>
      <xdr:row>22</xdr:row>
      <xdr:rowOff>57149</xdr:rowOff>
    </xdr:to>
    <xdr:grpSp>
      <xdr:nvGrpSpPr>
        <xdr:cNvPr id="2" name="Group 1">
          <a:extLst>
            <a:ext uri="{FF2B5EF4-FFF2-40B4-BE49-F238E27FC236}">
              <a16:creationId xmlns:a16="http://schemas.microsoft.com/office/drawing/2014/main" id="{00000000-0008-0000-0D00-000002000000}"/>
            </a:ext>
          </a:extLst>
        </xdr:cNvPr>
        <xdr:cNvGrpSpPr/>
      </xdr:nvGrpSpPr>
      <xdr:grpSpPr>
        <a:xfrm>
          <a:off x="114301" y="142874"/>
          <a:ext cx="847724" cy="4105275"/>
          <a:chOff x="114301" y="142875"/>
          <a:chExt cx="847724" cy="3924300"/>
        </a:xfrm>
      </xdr:grpSpPr>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4" name="Picture 3">
            <a:hlinkClick xmlns:r="http://schemas.openxmlformats.org/officeDocument/2006/relationships" r:id="rId2"/>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5" name="Picture 4">
            <a:hlinkClick xmlns:r="http://schemas.openxmlformats.org/officeDocument/2006/relationships" r:id="rId5"/>
            <a:extLst>
              <a:ext uri="{FF2B5EF4-FFF2-40B4-BE49-F238E27FC236}">
                <a16:creationId xmlns:a16="http://schemas.microsoft.com/office/drawing/2014/main" id="{00000000-0008-0000-0D00-000005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6" name="Picture 5">
            <a:hlinkClick xmlns:r="http://schemas.openxmlformats.org/officeDocument/2006/relationships" r:id="rId7"/>
            <a:extLst>
              <a:ext uri="{FF2B5EF4-FFF2-40B4-BE49-F238E27FC236}">
                <a16:creationId xmlns:a16="http://schemas.microsoft.com/office/drawing/2014/main" id="{00000000-0008-0000-0D00-000006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29</xdr:row>
      <xdr:rowOff>142874</xdr:rowOff>
    </xdr:from>
    <xdr:to>
      <xdr:col>0</xdr:col>
      <xdr:colOff>962025</xdr:colOff>
      <xdr:row>51</xdr:row>
      <xdr:rowOff>57149</xdr:rowOff>
    </xdr:to>
    <xdr:grpSp>
      <xdr:nvGrpSpPr>
        <xdr:cNvPr id="7" name="Group 6">
          <a:extLst>
            <a:ext uri="{FF2B5EF4-FFF2-40B4-BE49-F238E27FC236}">
              <a16:creationId xmlns:a16="http://schemas.microsoft.com/office/drawing/2014/main" id="{00000000-0008-0000-0D00-000007000000}"/>
            </a:ext>
          </a:extLst>
        </xdr:cNvPr>
        <xdr:cNvGrpSpPr/>
      </xdr:nvGrpSpPr>
      <xdr:grpSpPr>
        <a:xfrm>
          <a:off x="114301" y="5667374"/>
          <a:ext cx="847724" cy="4105275"/>
          <a:chOff x="114301" y="142875"/>
          <a:chExt cx="847724" cy="3924300"/>
        </a:xfrm>
      </xdr:grpSpPr>
      <xdr:pic>
        <xdr:nvPicPr>
          <xdr:cNvPr id="8" name="Picture 7">
            <a:extLst>
              <a:ext uri="{FF2B5EF4-FFF2-40B4-BE49-F238E27FC236}">
                <a16:creationId xmlns:a16="http://schemas.microsoft.com/office/drawing/2014/main" id="{00000000-0008-0000-0D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9" name="Picture 8">
            <a:hlinkClick xmlns:r="http://schemas.openxmlformats.org/officeDocument/2006/relationships" r:id="rId2"/>
            <a:extLst>
              <a:ext uri="{FF2B5EF4-FFF2-40B4-BE49-F238E27FC236}">
                <a16:creationId xmlns:a16="http://schemas.microsoft.com/office/drawing/2014/main" id="{00000000-0008-0000-0D00-000009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10" name="Picture 9">
            <a:hlinkClick xmlns:r="http://schemas.openxmlformats.org/officeDocument/2006/relationships" r:id="rId5"/>
            <a:extLst>
              <a:ext uri="{FF2B5EF4-FFF2-40B4-BE49-F238E27FC236}">
                <a16:creationId xmlns:a16="http://schemas.microsoft.com/office/drawing/2014/main" id="{00000000-0008-0000-0D00-00000A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11" name="Picture 10">
            <a:hlinkClick xmlns:r="http://schemas.openxmlformats.org/officeDocument/2006/relationships" r:id="rId7"/>
            <a:extLst>
              <a:ext uri="{FF2B5EF4-FFF2-40B4-BE49-F238E27FC236}">
                <a16:creationId xmlns:a16="http://schemas.microsoft.com/office/drawing/2014/main" id="{00000000-0008-0000-0D00-00000B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58</xdr:row>
      <xdr:rowOff>142874</xdr:rowOff>
    </xdr:from>
    <xdr:to>
      <xdr:col>0</xdr:col>
      <xdr:colOff>962025</xdr:colOff>
      <xdr:row>80</xdr:row>
      <xdr:rowOff>57149</xdr:rowOff>
    </xdr:to>
    <xdr:grpSp>
      <xdr:nvGrpSpPr>
        <xdr:cNvPr id="12" name="Group 11">
          <a:extLst>
            <a:ext uri="{FF2B5EF4-FFF2-40B4-BE49-F238E27FC236}">
              <a16:creationId xmlns:a16="http://schemas.microsoft.com/office/drawing/2014/main" id="{00000000-0008-0000-0D00-00000C000000}"/>
            </a:ext>
          </a:extLst>
        </xdr:cNvPr>
        <xdr:cNvGrpSpPr/>
      </xdr:nvGrpSpPr>
      <xdr:grpSpPr>
        <a:xfrm>
          <a:off x="114301" y="11191874"/>
          <a:ext cx="847724" cy="4105275"/>
          <a:chOff x="114301" y="142875"/>
          <a:chExt cx="847724" cy="3924300"/>
        </a:xfrm>
      </xdr:grpSpPr>
      <xdr:pic>
        <xdr:nvPicPr>
          <xdr:cNvPr id="13" name="Picture 12">
            <a:extLst>
              <a:ext uri="{FF2B5EF4-FFF2-40B4-BE49-F238E27FC236}">
                <a16:creationId xmlns:a16="http://schemas.microsoft.com/office/drawing/2014/main" id="{00000000-0008-0000-0D00-00000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14" name="Picture 13">
            <a:hlinkClick xmlns:r="http://schemas.openxmlformats.org/officeDocument/2006/relationships" r:id="rId2"/>
            <a:extLst>
              <a:ext uri="{FF2B5EF4-FFF2-40B4-BE49-F238E27FC236}">
                <a16:creationId xmlns:a16="http://schemas.microsoft.com/office/drawing/2014/main" id="{00000000-0008-0000-0D00-00000E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15" name="Picture 14">
            <a:hlinkClick xmlns:r="http://schemas.openxmlformats.org/officeDocument/2006/relationships" r:id="rId5"/>
            <a:extLst>
              <a:ext uri="{FF2B5EF4-FFF2-40B4-BE49-F238E27FC236}">
                <a16:creationId xmlns:a16="http://schemas.microsoft.com/office/drawing/2014/main" id="{00000000-0008-0000-0D00-00000F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16" name="Picture 15">
            <a:hlinkClick xmlns:r="http://schemas.openxmlformats.org/officeDocument/2006/relationships" r:id="rId7"/>
            <a:extLst>
              <a:ext uri="{FF2B5EF4-FFF2-40B4-BE49-F238E27FC236}">
                <a16:creationId xmlns:a16="http://schemas.microsoft.com/office/drawing/2014/main" id="{00000000-0008-0000-0D00-000010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114301</xdr:colOff>
      <xdr:row>0</xdr:row>
      <xdr:rowOff>142874</xdr:rowOff>
    </xdr:from>
    <xdr:to>
      <xdr:col>0</xdr:col>
      <xdr:colOff>962025</xdr:colOff>
      <xdr:row>22</xdr:row>
      <xdr:rowOff>57149</xdr:rowOff>
    </xdr:to>
    <xdr:grpSp>
      <xdr:nvGrpSpPr>
        <xdr:cNvPr id="17" name="Group 16">
          <a:extLst>
            <a:ext uri="{FF2B5EF4-FFF2-40B4-BE49-F238E27FC236}">
              <a16:creationId xmlns:a16="http://schemas.microsoft.com/office/drawing/2014/main" id="{00000000-0008-0000-0E00-000011000000}"/>
            </a:ext>
          </a:extLst>
        </xdr:cNvPr>
        <xdr:cNvGrpSpPr/>
      </xdr:nvGrpSpPr>
      <xdr:grpSpPr>
        <a:xfrm>
          <a:off x="114301" y="142874"/>
          <a:ext cx="847724" cy="4105275"/>
          <a:chOff x="114301" y="142875"/>
          <a:chExt cx="847724" cy="3924300"/>
        </a:xfrm>
      </xdr:grpSpPr>
      <xdr:pic>
        <xdr:nvPicPr>
          <xdr:cNvPr id="18" name="Picture 17">
            <a:extLst>
              <a:ext uri="{FF2B5EF4-FFF2-40B4-BE49-F238E27FC236}">
                <a16:creationId xmlns:a16="http://schemas.microsoft.com/office/drawing/2014/main" id="{00000000-0008-0000-0E00-00001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19" name="Picture 18">
            <a:hlinkClick xmlns:r="http://schemas.openxmlformats.org/officeDocument/2006/relationships" r:id="rId2"/>
            <a:extLst>
              <a:ext uri="{FF2B5EF4-FFF2-40B4-BE49-F238E27FC236}">
                <a16:creationId xmlns:a16="http://schemas.microsoft.com/office/drawing/2014/main" id="{00000000-0008-0000-0E00-000013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20" name="Picture 19">
            <a:hlinkClick xmlns:r="http://schemas.openxmlformats.org/officeDocument/2006/relationships" r:id="rId5"/>
            <a:extLst>
              <a:ext uri="{FF2B5EF4-FFF2-40B4-BE49-F238E27FC236}">
                <a16:creationId xmlns:a16="http://schemas.microsoft.com/office/drawing/2014/main" id="{00000000-0008-0000-0E00-000014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21" name="Picture 20">
            <a:hlinkClick xmlns:r="http://schemas.openxmlformats.org/officeDocument/2006/relationships" r:id="rId7"/>
            <a:extLst>
              <a:ext uri="{FF2B5EF4-FFF2-40B4-BE49-F238E27FC236}">
                <a16:creationId xmlns:a16="http://schemas.microsoft.com/office/drawing/2014/main" id="{00000000-0008-0000-0E00-000015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29</xdr:row>
      <xdr:rowOff>142874</xdr:rowOff>
    </xdr:from>
    <xdr:to>
      <xdr:col>0</xdr:col>
      <xdr:colOff>962025</xdr:colOff>
      <xdr:row>51</xdr:row>
      <xdr:rowOff>57149</xdr:rowOff>
    </xdr:to>
    <xdr:grpSp>
      <xdr:nvGrpSpPr>
        <xdr:cNvPr id="22" name="Group 21">
          <a:extLst>
            <a:ext uri="{FF2B5EF4-FFF2-40B4-BE49-F238E27FC236}">
              <a16:creationId xmlns:a16="http://schemas.microsoft.com/office/drawing/2014/main" id="{00000000-0008-0000-0E00-000016000000}"/>
            </a:ext>
          </a:extLst>
        </xdr:cNvPr>
        <xdr:cNvGrpSpPr/>
      </xdr:nvGrpSpPr>
      <xdr:grpSpPr>
        <a:xfrm>
          <a:off x="114301" y="5667374"/>
          <a:ext cx="847724" cy="4105275"/>
          <a:chOff x="114301" y="142875"/>
          <a:chExt cx="847724" cy="3924300"/>
        </a:xfrm>
      </xdr:grpSpPr>
      <xdr:pic>
        <xdr:nvPicPr>
          <xdr:cNvPr id="23" name="Picture 22">
            <a:extLst>
              <a:ext uri="{FF2B5EF4-FFF2-40B4-BE49-F238E27FC236}">
                <a16:creationId xmlns:a16="http://schemas.microsoft.com/office/drawing/2014/main" id="{00000000-0008-0000-0E00-00001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24" name="Picture 23">
            <a:hlinkClick xmlns:r="http://schemas.openxmlformats.org/officeDocument/2006/relationships" r:id="rId2"/>
            <a:extLst>
              <a:ext uri="{FF2B5EF4-FFF2-40B4-BE49-F238E27FC236}">
                <a16:creationId xmlns:a16="http://schemas.microsoft.com/office/drawing/2014/main" id="{00000000-0008-0000-0E00-000018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25" name="Picture 24">
            <a:hlinkClick xmlns:r="http://schemas.openxmlformats.org/officeDocument/2006/relationships" r:id="rId5"/>
            <a:extLst>
              <a:ext uri="{FF2B5EF4-FFF2-40B4-BE49-F238E27FC236}">
                <a16:creationId xmlns:a16="http://schemas.microsoft.com/office/drawing/2014/main" id="{00000000-0008-0000-0E00-000019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26" name="Picture 25">
            <a:hlinkClick xmlns:r="http://schemas.openxmlformats.org/officeDocument/2006/relationships" r:id="rId7"/>
            <a:extLst>
              <a:ext uri="{FF2B5EF4-FFF2-40B4-BE49-F238E27FC236}">
                <a16:creationId xmlns:a16="http://schemas.microsoft.com/office/drawing/2014/main" id="{00000000-0008-0000-0E00-00001A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58</xdr:row>
      <xdr:rowOff>142874</xdr:rowOff>
    </xdr:from>
    <xdr:to>
      <xdr:col>0</xdr:col>
      <xdr:colOff>962025</xdr:colOff>
      <xdr:row>80</xdr:row>
      <xdr:rowOff>57149</xdr:rowOff>
    </xdr:to>
    <xdr:grpSp>
      <xdr:nvGrpSpPr>
        <xdr:cNvPr id="27" name="Group 26">
          <a:extLst>
            <a:ext uri="{FF2B5EF4-FFF2-40B4-BE49-F238E27FC236}">
              <a16:creationId xmlns:a16="http://schemas.microsoft.com/office/drawing/2014/main" id="{00000000-0008-0000-0E00-00001B000000}"/>
            </a:ext>
          </a:extLst>
        </xdr:cNvPr>
        <xdr:cNvGrpSpPr/>
      </xdr:nvGrpSpPr>
      <xdr:grpSpPr>
        <a:xfrm>
          <a:off x="114301" y="11191874"/>
          <a:ext cx="847724" cy="4105275"/>
          <a:chOff x="114301" y="142875"/>
          <a:chExt cx="847724" cy="3924300"/>
        </a:xfrm>
      </xdr:grpSpPr>
      <xdr:pic>
        <xdr:nvPicPr>
          <xdr:cNvPr id="28" name="Picture 27">
            <a:extLst>
              <a:ext uri="{FF2B5EF4-FFF2-40B4-BE49-F238E27FC236}">
                <a16:creationId xmlns:a16="http://schemas.microsoft.com/office/drawing/2014/main" id="{00000000-0008-0000-0E00-00001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29" name="Picture 28">
            <a:hlinkClick xmlns:r="http://schemas.openxmlformats.org/officeDocument/2006/relationships" r:id="rId2"/>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30" name="Picture 29">
            <a:hlinkClick xmlns:r="http://schemas.openxmlformats.org/officeDocument/2006/relationships" r:id="rId5"/>
            <a:extLst>
              <a:ext uri="{FF2B5EF4-FFF2-40B4-BE49-F238E27FC236}">
                <a16:creationId xmlns:a16="http://schemas.microsoft.com/office/drawing/2014/main" id="{00000000-0008-0000-0E00-00001E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31" name="Picture 30">
            <a:hlinkClick xmlns:r="http://schemas.openxmlformats.org/officeDocument/2006/relationships" r:id="rId7"/>
            <a:extLst>
              <a:ext uri="{FF2B5EF4-FFF2-40B4-BE49-F238E27FC236}">
                <a16:creationId xmlns:a16="http://schemas.microsoft.com/office/drawing/2014/main" id="{00000000-0008-0000-0E00-00001F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114301</xdr:colOff>
      <xdr:row>0</xdr:row>
      <xdr:rowOff>142874</xdr:rowOff>
    </xdr:from>
    <xdr:to>
      <xdr:col>0</xdr:col>
      <xdr:colOff>962025</xdr:colOff>
      <xdr:row>22</xdr:row>
      <xdr:rowOff>57149</xdr:rowOff>
    </xdr:to>
    <xdr:grpSp>
      <xdr:nvGrpSpPr>
        <xdr:cNvPr id="17" name="Group 16">
          <a:extLst>
            <a:ext uri="{FF2B5EF4-FFF2-40B4-BE49-F238E27FC236}">
              <a16:creationId xmlns:a16="http://schemas.microsoft.com/office/drawing/2014/main" id="{00000000-0008-0000-0F00-000011000000}"/>
            </a:ext>
          </a:extLst>
        </xdr:cNvPr>
        <xdr:cNvGrpSpPr/>
      </xdr:nvGrpSpPr>
      <xdr:grpSpPr>
        <a:xfrm>
          <a:off x="114301" y="142874"/>
          <a:ext cx="847724" cy="4105275"/>
          <a:chOff x="114301" y="142875"/>
          <a:chExt cx="847724" cy="3924300"/>
        </a:xfrm>
      </xdr:grpSpPr>
      <xdr:pic>
        <xdr:nvPicPr>
          <xdr:cNvPr id="18" name="Picture 17">
            <a:extLst>
              <a:ext uri="{FF2B5EF4-FFF2-40B4-BE49-F238E27FC236}">
                <a16:creationId xmlns:a16="http://schemas.microsoft.com/office/drawing/2014/main" id="{00000000-0008-0000-0F00-00001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19" name="Picture 18">
            <a:hlinkClick xmlns:r="http://schemas.openxmlformats.org/officeDocument/2006/relationships" r:id="rId2"/>
            <a:extLst>
              <a:ext uri="{FF2B5EF4-FFF2-40B4-BE49-F238E27FC236}">
                <a16:creationId xmlns:a16="http://schemas.microsoft.com/office/drawing/2014/main" id="{00000000-0008-0000-0F00-000013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20" name="Picture 19">
            <a:hlinkClick xmlns:r="http://schemas.openxmlformats.org/officeDocument/2006/relationships" r:id="rId5"/>
            <a:extLst>
              <a:ext uri="{FF2B5EF4-FFF2-40B4-BE49-F238E27FC236}">
                <a16:creationId xmlns:a16="http://schemas.microsoft.com/office/drawing/2014/main" id="{00000000-0008-0000-0F00-000014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21" name="Picture 20">
            <a:hlinkClick xmlns:r="http://schemas.openxmlformats.org/officeDocument/2006/relationships" r:id="rId7"/>
            <a:extLst>
              <a:ext uri="{FF2B5EF4-FFF2-40B4-BE49-F238E27FC236}">
                <a16:creationId xmlns:a16="http://schemas.microsoft.com/office/drawing/2014/main" id="{00000000-0008-0000-0F00-000015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29</xdr:row>
      <xdr:rowOff>142874</xdr:rowOff>
    </xdr:from>
    <xdr:to>
      <xdr:col>0</xdr:col>
      <xdr:colOff>962025</xdr:colOff>
      <xdr:row>51</xdr:row>
      <xdr:rowOff>57149</xdr:rowOff>
    </xdr:to>
    <xdr:grpSp>
      <xdr:nvGrpSpPr>
        <xdr:cNvPr id="22" name="Group 21">
          <a:extLst>
            <a:ext uri="{FF2B5EF4-FFF2-40B4-BE49-F238E27FC236}">
              <a16:creationId xmlns:a16="http://schemas.microsoft.com/office/drawing/2014/main" id="{00000000-0008-0000-0F00-000016000000}"/>
            </a:ext>
          </a:extLst>
        </xdr:cNvPr>
        <xdr:cNvGrpSpPr/>
      </xdr:nvGrpSpPr>
      <xdr:grpSpPr>
        <a:xfrm>
          <a:off x="114301" y="5667374"/>
          <a:ext cx="847724" cy="4105275"/>
          <a:chOff x="114301" y="142875"/>
          <a:chExt cx="847724" cy="3924300"/>
        </a:xfrm>
      </xdr:grpSpPr>
      <xdr:pic>
        <xdr:nvPicPr>
          <xdr:cNvPr id="23" name="Picture 22">
            <a:extLst>
              <a:ext uri="{FF2B5EF4-FFF2-40B4-BE49-F238E27FC236}">
                <a16:creationId xmlns:a16="http://schemas.microsoft.com/office/drawing/2014/main" id="{00000000-0008-0000-0F00-00001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24" name="Picture 23">
            <a:hlinkClick xmlns:r="http://schemas.openxmlformats.org/officeDocument/2006/relationships" r:id="rId2"/>
            <a:extLst>
              <a:ext uri="{FF2B5EF4-FFF2-40B4-BE49-F238E27FC236}">
                <a16:creationId xmlns:a16="http://schemas.microsoft.com/office/drawing/2014/main" id="{00000000-0008-0000-0F00-000018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25" name="Picture 24">
            <a:hlinkClick xmlns:r="http://schemas.openxmlformats.org/officeDocument/2006/relationships" r:id="rId5"/>
            <a:extLst>
              <a:ext uri="{FF2B5EF4-FFF2-40B4-BE49-F238E27FC236}">
                <a16:creationId xmlns:a16="http://schemas.microsoft.com/office/drawing/2014/main" id="{00000000-0008-0000-0F00-000019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26" name="Picture 25">
            <a:hlinkClick xmlns:r="http://schemas.openxmlformats.org/officeDocument/2006/relationships" r:id="rId7"/>
            <a:extLst>
              <a:ext uri="{FF2B5EF4-FFF2-40B4-BE49-F238E27FC236}">
                <a16:creationId xmlns:a16="http://schemas.microsoft.com/office/drawing/2014/main" id="{00000000-0008-0000-0F00-00001A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58</xdr:row>
      <xdr:rowOff>142874</xdr:rowOff>
    </xdr:from>
    <xdr:to>
      <xdr:col>0</xdr:col>
      <xdr:colOff>962025</xdr:colOff>
      <xdr:row>80</xdr:row>
      <xdr:rowOff>57149</xdr:rowOff>
    </xdr:to>
    <xdr:grpSp>
      <xdr:nvGrpSpPr>
        <xdr:cNvPr id="27" name="Group 26">
          <a:extLst>
            <a:ext uri="{FF2B5EF4-FFF2-40B4-BE49-F238E27FC236}">
              <a16:creationId xmlns:a16="http://schemas.microsoft.com/office/drawing/2014/main" id="{00000000-0008-0000-0F00-00001B000000}"/>
            </a:ext>
          </a:extLst>
        </xdr:cNvPr>
        <xdr:cNvGrpSpPr/>
      </xdr:nvGrpSpPr>
      <xdr:grpSpPr>
        <a:xfrm>
          <a:off x="114301" y="11191874"/>
          <a:ext cx="847724" cy="4105275"/>
          <a:chOff x="114301" y="142875"/>
          <a:chExt cx="847724" cy="3924300"/>
        </a:xfrm>
      </xdr:grpSpPr>
      <xdr:pic>
        <xdr:nvPicPr>
          <xdr:cNvPr id="28" name="Picture 27">
            <a:extLst>
              <a:ext uri="{FF2B5EF4-FFF2-40B4-BE49-F238E27FC236}">
                <a16:creationId xmlns:a16="http://schemas.microsoft.com/office/drawing/2014/main" id="{00000000-0008-0000-0F00-00001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29" name="Picture 28">
            <a:hlinkClick xmlns:r="http://schemas.openxmlformats.org/officeDocument/2006/relationships" r:id="rId2"/>
            <a:extLst>
              <a:ext uri="{FF2B5EF4-FFF2-40B4-BE49-F238E27FC236}">
                <a16:creationId xmlns:a16="http://schemas.microsoft.com/office/drawing/2014/main" id="{00000000-0008-0000-0F00-00001D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30" name="Picture 29">
            <a:hlinkClick xmlns:r="http://schemas.openxmlformats.org/officeDocument/2006/relationships" r:id="rId5"/>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31" name="Picture 30">
            <a:hlinkClick xmlns:r="http://schemas.openxmlformats.org/officeDocument/2006/relationships" r:id="rId7"/>
            <a:extLst>
              <a:ext uri="{FF2B5EF4-FFF2-40B4-BE49-F238E27FC236}">
                <a16:creationId xmlns:a16="http://schemas.microsoft.com/office/drawing/2014/main" id="{00000000-0008-0000-0F00-00001F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114301</xdr:colOff>
      <xdr:row>0</xdr:row>
      <xdr:rowOff>142874</xdr:rowOff>
    </xdr:from>
    <xdr:to>
      <xdr:col>0</xdr:col>
      <xdr:colOff>962025</xdr:colOff>
      <xdr:row>22</xdr:row>
      <xdr:rowOff>57149</xdr:rowOff>
    </xdr:to>
    <xdr:grpSp>
      <xdr:nvGrpSpPr>
        <xdr:cNvPr id="17" name="Group 16">
          <a:extLst>
            <a:ext uri="{FF2B5EF4-FFF2-40B4-BE49-F238E27FC236}">
              <a16:creationId xmlns:a16="http://schemas.microsoft.com/office/drawing/2014/main" id="{00000000-0008-0000-1000-000011000000}"/>
            </a:ext>
          </a:extLst>
        </xdr:cNvPr>
        <xdr:cNvGrpSpPr/>
      </xdr:nvGrpSpPr>
      <xdr:grpSpPr>
        <a:xfrm>
          <a:off x="114301" y="142874"/>
          <a:ext cx="847724" cy="4105275"/>
          <a:chOff x="114301" y="142875"/>
          <a:chExt cx="847724" cy="3924300"/>
        </a:xfrm>
      </xdr:grpSpPr>
      <xdr:pic>
        <xdr:nvPicPr>
          <xdr:cNvPr id="18" name="Picture 17">
            <a:extLst>
              <a:ext uri="{FF2B5EF4-FFF2-40B4-BE49-F238E27FC236}">
                <a16:creationId xmlns:a16="http://schemas.microsoft.com/office/drawing/2014/main" id="{00000000-0008-0000-1000-00001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19" name="Picture 18">
            <a:hlinkClick xmlns:r="http://schemas.openxmlformats.org/officeDocument/2006/relationships" r:id="rId2"/>
            <a:extLst>
              <a:ext uri="{FF2B5EF4-FFF2-40B4-BE49-F238E27FC236}">
                <a16:creationId xmlns:a16="http://schemas.microsoft.com/office/drawing/2014/main" id="{00000000-0008-0000-1000-000013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20" name="Picture 19">
            <a:hlinkClick xmlns:r="http://schemas.openxmlformats.org/officeDocument/2006/relationships" r:id="rId5"/>
            <a:extLst>
              <a:ext uri="{FF2B5EF4-FFF2-40B4-BE49-F238E27FC236}">
                <a16:creationId xmlns:a16="http://schemas.microsoft.com/office/drawing/2014/main" id="{00000000-0008-0000-1000-000014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21" name="Picture 20">
            <a:hlinkClick xmlns:r="http://schemas.openxmlformats.org/officeDocument/2006/relationships" r:id="rId7"/>
            <a:extLst>
              <a:ext uri="{FF2B5EF4-FFF2-40B4-BE49-F238E27FC236}">
                <a16:creationId xmlns:a16="http://schemas.microsoft.com/office/drawing/2014/main" id="{00000000-0008-0000-1000-000015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29</xdr:row>
      <xdr:rowOff>142874</xdr:rowOff>
    </xdr:from>
    <xdr:to>
      <xdr:col>0</xdr:col>
      <xdr:colOff>962025</xdr:colOff>
      <xdr:row>51</xdr:row>
      <xdr:rowOff>57149</xdr:rowOff>
    </xdr:to>
    <xdr:grpSp>
      <xdr:nvGrpSpPr>
        <xdr:cNvPr id="22" name="Group 21">
          <a:extLst>
            <a:ext uri="{FF2B5EF4-FFF2-40B4-BE49-F238E27FC236}">
              <a16:creationId xmlns:a16="http://schemas.microsoft.com/office/drawing/2014/main" id="{00000000-0008-0000-1000-000016000000}"/>
            </a:ext>
          </a:extLst>
        </xdr:cNvPr>
        <xdr:cNvGrpSpPr/>
      </xdr:nvGrpSpPr>
      <xdr:grpSpPr>
        <a:xfrm>
          <a:off x="114301" y="5667374"/>
          <a:ext cx="847724" cy="4105275"/>
          <a:chOff x="114301" y="142875"/>
          <a:chExt cx="847724" cy="3924300"/>
        </a:xfrm>
      </xdr:grpSpPr>
      <xdr:pic>
        <xdr:nvPicPr>
          <xdr:cNvPr id="23" name="Picture 22">
            <a:extLst>
              <a:ext uri="{FF2B5EF4-FFF2-40B4-BE49-F238E27FC236}">
                <a16:creationId xmlns:a16="http://schemas.microsoft.com/office/drawing/2014/main" id="{00000000-0008-0000-1000-00001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24" name="Picture 23">
            <a:hlinkClick xmlns:r="http://schemas.openxmlformats.org/officeDocument/2006/relationships" r:id="rId2"/>
            <a:extLst>
              <a:ext uri="{FF2B5EF4-FFF2-40B4-BE49-F238E27FC236}">
                <a16:creationId xmlns:a16="http://schemas.microsoft.com/office/drawing/2014/main" id="{00000000-0008-0000-1000-000018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25" name="Picture 24">
            <a:hlinkClick xmlns:r="http://schemas.openxmlformats.org/officeDocument/2006/relationships" r:id="rId5"/>
            <a:extLst>
              <a:ext uri="{FF2B5EF4-FFF2-40B4-BE49-F238E27FC236}">
                <a16:creationId xmlns:a16="http://schemas.microsoft.com/office/drawing/2014/main" id="{00000000-0008-0000-1000-000019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26" name="Picture 25">
            <a:hlinkClick xmlns:r="http://schemas.openxmlformats.org/officeDocument/2006/relationships" r:id="rId7"/>
            <a:extLst>
              <a:ext uri="{FF2B5EF4-FFF2-40B4-BE49-F238E27FC236}">
                <a16:creationId xmlns:a16="http://schemas.microsoft.com/office/drawing/2014/main" id="{00000000-0008-0000-1000-00001A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58</xdr:row>
      <xdr:rowOff>142874</xdr:rowOff>
    </xdr:from>
    <xdr:to>
      <xdr:col>0</xdr:col>
      <xdr:colOff>962025</xdr:colOff>
      <xdr:row>80</xdr:row>
      <xdr:rowOff>57149</xdr:rowOff>
    </xdr:to>
    <xdr:grpSp>
      <xdr:nvGrpSpPr>
        <xdr:cNvPr id="27" name="Group 26">
          <a:extLst>
            <a:ext uri="{FF2B5EF4-FFF2-40B4-BE49-F238E27FC236}">
              <a16:creationId xmlns:a16="http://schemas.microsoft.com/office/drawing/2014/main" id="{00000000-0008-0000-1000-00001B000000}"/>
            </a:ext>
          </a:extLst>
        </xdr:cNvPr>
        <xdr:cNvGrpSpPr/>
      </xdr:nvGrpSpPr>
      <xdr:grpSpPr>
        <a:xfrm>
          <a:off x="114301" y="11191874"/>
          <a:ext cx="847724" cy="4105275"/>
          <a:chOff x="114301" y="142875"/>
          <a:chExt cx="847724" cy="3924300"/>
        </a:xfrm>
      </xdr:grpSpPr>
      <xdr:pic>
        <xdr:nvPicPr>
          <xdr:cNvPr id="28" name="Picture 27">
            <a:extLst>
              <a:ext uri="{FF2B5EF4-FFF2-40B4-BE49-F238E27FC236}">
                <a16:creationId xmlns:a16="http://schemas.microsoft.com/office/drawing/2014/main" id="{00000000-0008-0000-1000-00001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29" name="Picture 28">
            <a:hlinkClick xmlns:r="http://schemas.openxmlformats.org/officeDocument/2006/relationships" r:id="rId2"/>
            <a:extLst>
              <a:ext uri="{FF2B5EF4-FFF2-40B4-BE49-F238E27FC236}">
                <a16:creationId xmlns:a16="http://schemas.microsoft.com/office/drawing/2014/main" id="{00000000-0008-0000-1000-00001D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30" name="Picture 29">
            <a:hlinkClick xmlns:r="http://schemas.openxmlformats.org/officeDocument/2006/relationships" r:id="rId5"/>
            <a:extLst>
              <a:ext uri="{FF2B5EF4-FFF2-40B4-BE49-F238E27FC236}">
                <a16:creationId xmlns:a16="http://schemas.microsoft.com/office/drawing/2014/main" id="{00000000-0008-0000-1000-00001E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31" name="Picture 30">
            <a:hlinkClick xmlns:r="http://schemas.openxmlformats.org/officeDocument/2006/relationships" r:id="rId7"/>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114301</xdr:colOff>
      <xdr:row>0</xdr:row>
      <xdr:rowOff>142874</xdr:rowOff>
    </xdr:from>
    <xdr:to>
      <xdr:col>0</xdr:col>
      <xdr:colOff>962025</xdr:colOff>
      <xdr:row>22</xdr:row>
      <xdr:rowOff>57149</xdr:rowOff>
    </xdr:to>
    <xdr:grpSp>
      <xdr:nvGrpSpPr>
        <xdr:cNvPr id="17" name="Group 16">
          <a:extLst>
            <a:ext uri="{FF2B5EF4-FFF2-40B4-BE49-F238E27FC236}">
              <a16:creationId xmlns:a16="http://schemas.microsoft.com/office/drawing/2014/main" id="{00000000-0008-0000-1100-000011000000}"/>
            </a:ext>
          </a:extLst>
        </xdr:cNvPr>
        <xdr:cNvGrpSpPr/>
      </xdr:nvGrpSpPr>
      <xdr:grpSpPr>
        <a:xfrm>
          <a:off x="114301" y="142874"/>
          <a:ext cx="847724" cy="4105275"/>
          <a:chOff x="114301" y="142875"/>
          <a:chExt cx="847724" cy="3924300"/>
        </a:xfrm>
      </xdr:grpSpPr>
      <xdr:pic>
        <xdr:nvPicPr>
          <xdr:cNvPr id="18" name="Picture 17">
            <a:extLst>
              <a:ext uri="{FF2B5EF4-FFF2-40B4-BE49-F238E27FC236}">
                <a16:creationId xmlns:a16="http://schemas.microsoft.com/office/drawing/2014/main" id="{00000000-0008-0000-1100-00001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19" name="Picture 18">
            <a:hlinkClick xmlns:r="http://schemas.openxmlformats.org/officeDocument/2006/relationships" r:id="rId2"/>
            <a:extLst>
              <a:ext uri="{FF2B5EF4-FFF2-40B4-BE49-F238E27FC236}">
                <a16:creationId xmlns:a16="http://schemas.microsoft.com/office/drawing/2014/main" id="{00000000-0008-0000-1100-000013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20" name="Picture 19">
            <a:hlinkClick xmlns:r="http://schemas.openxmlformats.org/officeDocument/2006/relationships" r:id="rId5"/>
            <a:extLst>
              <a:ext uri="{FF2B5EF4-FFF2-40B4-BE49-F238E27FC236}">
                <a16:creationId xmlns:a16="http://schemas.microsoft.com/office/drawing/2014/main" id="{00000000-0008-0000-1100-000014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21" name="Picture 20">
            <a:hlinkClick xmlns:r="http://schemas.openxmlformats.org/officeDocument/2006/relationships" r:id="rId7"/>
            <a:extLst>
              <a:ext uri="{FF2B5EF4-FFF2-40B4-BE49-F238E27FC236}">
                <a16:creationId xmlns:a16="http://schemas.microsoft.com/office/drawing/2014/main" id="{00000000-0008-0000-1100-000015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29</xdr:row>
      <xdr:rowOff>142874</xdr:rowOff>
    </xdr:from>
    <xdr:to>
      <xdr:col>0</xdr:col>
      <xdr:colOff>962025</xdr:colOff>
      <xdr:row>51</xdr:row>
      <xdr:rowOff>57149</xdr:rowOff>
    </xdr:to>
    <xdr:grpSp>
      <xdr:nvGrpSpPr>
        <xdr:cNvPr id="22" name="Group 21">
          <a:extLst>
            <a:ext uri="{FF2B5EF4-FFF2-40B4-BE49-F238E27FC236}">
              <a16:creationId xmlns:a16="http://schemas.microsoft.com/office/drawing/2014/main" id="{00000000-0008-0000-1100-000016000000}"/>
            </a:ext>
          </a:extLst>
        </xdr:cNvPr>
        <xdr:cNvGrpSpPr/>
      </xdr:nvGrpSpPr>
      <xdr:grpSpPr>
        <a:xfrm>
          <a:off x="114301" y="5667374"/>
          <a:ext cx="847724" cy="4105275"/>
          <a:chOff x="114301" y="142875"/>
          <a:chExt cx="847724" cy="3924300"/>
        </a:xfrm>
      </xdr:grpSpPr>
      <xdr:pic>
        <xdr:nvPicPr>
          <xdr:cNvPr id="23" name="Picture 22">
            <a:extLst>
              <a:ext uri="{FF2B5EF4-FFF2-40B4-BE49-F238E27FC236}">
                <a16:creationId xmlns:a16="http://schemas.microsoft.com/office/drawing/2014/main" id="{00000000-0008-0000-1100-00001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24" name="Picture 23">
            <a:hlinkClick xmlns:r="http://schemas.openxmlformats.org/officeDocument/2006/relationships" r:id="rId2"/>
            <a:extLst>
              <a:ext uri="{FF2B5EF4-FFF2-40B4-BE49-F238E27FC236}">
                <a16:creationId xmlns:a16="http://schemas.microsoft.com/office/drawing/2014/main" id="{00000000-0008-0000-1100-000018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25" name="Picture 24">
            <a:hlinkClick xmlns:r="http://schemas.openxmlformats.org/officeDocument/2006/relationships" r:id="rId5"/>
            <a:extLst>
              <a:ext uri="{FF2B5EF4-FFF2-40B4-BE49-F238E27FC236}">
                <a16:creationId xmlns:a16="http://schemas.microsoft.com/office/drawing/2014/main" id="{00000000-0008-0000-1100-000019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26" name="Picture 25">
            <a:hlinkClick xmlns:r="http://schemas.openxmlformats.org/officeDocument/2006/relationships" r:id="rId7"/>
            <a:extLst>
              <a:ext uri="{FF2B5EF4-FFF2-40B4-BE49-F238E27FC236}">
                <a16:creationId xmlns:a16="http://schemas.microsoft.com/office/drawing/2014/main" id="{00000000-0008-0000-1100-00001A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58</xdr:row>
      <xdr:rowOff>142874</xdr:rowOff>
    </xdr:from>
    <xdr:to>
      <xdr:col>0</xdr:col>
      <xdr:colOff>962025</xdr:colOff>
      <xdr:row>80</xdr:row>
      <xdr:rowOff>57149</xdr:rowOff>
    </xdr:to>
    <xdr:grpSp>
      <xdr:nvGrpSpPr>
        <xdr:cNvPr id="27" name="Group 26">
          <a:extLst>
            <a:ext uri="{FF2B5EF4-FFF2-40B4-BE49-F238E27FC236}">
              <a16:creationId xmlns:a16="http://schemas.microsoft.com/office/drawing/2014/main" id="{00000000-0008-0000-1100-00001B000000}"/>
            </a:ext>
          </a:extLst>
        </xdr:cNvPr>
        <xdr:cNvGrpSpPr/>
      </xdr:nvGrpSpPr>
      <xdr:grpSpPr>
        <a:xfrm>
          <a:off x="114301" y="11191874"/>
          <a:ext cx="847724" cy="4105275"/>
          <a:chOff x="114301" y="142875"/>
          <a:chExt cx="847724" cy="3924300"/>
        </a:xfrm>
      </xdr:grpSpPr>
      <xdr:pic>
        <xdr:nvPicPr>
          <xdr:cNvPr id="28" name="Picture 27">
            <a:extLst>
              <a:ext uri="{FF2B5EF4-FFF2-40B4-BE49-F238E27FC236}">
                <a16:creationId xmlns:a16="http://schemas.microsoft.com/office/drawing/2014/main" id="{00000000-0008-0000-1100-00001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29" name="Picture 28">
            <a:hlinkClick xmlns:r="http://schemas.openxmlformats.org/officeDocument/2006/relationships" r:id="rId2"/>
            <a:extLst>
              <a:ext uri="{FF2B5EF4-FFF2-40B4-BE49-F238E27FC236}">
                <a16:creationId xmlns:a16="http://schemas.microsoft.com/office/drawing/2014/main" id="{00000000-0008-0000-1100-00001D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30" name="Picture 29">
            <a:hlinkClick xmlns:r="http://schemas.openxmlformats.org/officeDocument/2006/relationships" r:id="rId5"/>
            <a:extLst>
              <a:ext uri="{FF2B5EF4-FFF2-40B4-BE49-F238E27FC236}">
                <a16:creationId xmlns:a16="http://schemas.microsoft.com/office/drawing/2014/main" id="{00000000-0008-0000-1100-00001E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31" name="Picture 30">
            <a:hlinkClick xmlns:r="http://schemas.openxmlformats.org/officeDocument/2006/relationships" r:id="rId7"/>
            <a:extLst>
              <a:ext uri="{FF2B5EF4-FFF2-40B4-BE49-F238E27FC236}">
                <a16:creationId xmlns:a16="http://schemas.microsoft.com/office/drawing/2014/main" id="{00000000-0008-0000-1100-00001F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114301</xdr:colOff>
      <xdr:row>0</xdr:row>
      <xdr:rowOff>142874</xdr:rowOff>
    </xdr:from>
    <xdr:to>
      <xdr:col>0</xdr:col>
      <xdr:colOff>962025</xdr:colOff>
      <xdr:row>22</xdr:row>
      <xdr:rowOff>57149</xdr:rowOff>
    </xdr:to>
    <xdr:grpSp>
      <xdr:nvGrpSpPr>
        <xdr:cNvPr id="17" name="Group 16">
          <a:extLst>
            <a:ext uri="{FF2B5EF4-FFF2-40B4-BE49-F238E27FC236}">
              <a16:creationId xmlns:a16="http://schemas.microsoft.com/office/drawing/2014/main" id="{00000000-0008-0000-1200-000011000000}"/>
            </a:ext>
          </a:extLst>
        </xdr:cNvPr>
        <xdr:cNvGrpSpPr/>
      </xdr:nvGrpSpPr>
      <xdr:grpSpPr>
        <a:xfrm>
          <a:off x="114301" y="142874"/>
          <a:ext cx="847724" cy="4105275"/>
          <a:chOff x="114301" y="142875"/>
          <a:chExt cx="847724" cy="3924300"/>
        </a:xfrm>
      </xdr:grpSpPr>
      <xdr:pic>
        <xdr:nvPicPr>
          <xdr:cNvPr id="18" name="Picture 17">
            <a:extLst>
              <a:ext uri="{FF2B5EF4-FFF2-40B4-BE49-F238E27FC236}">
                <a16:creationId xmlns:a16="http://schemas.microsoft.com/office/drawing/2014/main" id="{00000000-0008-0000-1200-00001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19" name="Picture 18">
            <a:hlinkClick xmlns:r="http://schemas.openxmlformats.org/officeDocument/2006/relationships" r:id="rId2"/>
            <a:extLst>
              <a:ext uri="{FF2B5EF4-FFF2-40B4-BE49-F238E27FC236}">
                <a16:creationId xmlns:a16="http://schemas.microsoft.com/office/drawing/2014/main" id="{00000000-0008-0000-1200-000013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20" name="Picture 19">
            <a:hlinkClick xmlns:r="http://schemas.openxmlformats.org/officeDocument/2006/relationships" r:id="rId5"/>
            <a:extLst>
              <a:ext uri="{FF2B5EF4-FFF2-40B4-BE49-F238E27FC236}">
                <a16:creationId xmlns:a16="http://schemas.microsoft.com/office/drawing/2014/main" id="{00000000-0008-0000-1200-000014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21" name="Picture 20">
            <a:hlinkClick xmlns:r="http://schemas.openxmlformats.org/officeDocument/2006/relationships" r:id="rId7"/>
            <a:extLst>
              <a:ext uri="{FF2B5EF4-FFF2-40B4-BE49-F238E27FC236}">
                <a16:creationId xmlns:a16="http://schemas.microsoft.com/office/drawing/2014/main" id="{00000000-0008-0000-1200-000015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29</xdr:row>
      <xdr:rowOff>142874</xdr:rowOff>
    </xdr:from>
    <xdr:to>
      <xdr:col>0</xdr:col>
      <xdr:colOff>962025</xdr:colOff>
      <xdr:row>51</xdr:row>
      <xdr:rowOff>57149</xdr:rowOff>
    </xdr:to>
    <xdr:grpSp>
      <xdr:nvGrpSpPr>
        <xdr:cNvPr id="22" name="Group 21">
          <a:extLst>
            <a:ext uri="{FF2B5EF4-FFF2-40B4-BE49-F238E27FC236}">
              <a16:creationId xmlns:a16="http://schemas.microsoft.com/office/drawing/2014/main" id="{00000000-0008-0000-1200-000016000000}"/>
            </a:ext>
          </a:extLst>
        </xdr:cNvPr>
        <xdr:cNvGrpSpPr/>
      </xdr:nvGrpSpPr>
      <xdr:grpSpPr>
        <a:xfrm>
          <a:off x="114301" y="5667374"/>
          <a:ext cx="847724" cy="4105275"/>
          <a:chOff x="114301" y="142875"/>
          <a:chExt cx="847724" cy="3924300"/>
        </a:xfrm>
      </xdr:grpSpPr>
      <xdr:pic>
        <xdr:nvPicPr>
          <xdr:cNvPr id="23" name="Picture 22">
            <a:extLst>
              <a:ext uri="{FF2B5EF4-FFF2-40B4-BE49-F238E27FC236}">
                <a16:creationId xmlns:a16="http://schemas.microsoft.com/office/drawing/2014/main" id="{00000000-0008-0000-1200-00001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24" name="Picture 23">
            <a:hlinkClick xmlns:r="http://schemas.openxmlformats.org/officeDocument/2006/relationships" r:id="rId2"/>
            <a:extLst>
              <a:ext uri="{FF2B5EF4-FFF2-40B4-BE49-F238E27FC236}">
                <a16:creationId xmlns:a16="http://schemas.microsoft.com/office/drawing/2014/main" id="{00000000-0008-0000-1200-000018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25" name="Picture 24">
            <a:hlinkClick xmlns:r="http://schemas.openxmlformats.org/officeDocument/2006/relationships" r:id="rId5"/>
            <a:extLst>
              <a:ext uri="{FF2B5EF4-FFF2-40B4-BE49-F238E27FC236}">
                <a16:creationId xmlns:a16="http://schemas.microsoft.com/office/drawing/2014/main" id="{00000000-0008-0000-1200-000019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26" name="Picture 25">
            <a:hlinkClick xmlns:r="http://schemas.openxmlformats.org/officeDocument/2006/relationships" r:id="rId7"/>
            <a:extLst>
              <a:ext uri="{FF2B5EF4-FFF2-40B4-BE49-F238E27FC236}">
                <a16:creationId xmlns:a16="http://schemas.microsoft.com/office/drawing/2014/main" id="{00000000-0008-0000-1200-00001A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58</xdr:row>
      <xdr:rowOff>142874</xdr:rowOff>
    </xdr:from>
    <xdr:to>
      <xdr:col>0</xdr:col>
      <xdr:colOff>962025</xdr:colOff>
      <xdr:row>80</xdr:row>
      <xdr:rowOff>57149</xdr:rowOff>
    </xdr:to>
    <xdr:grpSp>
      <xdr:nvGrpSpPr>
        <xdr:cNvPr id="27" name="Group 26">
          <a:extLst>
            <a:ext uri="{FF2B5EF4-FFF2-40B4-BE49-F238E27FC236}">
              <a16:creationId xmlns:a16="http://schemas.microsoft.com/office/drawing/2014/main" id="{00000000-0008-0000-1200-00001B000000}"/>
            </a:ext>
          </a:extLst>
        </xdr:cNvPr>
        <xdr:cNvGrpSpPr/>
      </xdr:nvGrpSpPr>
      <xdr:grpSpPr>
        <a:xfrm>
          <a:off x="114301" y="11191874"/>
          <a:ext cx="847724" cy="4105275"/>
          <a:chOff x="114301" y="142875"/>
          <a:chExt cx="847724" cy="3924300"/>
        </a:xfrm>
      </xdr:grpSpPr>
      <xdr:pic>
        <xdr:nvPicPr>
          <xdr:cNvPr id="28" name="Picture 27">
            <a:extLst>
              <a:ext uri="{FF2B5EF4-FFF2-40B4-BE49-F238E27FC236}">
                <a16:creationId xmlns:a16="http://schemas.microsoft.com/office/drawing/2014/main" id="{00000000-0008-0000-1200-00001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29" name="Picture 28">
            <a:hlinkClick xmlns:r="http://schemas.openxmlformats.org/officeDocument/2006/relationships" r:id="rId2"/>
            <a:extLst>
              <a:ext uri="{FF2B5EF4-FFF2-40B4-BE49-F238E27FC236}">
                <a16:creationId xmlns:a16="http://schemas.microsoft.com/office/drawing/2014/main" id="{00000000-0008-0000-1200-00001D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30" name="Picture 29">
            <a:hlinkClick xmlns:r="http://schemas.openxmlformats.org/officeDocument/2006/relationships" r:id="rId5"/>
            <a:extLst>
              <a:ext uri="{FF2B5EF4-FFF2-40B4-BE49-F238E27FC236}">
                <a16:creationId xmlns:a16="http://schemas.microsoft.com/office/drawing/2014/main" id="{00000000-0008-0000-1200-00001E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31" name="Picture 30">
            <a:hlinkClick xmlns:r="http://schemas.openxmlformats.org/officeDocument/2006/relationships" r:id="rId7"/>
            <a:extLst>
              <a:ext uri="{FF2B5EF4-FFF2-40B4-BE49-F238E27FC236}">
                <a16:creationId xmlns:a16="http://schemas.microsoft.com/office/drawing/2014/main" id="{00000000-0008-0000-1200-00001F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114301</xdr:colOff>
      <xdr:row>0</xdr:row>
      <xdr:rowOff>142874</xdr:rowOff>
    </xdr:from>
    <xdr:to>
      <xdr:col>0</xdr:col>
      <xdr:colOff>962025</xdr:colOff>
      <xdr:row>22</xdr:row>
      <xdr:rowOff>57149</xdr:rowOff>
    </xdr:to>
    <xdr:grpSp>
      <xdr:nvGrpSpPr>
        <xdr:cNvPr id="17" name="Group 16">
          <a:extLst>
            <a:ext uri="{FF2B5EF4-FFF2-40B4-BE49-F238E27FC236}">
              <a16:creationId xmlns:a16="http://schemas.microsoft.com/office/drawing/2014/main" id="{00000000-0008-0000-1300-000011000000}"/>
            </a:ext>
          </a:extLst>
        </xdr:cNvPr>
        <xdr:cNvGrpSpPr/>
      </xdr:nvGrpSpPr>
      <xdr:grpSpPr>
        <a:xfrm>
          <a:off x="114301" y="142874"/>
          <a:ext cx="847724" cy="4105275"/>
          <a:chOff x="114301" y="142875"/>
          <a:chExt cx="847724" cy="3924300"/>
        </a:xfrm>
      </xdr:grpSpPr>
      <xdr:pic>
        <xdr:nvPicPr>
          <xdr:cNvPr id="18" name="Picture 17">
            <a:extLst>
              <a:ext uri="{FF2B5EF4-FFF2-40B4-BE49-F238E27FC236}">
                <a16:creationId xmlns:a16="http://schemas.microsoft.com/office/drawing/2014/main" id="{00000000-0008-0000-1300-00001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19" name="Picture 18">
            <a:hlinkClick xmlns:r="http://schemas.openxmlformats.org/officeDocument/2006/relationships" r:id="rId2"/>
            <a:extLst>
              <a:ext uri="{FF2B5EF4-FFF2-40B4-BE49-F238E27FC236}">
                <a16:creationId xmlns:a16="http://schemas.microsoft.com/office/drawing/2014/main" id="{00000000-0008-0000-1300-000013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20" name="Picture 19">
            <a:hlinkClick xmlns:r="http://schemas.openxmlformats.org/officeDocument/2006/relationships" r:id="rId5"/>
            <a:extLst>
              <a:ext uri="{FF2B5EF4-FFF2-40B4-BE49-F238E27FC236}">
                <a16:creationId xmlns:a16="http://schemas.microsoft.com/office/drawing/2014/main" id="{00000000-0008-0000-1300-000014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21" name="Picture 20">
            <a:hlinkClick xmlns:r="http://schemas.openxmlformats.org/officeDocument/2006/relationships" r:id="rId7"/>
            <a:extLst>
              <a:ext uri="{FF2B5EF4-FFF2-40B4-BE49-F238E27FC236}">
                <a16:creationId xmlns:a16="http://schemas.microsoft.com/office/drawing/2014/main" id="{00000000-0008-0000-1300-000015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29</xdr:row>
      <xdr:rowOff>142874</xdr:rowOff>
    </xdr:from>
    <xdr:to>
      <xdr:col>0</xdr:col>
      <xdr:colOff>962025</xdr:colOff>
      <xdr:row>51</xdr:row>
      <xdr:rowOff>57149</xdr:rowOff>
    </xdr:to>
    <xdr:grpSp>
      <xdr:nvGrpSpPr>
        <xdr:cNvPr id="22" name="Group 21">
          <a:extLst>
            <a:ext uri="{FF2B5EF4-FFF2-40B4-BE49-F238E27FC236}">
              <a16:creationId xmlns:a16="http://schemas.microsoft.com/office/drawing/2014/main" id="{00000000-0008-0000-1300-000016000000}"/>
            </a:ext>
          </a:extLst>
        </xdr:cNvPr>
        <xdr:cNvGrpSpPr/>
      </xdr:nvGrpSpPr>
      <xdr:grpSpPr>
        <a:xfrm>
          <a:off x="114301" y="5667374"/>
          <a:ext cx="847724" cy="4105275"/>
          <a:chOff x="114301" y="142875"/>
          <a:chExt cx="847724" cy="3924300"/>
        </a:xfrm>
      </xdr:grpSpPr>
      <xdr:pic>
        <xdr:nvPicPr>
          <xdr:cNvPr id="23" name="Picture 22">
            <a:extLst>
              <a:ext uri="{FF2B5EF4-FFF2-40B4-BE49-F238E27FC236}">
                <a16:creationId xmlns:a16="http://schemas.microsoft.com/office/drawing/2014/main" id="{00000000-0008-0000-1300-00001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24" name="Picture 23">
            <a:hlinkClick xmlns:r="http://schemas.openxmlformats.org/officeDocument/2006/relationships" r:id="rId2"/>
            <a:extLst>
              <a:ext uri="{FF2B5EF4-FFF2-40B4-BE49-F238E27FC236}">
                <a16:creationId xmlns:a16="http://schemas.microsoft.com/office/drawing/2014/main" id="{00000000-0008-0000-1300-000018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25" name="Picture 24">
            <a:hlinkClick xmlns:r="http://schemas.openxmlformats.org/officeDocument/2006/relationships" r:id="rId5"/>
            <a:extLst>
              <a:ext uri="{FF2B5EF4-FFF2-40B4-BE49-F238E27FC236}">
                <a16:creationId xmlns:a16="http://schemas.microsoft.com/office/drawing/2014/main" id="{00000000-0008-0000-1300-000019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26" name="Picture 25">
            <a:hlinkClick xmlns:r="http://schemas.openxmlformats.org/officeDocument/2006/relationships" r:id="rId7"/>
            <a:extLst>
              <a:ext uri="{FF2B5EF4-FFF2-40B4-BE49-F238E27FC236}">
                <a16:creationId xmlns:a16="http://schemas.microsoft.com/office/drawing/2014/main" id="{00000000-0008-0000-1300-00001A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58</xdr:row>
      <xdr:rowOff>142874</xdr:rowOff>
    </xdr:from>
    <xdr:to>
      <xdr:col>0</xdr:col>
      <xdr:colOff>962025</xdr:colOff>
      <xdr:row>80</xdr:row>
      <xdr:rowOff>57149</xdr:rowOff>
    </xdr:to>
    <xdr:grpSp>
      <xdr:nvGrpSpPr>
        <xdr:cNvPr id="27" name="Group 26">
          <a:extLst>
            <a:ext uri="{FF2B5EF4-FFF2-40B4-BE49-F238E27FC236}">
              <a16:creationId xmlns:a16="http://schemas.microsoft.com/office/drawing/2014/main" id="{00000000-0008-0000-1300-00001B000000}"/>
            </a:ext>
          </a:extLst>
        </xdr:cNvPr>
        <xdr:cNvGrpSpPr/>
      </xdr:nvGrpSpPr>
      <xdr:grpSpPr>
        <a:xfrm>
          <a:off x="114301" y="11191874"/>
          <a:ext cx="847724" cy="4105275"/>
          <a:chOff x="114301" y="142875"/>
          <a:chExt cx="847724" cy="3924300"/>
        </a:xfrm>
      </xdr:grpSpPr>
      <xdr:pic>
        <xdr:nvPicPr>
          <xdr:cNvPr id="28" name="Picture 27">
            <a:extLst>
              <a:ext uri="{FF2B5EF4-FFF2-40B4-BE49-F238E27FC236}">
                <a16:creationId xmlns:a16="http://schemas.microsoft.com/office/drawing/2014/main" id="{00000000-0008-0000-1300-00001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29" name="Picture 28">
            <a:hlinkClick xmlns:r="http://schemas.openxmlformats.org/officeDocument/2006/relationships" r:id="rId2"/>
            <a:extLst>
              <a:ext uri="{FF2B5EF4-FFF2-40B4-BE49-F238E27FC236}">
                <a16:creationId xmlns:a16="http://schemas.microsoft.com/office/drawing/2014/main" id="{00000000-0008-0000-1300-00001D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30" name="Picture 29">
            <a:hlinkClick xmlns:r="http://schemas.openxmlformats.org/officeDocument/2006/relationships" r:id="rId5"/>
            <a:extLst>
              <a:ext uri="{FF2B5EF4-FFF2-40B4-BE49-F238E27FC236}">
                <a16:creationId xmlns:a16="http://schemas.microsoft.com/office/drawing/2014/main" id="{00000000-0008-0000-1300-00001E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31" name="Picture 30">
            <a:hlinkClick xmlns:r="http://schemas.openxmlformats.org/officeDocument/2006/relationships" r:id="rId7"/>
            <a:extLst>
              <a:ext uri="{FF2B5EF4-FFF2-40B4-BE49-F238E27FC236}">
                <a16:creationId xmlns:a16="http://schemas.microsoft.com/office/drawing/2014/main" id="{00000000-0008-0000-1300-00001F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114301</xdr:colOff>
      <xdr:row>0</xdr:row>
      <xdr:rowOff>142874</xdr:rowOff>
    </xdr:from>
    <xdr:to>
      <xdr:col>0</xdr:col>
      <xdr:colOff>962025</xdr:colOff>
      <xdr:row>22</xdr:row>
      <xdr:rowOff>57149</xdr:rowOff>
    </xdr:to>
    <xdr:grpSp>
      <xdr:nvGrpSpPr>
        <xdr:cNvPr id="17" name="Group 16">
          <a:extLst>
            <a:ext uri="{FF2B5EF4-FFF2-40B4-BE49-F238E27FC236}">
              <a16:creationId xmlns:a16="http://schemas.microsoft.com/office/drawing/2014/main" id="{00000000-0008-0000-1400-000011000000}"/>
            </a:ext>
          </a:extLst>
        </xdr:cNvPr>
        <xdr:cNvGrpSpPr/>
      </xdr:nvGrpSpPr>
      <xdr:grpSpPr>
        <a:xfrm>
          <a:off x="114301" y="142874"/>
          <a:ext cx="847724" cy="4105275"/>
          <a:chOff x="114301" y="142875"/>
          <a:chExt cx="847724" cy="3924300"/>
        </a:xfrm>
      </xdr:grpSpPr>
      <xdr:pic>
        <xdr:nvPicPr>
          <xdr:cNvPr id="18" name="Picture 17">
            <a:extLst>
              <a:ext uri="{FF2B5EF4-FFF2-40B4-BE49-F238E27FC236}">
                <a16:creationId xmlns:a16="http://schemas.microsoft.com/office/drawing/2014/main" id="{00000000-0008-0000-1400-00001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19" name="Picture 18">
            <a:hlinkClick xmlns:r="http://schemas.openxmlformats.org/officeDocument/2006/relationships" r:id="rId2"/>
            <a:extLst>
              <a:ext uri="{FF2B5EF4-FFF2-40B4-BE49-F238E27FC236}">
                <a16:creationId xmlns:a16="http://schemas.microsoft.com/office/drawing/2014/main" id="{00000000-0008-0000-1400-000013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20" name="Picture 19">
            <a:hlinkClick xmlns:r="http://schemas.openxmlformats.org/officeDocument/2006/relationships" r:id="rId5"/>
            <a:extLst>
              <a:ext uri="{FF2B5EF4-FFF2-40B4-BE49-F238E27FC236}">
                <a16:creationId xmlns:a16="http://schemas.microsoft.com/office/drawing/2014/main" id="{00000000-0008-0000-1400-000014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21" name="Picture 20">
            <a:hlinkClick xmlns:r="http://schemas.openxmlformats.org/officeDocument/2006/relationships" r:id="rId7"/>
            <a:extLst>
              <a:ext uri="{FF2B5EF4-FFF2-40B4-BE49-F238E27FC236}">
                <a16:creationId xmlns:a16="http://schemas.microsoft.com/office/drawing/2014/main" id="{00000000-0008-0000-1400-000015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29</xdr:row>
      <xdr:rowOff>142874</xdr:rowOff>
    </xdr:from>
    <xdr:to>
      <xdr:col>0</xdr:col>
      <xdr:colOff>962025</xdr:colOff>
      <xdr:row>51</xdr:row>
      <xdr:rowOff>57149</xdr:rowOff>
    </xdr:to>
    <xdr:grpSp>
      <xdr:nvGrpSpPr>
        <xdr:cNvPr id="22" name="Group 21">
          <a:extLst>
            <a:ext uri="{FF2B5EF4-FFF2-40B4-BE49-F238E27FC236}">
              <a16:creationId xmlns:a16="http://schemas.microsoft.com/office/drawing/2014/main" id="{00000000-0008-0000-1400-000016000000}"/>
            </a:ext>
          </a:extLst>
        </xdr:cNvPr>
        <xdr:cNvGrpSpPr/>
      </xdr:nvGrpSpPr>
      <xdr:grpSpPr>
        <a:xfrm>
          <a:off x="114301" y="5667374"/>
          <a:ext cx="847724" cy="4105275"/>
          <a:chOff x="114301" y="142875"/>
          <a:chExt cx="847724" cy="3924300"/>
        </a:xfrm>
      </xdr:grpSpPr>
      <xdr:pic>
        <xdr:nvPicPr>
          <xdr:cNvPr id="23" name="Picture 22">
            <a:extLst>
              <a:ext uri="{FF2B5EF4-FFF2-40B4-BE49-F238E27FC236}">
                <a16:creationId xmlns:a16="http://schemas.microsoft.com/office/drawing/2014/main" id="{00000000-0008-0000-1400-00001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24" name="Picture 23">
            <a:hlinkClick xmlns:r="http://schemas.openxmlformats.org/officeDocument/2006/relationships" r:id="rId2"/>
            <a:extLst>
              <a:ext uri="{FF2B5EF4-FFF2-40B4-BE49-F238E27FC236}">
                <a16:creationId xmlns:a16="http://schemas.microsoft.com/office/drawing/2014/main" id="{00000000-0008-0000-1400-000018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25" name="Picture 24">
            <a:hlinkClick xmlns:r="http://schemas.openxmlformats.org/officeDocument/2006/relationships" r:id="rId5"/>
            <a:extLst>
              <a:ext uri="{FF2B5EF4-FFF2-40B4-BE49-F238E27FC236}">
                <a16:creationId xmlns:a16="http://schemas.microsoft.com/office/drawing/2014/main" id="{00000000-0008-0000-1400-000019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26" name="Picture 25">
            <a:hlinkClick xmlns:r="http://schemas.openxmlformats.org/officeDocument/2006/relationships" r:id="rId7"/>
            <a:extLst>
              <a:ext uri="{FF2B5EF4-FFF2-40B4-BE49-F238E27FC236}">
                <a16:creationId xmlns:a16="http://schemas.microsoft.com/office/drawing/2014/main" id="{00000000-0008-0000-1400-00001A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58</xdr:row>
      <xdr:rowOff>142874</xdr:rowOff>
    </xdr:from>
    <xdr:to>
      <xdr:col>0</xdr:col>
      <xdr:colOff>962025</xdr:colOff>
      <xdr:row>80</xdr:row>
      <xdr:rowOff>57149</xdr:rowOff>
    </xdr:to>
    <xdr:grpSp>
      <xdr:nvGrpSpPr>
        <xdr:cNvPr id="27" name="Group 26">
          <a:extLst>
            <a:ext uri="{FF2B5EF4-FFF2-40B4-BE49-F238E27FC236}">
              <a16:creationId xmlns:a16="http://schemas.microsoft.com/office/drawing/2014/main" id="{00000000-0008-0000-1400-00001B000000}"/>
            </a:ext>
          </a:extLst>
        </xdr:cNvPr>
        <xdr:cNvGrpSpPr/>
      </xdr:nvGrpSpPr>
      <xdr:grpSpPr>
        <a:xfrm>
          <a:off x="114301" y="11191874"/>
          <a:ext cx="847724" cy="4105275"/>
          <a:chOff x="114301" y="142875"/>
          <a:chExt cx="847724" cy="3924300"/>
        </a:xfrm>
      </xdr:grpSpPr>
      <xdr:pic>
        <xdr:nvPicPr>
          <xdr:cNvPr id="28" name="Picture 27">
            <a:extLst>
              <a:ext uri="{FF2B5EF4-FFF2-40B4-BE49-F238E27FC236}">
                <a16:creationId xmlns:a16="http://schemas.microsoft.com/office/drawing/2014/main" id="{00000000-0008-0000-1400-00001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29" name="Picture 28">
            <a:hlinkClick xmlns:r="http://schemas.openxmlformats.org/officeDocument/2006/relationships" r:id="rId2"/>
            <a:extLst>
              <a:ext uri="{FF2B5EF4-FFF2-40B4-BE49-F238E27FC236}">
                <a16:creationId xmlns:a16="http://schemas.microsoft.com/office/drawing/2014/main" id="{00000000-0008-0000-1400-00001D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30" name="Picture 29">
            <a:hlinkClick xmlns:r="http://schemas.openxmlformats.org/officeDocument/2006/relationships" r:id="rId5"/>
            <a:extLst>
              <a:ext uri="{FF2B5EF4-FFF2-40B4-BE49-F238E27FC236}">
                <a16:creationId xmlns:a16="http://schemas.microsoft.com/office/drawing/2014/main" id="{00000000-0008-0000-1400-00001E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31" name="Picture 30">
            <a:hlinkClick xmlns:r="http://schemas.openxmlformats.org/officeDocument/2006/relationships" r:id="rId7"/>
            <a:extLst>
              <a:ext uri="{FF2B5EF4-FFF2-40B4-BE49-F238E27FC236}">
                <a16:creationId xmlns:a16="http://schemas.microsoft.com/office/drawing/2014/main" id="{00000000-0008-0000-1400-00001F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114301</xdr:colOff>
      <xdr:row>0</xdr:row>
      <xdr:rowOff>142874</xdr:rowOff>
    </xdr:from>
    <xdr:to>
      <xdr:col>0</xdr:col>
      <xdr:colOff>962025</xdr:colOff>
      <xdr:row>22</xdr:row>
      <xdr:rowOff>57149</xdr:rowOff>
    </xdr:to>
    <xdr:grpSp>
      <xdr:nvGrpSpPr>
        <xdr:cNvPr id="17" name="Group 16">
          <a:extLst>
            <a:ext uri="{FF2B5EF4-FFF2-40B4-BE49-F238E27FC236}">
              <a16:creationId xmlns:a16="http://schemas.microsoft.com/office/drawing/2014/main" id="{00000000-0008-0000-1500-000011000000}"/>
            </a:ext>
          </a:extLst>
        </xdr:cNvPr>
        <xdr:cNvGrpSpPr/>
      </xdr:nvGrpSpPr>
      <xdr:grpSpPr>
        <a:xfrm>
          <a:off x="114301" y="142874"/>
          <a:ext cx="847724" cy="4105275"/>
          <a:chOff x="114301" y="142875"/>
          <a:chExt cx="847724" cy="3924300"/>
        </a:xfrm>
      </xdr:grpSpPr>
      <xdr:pic>
        <xdr:nvPicPr>
          <xdr:cNvPr id="18" name="Picture 17">
            <a:extLst>
              <a:ext uri="{FF2B5EF4-FFF2-40B4-BE49-F238E27FC236}">
                <a16:creationId xmlns:a16="http://schemas.microsoft.com/office/drawing/2014/main" id="{00000000-0008-0000-1500-00001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19" name="Picture 18">
            <a:hlinkClick xmlns:r="http://schemas.openxmlformats.org/officeDocument/2006/relationships" r:id="rId2"/>
            <a:extLst>
              <a:ext uri="{FF2B5EF4-FFF2-40B4-BE49-F238E27FC236}">
                <a16:creationId xmlns:a16="http://schemas.microsoft.com/office/drawing/2014/main" id="{00000000-0008-0000-1500-000013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20" name="Picture 19">
            <a:hlinkClick xmlns:r="http://schemas.openxmlformats.org/officeDocument/2006/relationships" r:id="rId5"/>
            <a:extLst>
              <a:ext uri="{FF2B5EF4-FFF2-40B4-BE49-F238E27FC236}">
                <a16:creationId xmlns:a16="http://schemas.microsoft.com/office/drawing/2014/main" id="{00000000-0008-0000-1500-000014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21" name="Picture 20">
            <a:hlinkClick xmlns:r="http://schemas.openxmlformats.org/officeDocument/2006/relationships" r:id="rId7"/>
            <a:extLst>
              <a:ext uri="{FF2B5EF4-FFF2-40B4-BE49-F238E27FC236}">
                <a16:creationId xmlns:a16="http://schemas.microsoft.com/office/drawing/2014/main" id="{00000000-0008-0000-1500-000015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29</xdr:row>
      <xdr:rowOff>142874</xdr:rowOff>
    </xdr:from>
    <xdr:to>
      <xdr:col>0</xdr:col>
      <xdr:colOff>962025</xdr:colOff>
      <xdr:row>51</xdr:row>
      <xdr:rowOff>57149</xdr:rowOff>
    </xdr:to>
    <xdr:grpSp>
      <xdr:nvGrpSpPr>
        <xdr:cNvPr id="22" name="Group 21">
          <a:extLst>
            <a:ext uri="{FF2B5EF4-FFF2-40B4-BE49-F238E27FC236}">
              <a16:creationId xmlns:a16="http://schemas.microsoft.com/office/drawing/2014/main" id="{00000000-0008-0000-1500-000016000000}"/>
            </a:ext>
          </a:extLst>
        </xdr:cNvPr>
        <xdr:cNvGrpSpPr/>
      </xdr:nvGrpSpPr>
      <xdr:grpSpPr>
        <a:xfrm>
          <a:off x="114301" y="5667374"/>
          <a:ext cx="847724" cy="4105275"/>
          <a:chOff x="114301" y="142875"/>
          <a:chExt cx="847724" cy="3924300"/>
        </a:xfrm>
      </xdr:grpSpPr>
      <xdr:pic>
        <xdr:nvPicPr>
          <xdr:cNvPr id="23" name="Picture 22">
            <a:extLst>
              <a:ext uri="{FF2B5EF4-FFF2-40B4-BE49-F238E27FC236}">
                <a16:creationId xmlns:a16="http://schemas.microsoft.com/office/drawing/2014/main" id="{00000000-0008-0000-1500-00001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24" name="Picture 23">
            <a:hlinkClick xmlns:r="http://schemas.openxmlformats.org/officeDocument/2006/relationships" r:id="rId2"/>
            <a:extLst>
              <a:ext uri="{FF2B5EF4-FFF2-40B4-BE49-F238E27FC236}">
                <a16:creationId xmlns:a16="http://schemas.microsoft.com/office/drawing/2014/main" id="{00000000-0008-0000-1500-000018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25" name="Picture 24">
            <a:hlinkClick xmlns:r="http://schemas.openxmlformats.org/officeDocument/2006/relationships" r:id="rId5"/>
            <a:extLst>
              <a:ext uri="{FF2B5EF4-FFF2-40B4-BE49-F238E27FC236}">
                <a16:creationId xmlns:a16="http://schemas.microsoft.com/office/drawing/2014/main" id="{00000000-0008-0000-1500-000019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26" name="Picture 25">
            <a:hlinkClick xmlns:r="http://schemas.openxmlformats.org/officeDocument/2006/relationships" r:id="rId7"/>
            <a:extLst>
              <a:ext uri="{FF2B5EF4-FFF2-40B4-BE49-F238E27FC236}">
                <a16:creationId xmlns:a16="http://schemas.microsoft.com/office/drawing/2014/main" id="{00000000-0008-0000-1500-00001A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58</xdr:row>
      <xdr:rowOff>142874</xdr:rowOff>
    </xdr:from>
    <xdr:to>
      <xdr:col>0</xdr:col>
      <xdr:colOff>962025</xdr:colOff>
      <xdr:row>80</xdr:row>
      <xdr:rowOff>57149</xdr:rowOff>
    </xdr:to>
    <xdr:grpSp>
      <xdr:nvGrpSpPr>
        <xdr:cNvPr id="27" name="Group 26">
          <a:extLst>
            <a:ext uri="{FF2B5EF4-FFF2-40B4-BE49-F238E27FC236}">
              <a16:creationId xmlns:a16="http://schemas.microsoft.com/office/drawing/2014/main" id="{00000000-0008-0000-1500-00001B000000}"/>
            </a:ext>
          </a:extLst>
        </xdr:cNvPr>
        <xdr:cNvGrpSpPr/>
      </xdr:nvGrpSpPr>
      <xdr:grpSpPr>
        <a:xfrm>
          <a:off x="114301" y="11191874"/>
          <a:ext cx="847724" cy="4105275"/>
          <a:chOff x="114301" y="142875"/>
          <a:chExt cx="847724" cy="3924300"/>
        </a:xfrm>
      </xdr:grpSpPr>
      <xdr:pic>
        <xdr:nvPicPr>
          <xdr:cNvPr id="28" name="Picture 27">
            <a:extLst>
              <a:ext uri="{FF2B5EF4-FFF2-40B4-BE49-F238E27FC236}">
                <a16:creationId xmlns:a16="http://schemas.microsoft.com/office/drawing/2014/main" id="{00000000-0008-0000-1500-00001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29" name="Picture 28">
            <a:hlinkClick xmlns:r="http://schemas.openxmlformats.org/officeDocument/2006/relationships" r:id="rId2"/>
            <a:extLst>
              <a:ext uri="{FF2B5EF4-FFF2-40B4-BE49-F238E27FC236}">
                <a16:creationId xmlns:a16="http://schemas.microsoft.com/office/drawing/2014/main" id="{00000000-0008-0000-1500-00001D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30" name="Picture 29">
            <a:hlinkClick xmlns:r="http://schemas.openxmlformats.org/officeDocument/2006/relationships" r:id="rId5"/>
            <a:extLst>
              <a:ext uri="{FF2B5EF4-FFF2-40B4-BE49-F238E27FC236}">
                <a16:creationId xmlns:a16="http://schemas.microsoft.com/office/drawing/2014/main" id="{00000000-0008-0000-1500-00001E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31" name="Picture 30">
            <a:hlinkClick xmlns:r="http://schemas.openxmlformats.org/officeDocument/2006/relationships" r:id="rId7"/>
            <a:extLst>
              <a:ext uri="{FF2B5EF4-FFF2-40B4-BE49-F238E27FC236}">
                <a16:creationId xmlns:a16="http://schemas.microsoft.com/office/drawing/2014/main" id="{00000000-0008-0000-1500-00001F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114301</xdr:colOff>
      <xdr:row>0</xdr:row>
      <xdr:rowOff>142874</xdr:rowOff>
    </xdr:from>
    <xdr:to>
      <xdr:col>0</xdr:col>
      <xdr:colOff>962025</xdr:colOff>
      <xdr:row>22</xdr:row>
      <xdr:rowOff>57149</xdr:rowOff>
    </xdr:to>
    <xdr:grpSp>
      <xdr:nvGrpSpPr>
        <xdr:cNvPr id="17" name="Group 16">
          <a:extLst>
            <a:ext uri="{FF2B5EF4-FFF2-40B4-BE49-F238E27FC236}">
              <a16:creationId xmlns:a16="http://schemas.microsoft.com/office/drawing/2014/main" id="{00000000-0008-0000-1600-000011000000}"/>
            </a:ext>
          </a:extLst>
        </xdr:cNvPr>
        <xdr:cNvGrpSpPr/>
      </xdr:nvGrpSpPr>
      <xdr:grpSpPr>
        <a:xfrm>
          <a:off x="114301" y="142874"/>
          <a:ext cx="847724" cy="4105275"/>
          <a:chOff x="114301" y="142875"/>
          <a:chExt cx="847724" cy="3924300"/>
        </a:xfrm>
      </xdr:grpSpPr>
      <xdr:pic>
        <xdr:nvPicPr>
          <xdr:cNvPr id="18" name="Picture 17">
            <a:extLst>
              <a:ext uri="{FF2B5EF4-FFF2-40B4-BE49-F238E27FC236}">
                <a16:creationId xmlns:a16="http://schemas.microsoft.com/office/drawing/2014/main" id="{00000000-0008-0000-1600-00001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19" name="Picture 18">
            <a:hlinkClick xmlns:r="http://schemas.openxmlformats.org/officeDocument/2006/relationships" r:id="rId2"/>
            <a:extLst>
              <a:ext uri="{FF2B5EF4-FFF2-40B4-BE49-F238E27FC236}">
                <a16:creationId xmlns:a16="http://schemas.microsoft.com/office/drawing/2014/main" id="{00000000-0008-0000-1600-000013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20" name="Picture 19">
            <a:hlinkClick xmlns:r="http://schemas.openxmlformats.org/officeDocument/2006/relationships" r:id="rId5"/>
            <a:extLst>
              <a:ext uri="{FF2B5EF4-FFF2-40B4-BE49-F238E27FC236}">
                <a16:creationId xmlns:a16="http://schemas.microsoft.com/office/drawing/2014/main" id="{00000000-0008-0000-1600-000014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21" name="Picture 20">
            <a:hlinkClick xmlns:r="http://schemas.openxmlformats.org/officeDocument/2006/relationships" r:id="rId7"/>
            <a:extLst>
              <a:ext uri="{FF2B5EF4-FFF2-40B4-BE49-F238E27FC236}">
                <a16:creationId xmlns:a16="http://schemas.microsoft.com/office/drawing/2014/main" id="{00000000-0008-0000-1600-000015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29</xdr:row>
      <xdr:rowOff>142874</xdr:rowOff>
    </xdr:from>
    <xdr:to>
      <xdr:col>0</xdr:col>
      <xdr:colOff>962025</xdr:colOff>
      <xdr:row>51</xdr:row>
      <xdr:rowOff>57149</xdr:rowOff>
    </xdr:to>
    <xdr:grpSp>
      <xdr:nvGrpSpPr>
        <xdr:cNvPr id="22" name="Group 21">
          <a:extLst>
            <a:ext uri="{FF2B5EF4-FFF2-40B4-BE49-F238E27FC236}">
              <a16:creationId xmlns:a16="http://schemas.microsoft.com/office/drawing/2014/main" id="{00000000-0008-0000-1600-000016000000}"/>
            </a:ext>
          </a:extLst>
        </xdr:cNvPr>
        <xdr:cNvGrpSpPr/>
      </xdr:nvGrpSpPr>
      <xdr:grpSpPr>
        <a:xfrm>
          <a:off x="114301" y="5667374"/>
          <a:ext cx="847724" cy="4105275"/>
          <a:chOff x="114301" y="142875"/>
          <a:chExt cx="847724" cy="3924300"/>
        </a:xfrm>
      </xdr:grpSpPr>
      <xdr:pic>
        <xdr:nvPicPr>
          <xdr:cNvPr id="23" name="Picture 22">
            <a:extLst>
              <a:ext uri="{FF2B5EF4-FFF2-40B4-BE49-F238E27FC236}">
                <a16:creationId xmlns:a16="http://schemas.microsoft.com/office/drawing/2014/main" id="{00000000-0008-0000-1600-00001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24" name="Picture 23">
            <a:hlinkClick xmlns:r="http://schemas.openxmlformats.org/officeDocument/2006/relationships" r:id="rId2"/>
            <a:extLst>
              <a:ext uri="{FF2B5EF4-FFF2-40B4-BE49-F238E27FC236}">
                <a16:creationId xmlns:a16="http://schemas.microsoft.com/office/drawing/2014/main" id="{00000000-0008-0000-1600-000018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25" name="Picture 24">
            <a:hlinkClick xmlns:r="http://schemas.openxmlformats.org/officeDocument/2006/relationships" r:id="rId5"/>
            <a:extLst>
              <a:ext uri="{FF2B5EF4-FFF2-40B4-BE49-F238E27FC236}">
                <a16:creationId xmlns:a16="http://schemas.microsoft.com/office/drawing/2014/main" id="{00000000-0008-0000-1600-000019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26" name="Picture 25">
            <a:hlinkClick xmlns:r="http://schemas.openxmlformats.org/officeDocument/2006/relationships" r:id="rId7"/>
            <a:extLst>
              <a:ext uri="{FF2B5EF4-FFF2-40B4-BE49-F238E27FC236}">
                <a16:creationId xmlns:a16="http://schemas.microsoft.com/office/drawing/2014/main" id="{00000000-0008-0000-1600-00001A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58</xdr:row>
      <xdr:rowOff>142874</xdr:rowOff>
    </xdr:from>
    <xdr:to>
      <xdr:col>0</xdr:col>
      <xdr:colOff>962025</xdr:colOff>
      <xdr:row>80</xdr:row>
      <xdr:rowOff>57149</xdr:rowOff>
    </xdr:to>
    <xdr:grpSp>
      <xdr:nvGrpSpPr>
        <xdr:cNvPr id="27" name="Group 26">
          <a:extLst>
            <a:ext uri="{FF2B5EF4-FFF2-40B4-BE49-F238E27FC236}">
              <a16:creationId xmlns:a16="http://schemas.microsoft.com/office/drawing/2014/main" id="{00000000-0008-0000-1600-00001B000000}"/>
            </a:ext>
          </a:extLst>
        </xdr:cNvPr>
        <xdr:cNvGrpSpPr/>
      </xdr:nvGrpSpPr>
      <xdr:grpSpPr>
        <a:xfrm>
          <a:off x="114301" y="11191874"/>
          <a:ext cx="847724" cy="4105275"/>
          <a:chOff x="114301" y="142875"/>
          <a:chExt cx="847724" cy="3924300"/>
        </a:xfrm>
      </xdr:grpSpPr>
      <xdr:pic>
        <xdr:nvPicPr>
          <xdr:cNvPr id="28" name="Picture 27">
            <a:extLst>
              <a:ext uri="{FF2B5EF4-FFF2-40B4-BE49-F238E27FC236}">
                <a16:creationId xmlns:a16="http://schemas.microsoft.com/office/drawing/2014/main" id="{00000000-0008-0000-1600-00001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29" name="Picture 28">
            <a:hlinkClick xmlns:r="http://schemas.openxmlformats.org/officeDocument/2006/relationships" r:id="rId2"/>
            <a:extLst>
              <a:ext uri="{FF2B5EF4-FFF2-40B4-BE49-F238E27FC236}">
                <a16:creationId xmlns:a16="http://schemas.microsoft.com/office/drawing/2014/main" id="{00000000-0008-0000-1600-00001D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30" name="Picture 29">
            <a:hlinkClick xmlns:r="http://schemas.openxmlformats.org/officeDocument/2006/relationships" r:id="rId5"/>
            <a:extLst>
              <a:ext uri="{FF2B5EF4-FFF2-40B4-BE49-F238E27FC236}">
                <a16:creationId xmlns:a16="http://schemas.microsoft.com/office/drawing/2014/main" id="{00000000-0008-0000-1600-00001E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31" name="Picture 30">
            <a:hlinkClick xmlns:r="http://schemas.openxmlformats.org/officeDocument/2006/relationships" r:id="rId7"/>
            <a:extLst>
              <a:ext uri="{FF2B5EF4-FFF2-40B4-BE49-F238E27FC236}">
                <a16:creationId xmlns:a16="http://schemas.microsoft.com/office/drawing/2014/main" id="{00000000-0008-0000-1600-00001F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114301</xdr:colOff>
      <xdr:row>0</xdr:row>
      <xdr:rowOff>142874</xdr:rowOff>
    </xdr:from>
    <xdr:to>
      <xdr:col>0</xdr:col>
      <xdr:colOff>962025</xdr:colOff>
      <xdr:row>22</xdr:row>
      <xdr:rowOff>57149</xdr:rowOff>
    </xdr:to>
    <xdr:grpSp>
      <xdr:nvGrpSpPr>
        <xdr:cNvPr id="17" name="Group 16">
          <a:extLst>
            <a:ext uri="{FF2B5EF4-FFF2-40B4-BE49-F238E27FC236}">
              <a16:creationId xmlns:a16="http://schemas.microsoft.com/office/drawing/2014/main" id="{00000000-0008-0000-1700-000011000000}"/>
            </a:ext>
          </a:extLst>
        </xdr:cNvPr>
        <xdr:cNvGrpSpPr/>
      </xdr:nvGrpSpPr>
      <xdr:grpSpPr>
        <a:xfrm>
          <a:off x="114301" y="142874"/>
          <a:ext cx="847724" cy="4105275"/>
          <a:chOff x="114301" y="142875"/>
          <a:chExt cx="847724" cy="3924300"/>
        </a:xfrm>
      </xdr:grpSpPr>
      <xdr:pic>
        <xdr:nvPicPr>
          <xdr:cNvPr id="18" name="Picture 17">
            <a:extLst>
              <a:ext uri="{FF2B5EF4-FFF2-40B4-BE49-F238E27FC236}">
                <a16:creationId xmlns:a16="http://schemas.microsoft.com/office/drawing/2014/main" id="{00000000-0008-0000-1700-00001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19" name="Picture 18">
            <a:hlinkClick xmlns:r="http://schemas.openxmlformats.org/officeDocument/2006/relationships" r:id="rId2"/>
            <a:extLst>
              <a:ext uri="{FF2B5EF4-FFF2-40B4-BE49-F238E27FC236}">
                <a16:creationId xmlns:a16="http://schemas.microsoft.com/office/drawing/2014/main" id="{00000000-0008-0000-1700-000013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20" name="Picture 19">
            <a:hlinkClick xmlns:r="http://schemas.openxmlformats.org/officeDocument/2006/relationships" r:id="rId5"/>
            <a:extLst>
              <a:ext uri="{FF2B5EF4-FFF2-40B4-BE49-F238E27FC236}">
                <a16:creationId xmlns:a16="http://schemas.microsoft.com/office/drawing/2014/main" id="{00000000-0008-0000-1700-000014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21" name="Picture 20">
            <a:hlinkClick xmlns:r="http://schemas.openxmlformats.org/officeDocument/2006/relationships" r:id="rId7"/>
            <a:extLst>
              <a:ext uri="{FF2B5EF4-FFF2-40B4-BE49-F238E27FC236}">
                <a16:creationId xmlns:a16="http://schemas.microsoft.com/office/drawing/2014/main" id="{00000000-0008-0000-1700-000015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29</xdr:row>
      <xdr:rowOff>142874</xdr:rowOff>
    </xdr:from>
    <xdr:to>
      <xdr:col>0</xdr:col>
      <xdr:colOff>962025</xdr:colOff>
      <xdr:row>51</xdr:row>
      <xdr:rowOff>57149</xdr:rowOff>
    </xdr:to>
    <xdr:grpSp>
      <xdr:nvGrpSpPr>
        <xdr:cNvPr id="22" name="Group 21">
          <a:extLst>
            <a:ext uri="{FF2B5EF4-FFF2-40B4-BE49-F238E27FC236}">
              <a16:creationId xmlns:a16="http://schemas.microsoft.com/office/drawing/2014/main" id="{00000000-0008-0000-1700-000016000000}"/>
            </a:ext>
          </a:extLst>
        </xdr:cNvPr>
        <xdr:cNvGrpSpPr/>
      </xdr:nvGrpSpPr>
      <xdr:grpSpPr>
        <a:xfrm>
          <a:off x="114301" y="5667374"/>
          <a:ext cx="847724" cy="4105275"/>
          <a:chOff x="114301" y="142875"/>
          <a:chExt cx="847724" cy="3924300"/>
        </a:xfrm>
      </xdr:grpSpPr>
      <xdr:pic>
        <xdr:nvPicPr>
          <xdr:cNvPr id="23" name="Picture 22">
            <a:extLst>
              <a:ext uri="{FF2B5EF4-FFF2-40B4-BE49-F238E27FC236}">
                <a16:creationId xmlns:a16="http://schemas.microsoft.com/office/drawing/2014/main" id="{00000000-0008-0000-1700-00001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24" name="Picture 23">
            <a:hlinkClick xmlns:r="http://schemas.openxmlformats.org/officeDocument/2006/relationships" r:id="rId2"/>
            <a:extLst>
              <a:ext uri="{FF2B5EF4-FFF2-40B4-BE49-F238E27FC236}">
                <a16:creationId xmlns:a16="http://schemas.microsoft.com/office/drawing/2014/main" id="{00000000-0008-0000-1700-000018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25" name="Picture 24">
            <a:hlinkClick xmlns:r="http://schemas.openxmlformats.org/officeDocument/2006/relationships" r:id="rId5"/>
            <a:extLst>
              <a:ext uri="{FF2B5EF4-FFF2-40B4-BE49-F238E27FC236}">
                <a16:creationId xmlns:a16="http://schemas.microsoft.com/office/drawing/2014/main" id="{00000000-0008-0000-1700-000019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26" name="Picture 25">
            <a:hlinkClick xmlns:r="http://schemas.openxmlformats.org/officeDocument/2006/relationships" r:id="rId7"/>
            <a:extLst>
              <a:ext uri="{FF2B5EF4-FFF2-40B4-BE49-F238E27FC236}">
                <a16:creationId xmlns:a16="http://schemas.microsoft.com/office/drawing/2014/main" id="{00000000-0008-0000-1700-00001A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58</xdr:row>
      <xdr:rowOff>142874</xdr:rowOff>
    </xdr:from>
    <xdr:to>
      <xdr:col>0</xdr:col>
      <xdr:colOff>962025</xdr:colOff>
      <xdr:row>80</xdr:row>
      <xdr:rowOff>57149</xdr:rowOff>
    </xdr:to>
    <xdr:grpSp>
      <xdr:nvGrpSpPr>
        <xdr:cNvPr id="27" name="Group 26">
          <a:extLst>
            <a:ext uri="{FF2B5EF4-FFF2-40B4-BE49-F238E27FC236}">
              <a16:creationId xmlns:a16="http://schemas.microsoft.com/office/drawing/2014/main" id="{00000000-0008-0000-1700-00001B000000}"/>
            </a:ext>
          </a:extLst>
        </xdr:cNvPr>
        <xdr:cNvGrpSpPr/>
      </xdr:nvGrpSpPr>
      <xdr:grpSpPr>
        <a:xfrm>
          <a:off x="114301" y="11191874"/>
          <a:ext cx="847724" cy="4105275"/>
          <a:chOff x="114301" y="142875"/>
          <a:chExt cx="847724" cy="3924300"/>
        </a:xfrm>
      </xdr:grpSpPr>
      <xdr:pic>
        <xdr:nvPicPr>
          <xdr:cNvPr id="28" name="Picture 27">
            <a:extLst>
              <a:ext uri="{FF2B5EF4-FFF2-40B4-BE49-F238E27FC236}">
                <a16:creationId xmlns:a16="http://schemas.microsoft.com/office/drawing/2014/main" id="{00000000-0008-0000-1700-00001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29" name="Picture 28">
            <a:hlinkClick xmlns:r="http://schemas.openxmlformats.org/officeDocument/2006/relationships" r:id="rId2"/>
            <a:extLst>
              <a:ext uri="{FF2B5EF4-FFF2-40B4-BE49-F238E27FC236}">
                <a16:creationId xmlns:a16="http://schemas.microsoft.com/office/drawing/2014/main" id="{00000000-0008-0000-1700-00001D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30" name="Picture 29">
            <a:hlinkClick xmlns:r="http://schemas.openxmlformats.org/officeDocument/2006/relationships" r:id="rId5"/>
            <a:extLst>
              <a:ext uri="{FF2B5EF4-FFF2-40B4-BE49-F238E27FC236}">
                <a16:creationId xmlns:a16="http://schemas.microsoft.com/office/drawing/2014/main" id="{00000000-0008-0000-1700-00001E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31" name="Picture 30">
            <a:hlinkClick xmlns:r="http://schemas.openxmlformats.org/officeDocument/2006/relationships" r:id="rId7"/>
            <a:extLst>
              <a:ext uri="{FF2B5EF4-FFF2-40B4-BE49-F238E27FC236}">
                <a16:creationId xmlns:a16="http://schemas.microsoft.com/office/drawing/2014/main" id="{00000000-0008-0000-1700-00001F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114301</xdr:colOff>
      <xdr:row>0</xdr:row>
      <xdr:rowOff>142874</xdr:rowOff>
    </xdr:from>
    <xdr:to>
      <xdr:col>0</xdr:col>
      <xdr:colOff>962025</xdr:colOff>
      <xdr:row>22</xdr:row>
      <xdr:rowOff>57149</xdr:rowOff>
    </xdr:to>
    <xdr:grpSp>
      <xdr:nvGrpSpPr>
        <xdr:cNvPr id="17" name="Group 16">
          <a:extLst>
            <a:ext uri="{FF2B5EF4-FFF2-40B4-BE49-F238E27FC236}">
              <a16:creationId xmlns:a16="http://schemas.microsoft.com/office/drawing/2014/main" id="{00000000-0008-0000-1800-000011000000}"/>
            </a:ext>
          </a:extLst>
        </xdr:cNvPr>
        <xdr:cNvGrpSpPr/>
      </xdr:nvGrpSpPr>
      <xdr:grpSpPr>
        <a:xfrm>
          <a:off x="114301" y="142874"/>
          <a:ext cx="847724" cy="4105275"/>
          <a:chOff x="114301" y="142875"/>
          <a:chExt cx="847724" cy="3924300"/>
        </a:xfrm>
      </xdr:grpSpPr>
      <xdr:pic>
        <xdr:nvPicPr>
          <xdr:cNvPr id="18" name="Picture 17">
            <a:extLst>
              <a:ext uri="{FF2B5EF4-FFF2-40B4-BE49-F238E27FC236}">
                <a16:creationId xmlns:a16="http://schemas.microsoft.com/office/drawing/2014/main" id="{00000000-0008-0000-1800-00001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19" name="Picture 18">
            <a:hlinkClick xmlns:r="http://schemas.openxmlformats.org/officeDocument/2006/relationships" r:id="rId2"/>
            <a:extLst>
              <a:ext uri="{FF2B5EF4-FFF2-40B4-BE49-F238E27FC236}">
                <a16:creationId xmlns:a16="http://schemas.microsoft.com/office/drawing/2014/main" id="{00000000-0008-0000-1800-000013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20" name="Picture 19">
            <a:hlinkClick xmlns:r="http://schemas.openxmlformats.org/officeDocument/2006/relationships" r:id="rId5"/>
            <a:extLst>
              <a:ext uri="{FF2B5EF4-FFF2-40B4-BE49-F238E27FC236}">
                <a16:creationId xmlns:a16="http://schemas.microsoft.com/office/drawing/2014/main" id="{00000000-0008-0000-1800-000014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21" name="Picture 20">
            <a:hlinkClick xmlns:r="http://schemas.openxmlformats.org/officeDocument/2006/relationships" r:id="rId7"/>
            <a:extLst>
              <a:ext uri="{FF2B5EF4-FFF2-40B4-BE49-F238E27FC236}">
                <a16:creationId xmlns:a16="http://schemas.microsoft.com/office/drawing/2014/main" id="{00000000-0008-0000-1800-000015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29</xdr:row>
      <xdr:rowOff>142874</xdr:rowOff>
    </xdr:from>
    <xdr:to>
      <xdr:col>0</xdr:col>
      <xdr:colOff>962025</xdr:colOff>
      <xdr:row>51</xdr:row>
      <xdr:rowOff>57149</xdr:rowOff>
    </xdr:to>
    <xdr:grpSp>
      <xdr:nvGrpSpPr>
        <xdr:cNvPr id="22" name="Group 21">
          <a:extLst>
            <a:ext uri="{FF2B5EF4-FFF2-40B4-BE49-F238E27FC236}">
              <a16:creationId xmlns:a16="http://schemas.microsoft.com/office/drawing/2014/main" id="{00000000-0008-0000-1800-000016000000}"/>
            </a:ext>
          </a:extLst>
        </xdr:cNvPr>
        <xdr:cNvGrpSpPr/>
      </xdr:nvGrpSpPr>
      <xdr:grpSpPr>
        <a:xfrm>
          <a:off x="114301" y="5667374"/>
          <a:ext cx="847724" cy="4105275"/>
          <a:chOff x="114301" y="142875"/>
          <a:chExt cx="847724" cy="3924300"/>
        </a:xfrm>
      </xdr:grpSpPr>
      <xdr:pic>
        <xdr:nvPicPr>
          <xdr:cNvPr id="23" name="Picture 22">
            <a:extLst>
              <a:ext uri="{FF2B5EF4-FFF2-40B4-BE49-F238E27FC236}">
                <a16:creationId xmlns:a16="http://schemas.microsoft.com/office/drawing/2014/main" id="{00000000-0008-0000-1800-00001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24" name="Picture 23">
            <a:hlinkClick xmlns:r="http://schemas.openxmlformats.org/officeDocument/2006/relationships" r:id="rId2"/>
            <a:extLst>
              <a:ext uri="{FF2B5EF4-FFF2-40B4-BE49-F238E27FC236}">
                <a16:creationId xmlns:a16="http://schemas.microsoft.com/office/drawing/2014/main" id="{00000000-0008-0000-1800-000018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25" name="Picture 24">
            <a:hlinkClick xmlns:r="http://schemas.openxmlformats.org/officeDocument/2006/relationships" r:id="rId5"/>
            <a:extLst>
              <a:ext uri="{FF2B5EF4-FFF2-40B4-BE49-F238E27FC236}">
                <a16:creationId xmlns:a16="http://schemas.microsoft.com/office/drawing/2014/main" id="{00000000-0008-0000-1800-000019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26" name="Picture 25">
            <a:hlinkClick xmlns:r="http://schemas.openxmlformats.org/officeDocument/2006/relationships" r:id="rId7"/>
            <a:extLst>
              <a:ext uri="{FF2B5EF4-FFF2-40B4-BE49-F238E27FC236}">
                <a16:creationId xmlns:a16="http://schemas.microsoft.com/office/drawing/2014/main" id="{00000000-0008-0000-1800-00001A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58</xdr:row>
      <xdr:rowOff>142874</xdr:rowOff>
    </xdr:from>
    <xdr:to>
      <xdr:col>0</xdr:col>
      <xdr:colOff>962025</xdr:colOff>
      <xdr:row>80</xdr:row>
      <xdr:rowOff>57149</xdr:rowOff>
    </xdr:to>
    <xdr:grpSp>
      <xdr:nvGrpSpPr>
        <xdr:cNvPr id="27" name="Group 26">
          <a:extLst>
            <a:ext uri="{FF2B5EF4-FFF2-40B4-BE49-F238E27FC236}">
              <a16:creationId xmlns:a16="http://schemas.microsoft.com/office/drawing/2014/main" id="{00000000-0008-0000-1800-00001B000000}"/>
            </a:ext>
          </a:extLst>
        </xdr:cNvPr>
        <xdr:cNvGrpSpPr/>
      </xdr:nvGrpSpPr>
      <xdr:grpSpPr>
        <a:xfrm>
          <a:off x="114301" y="11191874"/>
          <a:ext cx="847724" cy="4105275"/>
          <a:chOff x="114301" y="142875"/>
          <a:chExt cx="847724" cy="3924300"/>
        </a:xfrm>
      </xdr:grpSpPr>
      <xdr:pic>
        <xdr:nvPicPr>
          <xdr:cNvPr id="28" name="Picture 27">
            <a:extLst>
              <a:ext uri="{FF2B5EF4-FFF2-40B4-BE49-F238E27FC236}">
                <a16:creationId xmlns:a16="http://schemas.microsoft.com/office/drawing/2014/main" id="{00000000-0008-0000-1800-00001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29" name="Picture 28">
            <a:hlinkClick xmlns:r="http://schemas.openxmlformats.org/officeDocument/2006/relationships" r:id="rId2"/>
            <a:extLst>
              <a:ext uri="{FF2B5EF4-FFF2-40B4-BE49-F238E27FC236}">
                <a16:creationId xmlns:a16="http://schemas.microsoft.com/office/drawing/2014/main" id="{00000000-0008-0000-1800-00001D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30" name="Picture 29">
            <a:hlinkClick xmlns:r="http://schemas.openxmlformats.org/officeDocument/2006/relationships" r:id="rId5"/>
            <a:extLst>
              <a:ext uri="{FF2B5EF4-FFF2-40B4-BE49-F238E27FC236}">
                <a16:creationId xmlns:a16="http://schemas.microsoft.com/office/drawing/2014/main" id="{00000000-0008-0000-1800-00001E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31" name="Picture 30">
            <a:hlinkClick xmlns:r="http://schemas.openxmlformats.org/officeDocument/2006/relationships" r:id="rId7"/>
            <a:extLst>
              <a:ext uri="{FF2B5EF4-FFF2-40B4-BE49-F238E27FC236}">
                <a16:creationId xmlns:a16="http://schemas.microsoft.com/office/drawing/2014/main" id="{00000000-0008-0000-1800-00001F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114301</xdr:colOff>
      <xdr:row>0</xdr:row>
      <xdr:rowOff>142874</xdr:rowOff>
    </xdr:from>
    <xdr:to>
      <xdr:col>0</xdr:col>
      <xdr:colOff>962025</xdr:colOff>
      <xdr:row>22</xdr:row>
      <xdr:rowOff>57149</xdr:rowOff>
    </xdr:to>
    <xdr:grpSp>
      <xdr:nvGrpSpPr>
        <xdr:cNvPr id="17" name="Group 16">
          <a:extLst>
            <a:ext uri="{FF2B5EF4-FFF2-40B4-BE49-F238E27FC236}">
              <a16:creationId xmlns:a16="http://schemas.microsoft.com/office/drawing/2014/main" id="{00000000-0008-0000-1900-000011000000}"/>
            </a:ext>
          </a:extLst>
        </xdr:cNvPr>
        <xdr:cNvGrpSpPr/>
      </xdr:nvGrpSpPr>
      <xdr:grpSpPr>
        <a:xfrm>
          <a:off x="114301" y="142874"/>
          <a:ext cx="847724" cy="4105275"/>
          <a:chOff x="114301" y="142875"/>
          <a:chExt cx="847724" cy="3924300"/>
        </a:xfrm>
      </xdr:grpSpPr>
      <xdr:pic>
        <xdr:nvPicPr>
          <xdr:cNvPr id="18" name="Picture 17">
            <a:extLst>
              <a:ext uri="{FF2B5EF4-FFF2-40B4-BE49-F238E27FC236}">
                <a16:creationId xmlns:a16="http://schemas.microsoft.com/office/drawing/2014/main" id="{00000000-0008-0000-1900-00001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19" name="Picture 18">
            <a:hlinkClick xmlns:r="http://schemas.openxmlformats.org/officeDocument/2006/relationships" r:id="rId2"/>
            <a:extLst>
              <a:ext uri="{FF2B5EF4-FFF2-40B4-BE49-F238E27FC236}">
                <a16:creationId xmlns:a16="http://schemas.microsoft.com/office/drawing/2014/main" id="{00000000-0008-0000-1900-000013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20" name="Picture 19">
            <a:hlinkClick xmlns:r="http://schemas.openxmlformats.org/officeDocument/2006/relationships" r:id="rId5"/>
            <a:extLst>
              <a:ext uri="{FF2B5EF4-FFF2-40B4-BE49-F238E27FC236}">
                <a16:creationId xmlns:a16="http://schemas.microsoft.com/office/drawing/2014/main" id="{00000000-0008-0000-1900-000014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21" name="Picture 20">
            <a:hlinkClick xmlns:r="http://schemas.openxmlformats.org/officeDocument/2006/relationships" r:id="rId7"/>
            <a:extLst>
              <a:ext uri="{FF2B5EF4-FFF2-40B4-BE49-F238E27FC236}">
                <a16:creationId xmlns:a16="http://schemas.microsoft.com/office/drawing/2014/main" id="{00000000-0008-0000-1900-000015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29</xdr:row>
      <xdr:rowOff>142874</xdr:rowOff>
    </xdr:from>
    <xdr:to>
      <xdr:col>0</xdr:col>
      <xdr:colOff>962025</xdr:colOff>
      <xdr:row>51</xdr:row>
      <xdr:rowOff>57149</xdr:rowOff>
    </xdr:to>
    <xdr:grpSp>
      <xdr:nvGrpSpPr>
        <xdr:cNvPr id="22" name="Group 21">
          <a:extLst>
            <a:ext uri="{FF2B5EF4-FFF2-40B4-BE49-F238E27FC236}">
              <a16:creationId xmlns:a16="http://schemas.microsoft.com/office/drawing/2014/main" id="{00000000-0008-0000-1900-000016000000}"/>
            </a:ext>
          </a:extLst>
        </xdr:cNvPr>
        <xdr:cNvGrpSpPr/>
      </xdr:nvGrpSpPr>
      <xdr:grpSpPr>
        <a:xfrm>
          <a:off x="114301" y="5667374"/>
          <a:ext cx="847724" cy="4105275"/>
          <a:chOff x="114301" y="142875"/>
          <a:chExt cx="847724" cy="3924300"/>
        </a:xfrm>
      </xdr:grpSpPr>
      <xdr:pic>
        <xdr:nvPicPr>
          <xdr:cNvPr id="23" name="Picture 22">
            <a:extLst>
              <a:ext uri="{FF2B5EF4-FFF2-40B4-BE49-F238E27FC236}">
                <a16:creationId xmlns:a16="http://schemas.microsoft.com/office/drawing/2014/main" id="{00000000-0008-0000-1900-00001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24" name="Picture 23">
            <a:hlinkClick xmlns:r="http://schemas.openxmlformats.org/officeDocument/2006/relationships" r:id="rId2"/>
            <a:extLst>
              <a:ext uri="{FF2B5EF4-FFF2-40B4-BE49-F238E27FC236}">
                <a16:creationId xmlns:a16="http://schemas.microsoft.com/office/drawing/2014/main" id="{00000000-0008-0000-1900-000018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25" name="Picture 24">
            <a:hlinkClick xmlns:r="http://schemas.openxmlformats.org/officeDocument/2006/relationships" r:id="rId5"/>
            <a:extLst>
              <a:ext uri="{FF2B5EF4-FFF2-40B4-BE49-F238E27FC236}">
                <a16:creationId xmlns:a16="http://schemas.microsoft.com/office/drawing/2014/main" id="{00000000-0008-0000-1900-000019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26" name="Picture 25">
            <a:hlinkClick xmlns:r="http://schemas.openxmlformats.org/officeDocument/2006/relationships" r:id="rId7"/>
            <a:extLst>
              <a:ext uri="{FF2B5EF4-FFF2-40B4-BE49-F238E27FC236}">
                <a16:creationId xmlns:a16="http://schemas.microsoft.com/office/drawing/2014/main" id="{00000000-0008-0000-1900-00001A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0</xdr:col>
      <xdr:colOff>114301</xdr:colOff>
      <xdr:row>58</xdr:row>
      <xdr:rowOff>142874</xdr:rowOff>
    </xdr:from>
    <xdr:to>
      <xdr:col>0</xdr:col>
      <xdr:colOff>962025</xdr:colOff>
      <xdr:row>80</xdr:row>
      <xdr:rowOff>57149</xdr:rowOff>
    </xdr:to>
    <xdr:grpSp>
      <xdr:nvGrpSpPr>
        <xdr:cNvPr id="27" name="Group 26">
          <a:extLst>
            <a:ext uri="{FF2B5EF4-FFF2-40B4-BE49-F238E27FC236}">
              <a16:creationId xmlns:a16="http://schemas.microsoft.com/office/drawing/2014/main" id="{00000000-0008-0000-1900-00001B000000}"/>
            </a:ext>
          </a:extLst>
        </xdr:cNvPr>
        <xdr:cNvGrpSpPr/>
      </xdr:nvGrpSpPr>
      <xdr:grpSpPr>
        <a:xfrm>
          <a:off x="114301" y="11191874"/>
          <a:ext cx="847724" cy="4105275"/>
          <a:chOff x="114301" y="142875"/>
          <a:chExt cx="847724" cy="3924300"/>
        </a:xfrm>
      </xdr:grpSpPr>
      <xdr:pic>
        <xdr:nvPicPr>
          <xdr:cNvPr id="28" name="Picture 27">
            <a:extLst>
              <a:ext uri="{FF2B5EF4-FFF2-40B4-BE49-F238E27FC236}">
                <a16:creationId xmlns:a16="http://schemas.microsoft.com/office/drawing/2014/main" id="{00000000-0008-0000-1900-00001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29" name="Picture 28">
            <a:hlinkClick xmlns:r="http://schemas.openxmlformats.org/officeDocument/2006/relationships" r:id="rId2"/>
            <a:extLst>
              <a:ext uri="{FF2B5EF4-FFF2-40B4-BE49-F238E27FC236}">
                <a16:creationId xmlns:a16="http://schemas.microsoft.com/office/drawing/2014/main" id="{00000000-0008-0000-1900-00001D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30" name="Picture 29">
            <a:hlinkClick xmlns:r="http://schemas.openxmlformats.org/officeDocument/2006/relationships" r:id="rId5"/>
            <a:extLst>
              <a:ext uri="{FF2B5EF4-FFF2-40B4-BE49-F238E27FC236}">
                <a16:creationId xmlns:a16="http://schemas.microsoft.com/office/drawing/2014/main" id="{00000000-0008-0000-1900-00001E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31" name="Picture 30">
            <a:hlinkClick xmlns:r="http://schemas.openxmlformats.org/officeDocument/2006/relationships" r:id="rId7"/>
            <a:extLst>
              <a:ext uri="{FF2B5EF4-FFF2-40B4-BE49-F238E27FC236}">
                <a16:creationId xmlns:a16="http://schemas.microsoft.com/office/drawing/2014/main" id="{00000000-0008-0000-1900-00001F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114301</xdr:colOff>
      <xdr:row>0</xdr:row>
      <xdr:rowOff>142874</xdr:rowOff>
    </xdr:from>
    <xdr:to>
      <xdr:col>0</xdr:col>
      <xdr:colOff>962025</xdr:colOff>
      <xdr:row>22</xdr:row>
      <xdr:rowOff>57149</xdr:rowOff>
    </xdr:to>
    <xdr:grpSp>
      <xdr:nvGrpSpPr>
        <xdr:cNvPr id="6" name="Group 5">
          <a:extLst>
            <a:ext uri="{FF2B5EF4-FFF2-40B4-BE49-F238E27FC236}">
              <a16:creationId xmlns:a16="http://schemas.microsoft.com/office/drawing/2014/main" id="{00000000-0008-0000-1A00-000006000000}"/>
            </a:ext>
          </a:extLst>
        </xdr:cNvPr>
        <xdr:cNvGrpSpPr/>
      </xdr:nvGrpSpPr>
      <xdr:grpSpPr>
        <a:xfrm>
          <a:off x="114301" y="142874"/>
          <a:ext cx="847724" cy="4105275"/>
          <a:chOff x="114301" y="142875"/>
          <a:chExt cx="847724" cy="3924300"/>
        </a:xfrm>
      </xdr:grpSpPr>
      <xdr:pic>
        <xdr:nvPicPr>
          <xdr:cNvPr id="2" name="Picture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3" name="Picture 2">
            <a:hlinkClick xmlns:r="http://schemas.openxmlformats.org/officeDocument/2006/relationships" r:id="rId2"/>
            <a:extLst>
              <a:ext uri="{FF2B5EF4-FFF2-40B4-BE49-F238E27FC236}">
                <a16:creationId xmlns:a16="http://schemas.microsoft.com/office/drawing/2014/main" id="{00000000-0008-0000-1A00-000003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4" name="Picture 3">
            <a:hlinkClick xmlns:r="http://schemas.openxmlformats.org/officeDocument/2006/relationships" r:id="rId5"/>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5" name="Picture 4">
            <a:hlinkClick xmlns:r="http://schemas.openxmlformats.org/officeDocument/2006/relationships" r:id="rId7"/>
            <a:extLst>
              <a:ext uri="{FF2B5EF4-FFF2-40B4-BE49-F238E27FC236}">
                <a16:creationId xmlns:a16="http://schemas.microsoft.com/office/drawing/2014/main" id="{00000000-0008-0000-1A00-000005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1</xdr:col>
      <xdr:colOff>9526</xdr:colOff>
      <xdr:row>0</xdr:row>
      <xdr:rowOff>19050</xdr:rowOff>
    </xdr:from>
    <xdr:to>
      <xdr:col>5</xdr:col>
      <xdr:colOff>247650</xdr:colOff>
      <xdr:row>11</xdr:row>
      <xdr:rowOff>57150</xdr:rowOff>
    </xdr:to>
    <xdr:graphicFrame macro="">
      <xdr:nvGraphicFramePr>
        <xdr:cNvPr id="7" name="Chart 6">
          <a:extLst>
            <a:ext uri="{FF2B5EF4-FFF2-40B4-BE49-F238E27FC236}">
              <a16:creationId xmlns:a16="http://schemas.microsoft.com/office/drawing/2014/main" id="{00000000-0008-0000-1A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238125</xdr:colOff>
      <xdr:row>0</xdr:row>
      <xdr:rowOff>19050</xdr:rowOff>
    </xdr:from>
    <xdr:to>
      <xdr:col>11</xdr:col>
      <xdr:colOff>457200</xdr:colOff>
      <xdr:row>11</xdr:row>
      <xdr:rowOff>47625</xdr:rowOff>
    </xdr:to>
    <xdr:graphicFrame macro="">
      <xdr:nvGraphicFramePr>
        <xdr:cNvPr id="8" name="Chart 7">
          <a:extLst>
            <a:ext uri="{FF2B5EF4-FFF2-40B4-BE49-F238E27FC236}">
              <a16:creationId xmlns:a16="http://schemas.microsoft.com/office/drawing/2014/main" id="{00000000-0008-0000-1A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10</xdr:col>
      <xdr:colOff>504825</xdr:colOff>
      <xdr:row>12</xdr:row>
      <xdr:rowOff>85725</xdr:rowOff>
    </xdr:from>
    <xdr:to>
      <xdr:col>13</xdr:col>
      <xdr:colOff>190500</xdr:colOff>
      <xdr:row>25</xdr:row>
      <xdr:rowOff>133350</xdr:rowOff>
    </xdr:to>
    <mc:AlternateContent xmlns:mc="http://schemas.openxmlformats.org/markup-compatibility/2006" xmlns:a14="http://schemas.microsoft.com/office/drawing/2010/main">
      <mc:Choice Requires="a14">
        <xdr:graphicFrame macro="">
          <xdr:nvGraphicFramePr>
            <xdr:cNvPr id="14" name="Product Name">
              <a:extLst>
                <a:ext uri="{FF2B5EF4-FFF2-40B4-BE49-F238E27FC236}">
                  <a16:creationId xmlns:a16="http://schemas.microsoft.com/office/drawing/2014/main" id="{00000000-0008-0000-1A00-00000E000000}"/>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8115300" y="2371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12</xdr:row>
      <xdr:rowOff>0</xdr:rowOff>
    </xdr:from>
    <xdr:to>
      <xdr:col>9</xdr:col>
      <xdr:colOff>476250</xdr:colOff>
      <xdr:row>26</xdr:row>
      <xdr:rowOff>76200</xdr:rowOff>
    </xdr:to>
    <xdr:graphicFrame macro="">
      <xdr:nvGraphicFramePr>
        <xdr:cNvPr id="15" name="Chart 14">
          <a:extLst>
            <a:ext uri="{FF2B5EF4-FFF2-40B4-BE49-F238E27FC236}">
              <a16:creationId xmlns:a16="http://schemas.microsoft.com/office/drawing/2014/main" id="{00000000-0008-0000-1A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481012</xdr:colOff>
      <xdr:row>0</xdr:row>
      <xdr:rowOff>0</xdr:rowOff>
    </xdr:from>
    <xdr:to>
      <xdr:col>16</xdr:col>
      <xdr:colOff>371475</xdr:colOff>
      <xdr:row>11</xdr:row>
      <xdr:rowOff>47625</xdr:rowOff>
    </xdr:to>
    <xdr:graphicFrame macro="">
      <xdr:nvGraphicFramePr>
        <xdr:cNvPr id="10" name="Chart 9">
          <a:extLst>
            <a:ext uri="{FF2B5EF4-FFF2-40B4-BE49-F238E27FC236}">
              <a16:creationId xmlns:a16="http://schemas.microsoft.com/office/drawing/2014/main" id="{00000000-0008-0000-1A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114301</xdr:colOff>
      <xdr:row>0</xdr:row>
      <xdr:rowOff>142874</xdr:rowOff>
    </xdr:from>
    <xdr:to>
      <xdr:col>1</xdr:col>
      <xdr:colOff>0</xdr:colOff>
      <xdr:row>22</xdr:row>
      <xdr:rowOff>57149</xdr:rowOff>
    </xdr:to>
    <xdr:grpSp>
      <xdr:nvGrpSpPr>
        <xdr:cNvPr id="2" name="Group 1">
          <a:extLst>
            <a:ext uri="{FF2B5EF4-FFF2-40B4-BE49-F238E27FC236}">
              <a16:creationId xmlns:a16="http://schemas.microsoft.com/office/drawing/2014/main" id="{00000000-0008-0000-1C00-000002000000}"/>
            </a:ext>
          </a:extLst>
        </xdr:cNvPr>
        <xdr:cNvGrpSpPr/>
      </xdr:nvGrpSpPr>
      <xdr:grpSpPr>
        <a:xfrm>
          <a:off x="114301" y="142874"/>
          <a:ext cx="838199" cy="4105275"/>
          <a:chOff x="114301" y="142875"/>
          <a:chExt cx="847724" cy="3924300"/>
        </a:xfrm>
      </xdr:grpSpPr>
      <xdr:pic>
        <xdr:nvPicPr>
          <xdr:cNvPr id="3" name="Picture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42875"/>
            <a:ext cx="674220" cy="676275"/>
          </a:xfrm>
          <a:prstGeom prst="ellipse">
            <a:avLst/>
          </a:prstGeom>
          <a:ln w="63500" cap="rnd">
            <a:noFill/>
          </a:ln>
          <a:effectLst/>
          <a:scene3d>
            <a:camera prst="orthographicFront">
              <a:rot lat="0" lon="0" rev="0"/>
            </a:camera>
            <a:lightRig rig="contrasting" dir="t">
              <a:rot lat="0" lon="0" rev="7800000"/>
            </a:lightRig>
          </a:scene3d>
          <a:sp3d>
            <a:bevelT w="139700" h="139700"/>
          </a:sp3d>
        </xdr:spPr>
      </xdr:pic>
      <xdr:pic>
        <xdr:nvPicPr>
          <xdr:cNvPr id="4" name="Picture 3">
            <a:hlinkClick xmlns:r="http://schemas.openxmlformats.org/officeDocument/2006/relationships" r:id="rId2"/>
            <a:extLst>
              <a:ext uri="{FF2B5EF4-FFF2-40B4-BE49-F238E27FC236}">
                <a16:creationId xmlns:a16="http://schemas.microsoft.com/office/drawing/2014/main" id="{00000000-0008-0000-1C00-000004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5195" b="96970" l="1835" r="97248">
                        <a14:foregroundMark x1="42202" y1="53680" x2="42202" y2="53680"/>
                        <a14:foregroundMark x1="43578" y1="53680" x2="43578" y2="53680"/>
                        <a14:foregroundMark x1="55505" y1="48918" x2="55505" y2="48918"/>
                        <a14:foregroundMark x1="55505" y1="48918" x2="55505" y2="48918"/>
                        <a14:foregroundMark x1="55505" y1="48918" x2="55505" y2="48918"/>
                        <a14:foregroundMark x1="55505" y1="48918" x2="55505" y2="48918"/>
                        <a14:foregroundMark x1="54587" y1="49784" x2="54587" y2="49784"/>
                        <a14:foregroundMark x1="54587" y1="49784" x2="54587" y2="49784"/>
                        <a14:foregroundMark x1="46330" y1="49784" x2="63761" y2="42424"/>
                        <a14:foregroundMark x1="42661" y1="54113" x2="43119" y2="28571"/>
                        <a14:foregroundMark x1="34862" y1="39394" x2="67890" y2="54545"/>
                        <a14:foregroundMark x1="33486" y1="61039" x2="71101" y2="58009"/>
                        <a14:foregroundMark x1="27523" y1="43290" x2="72936" y2="37229"/>
                        <a14:foregroundMark x1="71560" y1="35931" x2="70642" y2="33766"/>
                        <a14:foregroundMark x1="25688" y1="68831" x2="55046" y2="73160"/>
                        <a14:foregroundMark x1="29358" y1="59307" x2="30275" y2="74459"/>
                        <a14:foregroundMark x1="53670" y1="77056" x2="74312" y2="53680"/>
                      </a14:backgroundRemoval>
                    </a14:imgEffect>
                  </a14:imgLayer>
                </a14:imgProps>
              </a:ext>
              <a:ext uri="{28A0092B-C50C-407E-A947-70E740481C1C}">
                <a14:useLocalDpi xmlns:a14="http://schemas.microsoft.com/office/drawing/2010/main" val="0"/>
              </a:ext>
            </a:extLst>
          </a:blip>
          <a:stretch>
            <a:fillRect/>
          </a:stretch>
        </xdr:blipFill>
        <xdr:spPr>
          <a:xfrm>
            <a:off x="228599" y="1190625"/>
            <a:ext cx="656193" cy="6953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5" name="Picture 4">
            <a:hlinkClick xmlns:r="http://schemas.openxmlformats.org/officeDocument/2006/relationships" r:id="rId5"/>
            <a:extLst>
              <a:ext uri="{FF2B5EF4-FFF2-40B4-BE49-F238E27FC236}">
                <a16:creationId xmlns:a16="http://schemas.microsoft.com/office/drawing/2014/main" id="{00000000-0008-0000-1C00-000005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6" y="2381250"/>
            <a:ext cx="714374" cy="434081"/>
          </a:xfrm>
          <a:prstGeom prst="rect">
            <a:avLst/>
          </a:prstGeom>
          <a:ln>
            <a:noFill/>
          </a:ln>
          <a:effectLst>
            <a:outerShdw blurRad="225425" dist="50800" dir="5220000" algn="ctr">
              <a:srgbClr val="000000">
                <a:alpha val="33000"/>
              </a:srgbClr>
            </a:outerShdw>
            <a:reflection blurRad="6350" stA="50000" endA="300" endPos="55500" dist="101600" dir="5400000" sy="-100000" algn="bl" rotWithShape="0"/>
          </a:effectLst>
          <a:scene3d>
            <a:camera prst="perspectiveFront" fov="3300000">
              <a:rot lat="424388" lon="20435874" rev="294286"/>
            </a:camera>
            <a:lightRig rig="harsh" dir="t">
              <a:rot lat="0" lon="0" rev="3000000"/>
            </a:lightRig>
          </a:scene3d>
          <a:sp3d extrusionH="254000" contourW="19050">
            <a:bevelT w="82550" h="44450" prst="angle"/>
            <a:bevelB w="82550" h="44450" prst="angle"/>
            <a:contourClr>
              <a:srgbClr val="FFFFFF"/>
            </a:contourClr>
          </a:sp3d>
        </xdr:spPr>
      </xdr:pic>
      <xdr:pic>
        <xdr:nvPicPr>
          <xdr:cNvPr id="6" name="Picture 5">
            <a:hlinkClick xmlns:r="http://schemas.openxmlformats.org/officeDocument/2006/relationships" r:id="rId7"/>
            <a:extLst>
              <a:ext uri="{FF2B5EF4-FFF2-40B4-BE49-F238E27FC236}">
                <a16:creationId xmlns:a16="http://schemas.microsoft.com/office/drawing/2014/main" id="{00000000-0008-0000-1C00-000006000000}"/>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78" b="89778" l="4444" r="96889"/>
                    </a14:imgEffect>
                  </a14:imgLayer>
                </a14:imgProps>
              </a:ext>
              <a:ext uri="{28A0092B-C50C-407E-A947-70E740481C1C}">
                <a14:useLocalDpi xmlns:a14="http://schemas.microsoft.com/office/drawing/2010/main" val="0"/>
              </a:ext>
            </a:extLst>
          </a:blip>
          <a:stretch>
            <a:fillRect/>
          </a:stretch>
        </xdr:blipFill>
        <xdr:spPr>
          <a:xfrm>
            <a:off x="114301" y="3219450"/>
            <a:ext cx="847724" cy="847725"/>
          </a:xfrm>
          <a:prstGeom prst="rect">
            <a:avLst/>
          </a:prstGeom>
          <a:ln>
            <a:noFill/>
          </a:ln>
          <a:effectLst>
            <a:reflection blurRad="6350" stA="48000" endPos="47000" dir="5400000" sy="-100000" algn="bl" rotWithShape="0"/>
          </a:effectLst>
        </xdr:spPr>
      </xdr:pic>
    </xdr:grpSp>
    <xdr:clientData/>
  </xdr:twoCellAnchor>
  <xdr:twoCellAnchor>
    <xdr:from>
      <xdr:col>2</xdr:col>
      <xdr:colOff>561975</xdr:colOff>
      <xdr:row>2</xdr:row>
      <xdr:rowOff>66675</xdr:rowOff>
    </xdr:from>
    <xdr:to>
      <xdr:col>18</xdr:col>
      <xdr:colOff>95250</xdr:colOff>
      <xdr:row>21</xdr:row>
      <xdr:rowOff>142875</xdr:rowOff>
    </xdr:to>
    <xdr:sp macro="" textlink="">
      <xdr:nvSpPr>
        <xdr:cNvPr id="8" name="TextBox 7">
          <a:extLst>
            <a:ext uri="{FF2B5EF4-FFF2-40B4-BE49-F238E27FC236}">
              <a16:creationId xmlns:a16="http://schemas.microsoft.com/office/drawing/2014/main" id="{00000000-0008-0000-1C00-000008000000}"/>
            </a:ext>
          </a:extLst>
        </xdr:cNvPr>
        <xdr:cNvSpPr txBox="1"/>
      </xdr:nvSpPr>
      <xdr:spPr>
        <a:xfrm>
          <a:off x="2124075" y="447675"/>
          <a:ext cx="9286875" cy="3695700"/>
        </a:xfrm>
        <a:prstGeom prst="rect">
          <a:avLst/>
        </a:prstGeom>
        <a:solidFill>
          <a:schemeClr val="accent5">
            <a:lumMod val="20000"/>
            <a:lumOff val="8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n-US" sz="1400" b="1">
              <a:solidFill>
                <a:srgbClr val="FF0000"/>
              </a:solidFill>
            </a:rPr>
            <a:t>"This is a basic project, as real-world scenarios require additional factors for accuracy. For instance, profit margins fluctuate based on supplier variability and other market conditions, making it unrealistic to keep them constant for a month. Similarly, for attendance tracking, an hourly system is more precise than daily records. However, incorporating these details into a single monthly sheet would add significant complexity, resulting in a solution that is neither user-friendly nor manageable for us as creators. To maintain functionality and ease of use, it would be more effective to develop daily sheets rather than a single monthly sheet—though this approach would generate over 400 individual sheets."</a:t>
          </a:r>
        </a:p>
        <a:p>
          <a:pPr algn="ctr"/>
          <a:endParaRPr lang="en-US" sz="1600">
            <a:gradFill>
              <a:gsLst>
                <a:gs pos="0">
                  <a:srgbClr val="FFFF00"/>
                </a:gs>
                <a:gs pos="50000">
                  <a:srgbClr val="FFC000"/>
                </a:gs>
                <a:gs pos="100000">
                  <a:srgbClr val="FF0000"/>
                </a:gs>
              </a:gsLst>
              <a:lin ang="5400000" scaled="0"/>
            </a:gradFill>
          </a:endParaRPr>
        </a:p>
        <a:p>
          <a:pPr algn="ctr"/>
          <a:r>
            <a:rPr lang="en-US" sz="1800">
              <a:gradFill>
                <a:gsLst>
                  <a:gs pos="0">
                    <a:srgbClr val="FFFF00"/>
                  </a:gs>
                  <a:gs pos="50000">
                    <a:srgbClr val="FFC000"/>
                  </a:gs>
                  <a:gs pos="100000">
                    <a:srgbClr val="FF0000"/>
                  </a:gs>
                </a:gsLst>
                <a:lin ang="5400000" scaled="0"/>
              </a:gradFill>
            </a:rPr>
            <a:t>Contact on</a:t>
          </a:r>
        </a:p>
        <a:p>
          <a:pPr algn="ctr"/>
          <a:r>
            <a:rPr lang="en-US" sz="1800">
              <a:gradFill>
                <a:gsLst>
                  <a:gs pos="0">
                    <a:srgbClr val="FFFF00"/>
                  </a:gs>
                  <a:gs pos="50000">
                    <a:srgbClr val="FFC000"/>
                  </a:gs>
                  <a:gs pos="100000">
                    <a:srgbClr val="FF0000"/>
                  </a:gs>
                </a:gsLst>
                <a:lin ang="5400000" scaled="0"/>
              </a:gradFill>
            </a:rPr>
            <a:t>Gmail</a:t>
          </a:r>
          <a:r>
            <a:rPr lang="en-US" sz="1800" baseline="0">
              <a:gradFill>
                <a:gsLst>
                  <a:gs pos="0">
                    <a:srgbClr val="FFFF00"/>
                  </a:gs>
                  <a:gs pos="50000">
                    <a:srgbClr val="FFC000"/>
                  </a:gs>
                  <a:gs pos="100000">
                    <a:srgbClr val="FF0000"/>
                  </a:gs>
                </a:gsLst>
                <a:lin ang="5400000" scaled="0"/>
              </a:gradFill>
            </a:rPr>
            <a:t> Id: yashrajsh1234@gmail.com</a:t>
          </a:r>
          <a:endParaRPr lang="en-US" sz="1800">
            <a:gradFill>
              <a:gsLst>
                <a:gs pos="0">
                  <a:srgbClr val="FFFF00"/>
                </a:gs>
                <a:gs pos="50000">
                  <a:srgbClr val="FFC000"/>
                </a:gs>
                <a:gs pos="100000">
                  <a:srgbClr val="FF0000"/>
                </a:gs>
              </a:gsLst>
              <a:lin ang="5400000" scaled="0"/>
            </a:gra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sha" refreshedDate="45606.762709027775" createdVersion="4" refreshedVersion="4" minRefreshableVersion="3" recordCount="55" xr:uid="{00000000-000A-0000-FFFF-FFFF00000000}">
  <cacheSource type="worksheet">
    <worksheetSource ref="B1:N56" sheet="Monthly Sales"/>
  </cacheSource>
  <cacheFields count="13">
    <cacheField name="Product Name" numFmtId="0">
      <sharedItems count="55">
        <s v="Iodex"/>
        <s v="Nimocet"/>
        <s v="Paracetamol"/>
        <s v="Monocef"/>
        <s v="Cyclopalm"/>
        <s v="Cetaphil"/>
        <s v="Acetaminophen"/>
        <s v="Ibuprofen"/>
        <s v="Aspirin"/>
        <s v="Amoxicillin"/>
        <s v="Ciprofloxacin"/>
        <s v="Lisinopril"/>
        <s v="Atorvastatin"/>
        <s v="Metformin"/>
        <s v="Simvastatin"/>
        <s v="Omeprazole"/>
        <s v="Clopidogrel"/>
        <s v="Metoprolol"/>
        <s v="Amlodipine"/>
        <s v="Alprazolam"/>
        <s v="Hydrocodone"/>
        <s v="Gabapentin"/>
        <s v="Levothyroxine"/>
        <s v="Sertraline"/>
        <s v="Azithromycin"/>
        <s v="Losartan"/>
        <s v="Fluoxetine"/>
        <s v="Furosemide"/>
        <s v="Tamsulosin"/>
        <s v="Pantoprazole"/>
        <s v="Meloxicam"/>
        <s v="Clindamycin"/>
        <s v="Prednisone"/>
        <s v="Doxycycline"/>
        <s v="Lorazepam"/>
        <s v="Tramadol"/>
        <s v="Escitalopram"/>
        <s v="Warfarin"/>
        <s v="Zolpidem"/>
        <s v="Montelukast"/>
        <s v="Albuterol"/>
        <s v="Diazepam"/>
        <s v="Rosuvastatin"/>
        <s v="Cyclobenzaprine"/>
        <s v="Cetirizine"/>
        <s v="Insulin Glargine"/>
        <s v="Esomeprazole"/>
        <s v="Valsartan"/>
        <s v="Hydrochlorothiazide"/>
        <s v="Celecoxib"/>
        <s v="Ranitidine"/>
        <s v="Allopurinol"/>
        <s v="Bupropion"/>
        <s v="Ondansetron"/>
        <s v="Lamotrigine"/>
      </sharedItems>
    </cacheField>
    <cacheField name="Jan(1)" numFmtId="0">
      <sharedItems containsSemiMixedTypes="0" containsString="0" containsNumber="1" containsInteger="1" minValue="133" maxValue="208"/>
    </cacheField>
    <cacheField name="Feb(2)" numFmtId="0">
      <sharedItems containsSemiMixedTypes="0" containsString="0" containsNumber="1" containsInteger="1" minValue="129" maxValue="200"/>
    </cacheField>
    <cacheField name="Mar(3)" numFmtId="0">
      <sharedItems containsSemiMixedTypes="0" containsString="0" containsNumber="1" containsInteger="1" minValue="124" maxValue="194"/>
    </cacheField>
    <cacheField name="Apr(4)" numFmtId="0">
      <sharedItems containsSemiMixedTypes="0" containsString="0" containsNumber="1" containsInteger="1" minValue="130" maxValue="185"/>
    </cacheField>
    <cacheField name="May(5)" numFmtId="0">
      <sharedItems containsSemiMixedTypes="0" containsString="0" containsNumber="1" containsInteger="1" minValue="136" maxValue="211"/>
    </cacheField>
    <cacheField name="Jun(6)" numFmtId="0">
      <sharedItems containsSemiMixedTypes="0" containsString="0" containsNumber="1" containsInteger="1" minValue="125" maxValue="205"/>
    </cacheField>
    <cacheField name="Jul(7)" numFmtId="0">
      <sharedItems containsSemiMixedTypes="0" containsString="0" containsNumber="1" containsInteger="1" minValue="125" maxValue="209"/>
    </cacheField>
    <cacheField name="Aug(8)" numFmtId="0">
      <sharedItems containsSemiMixedTypes="0" containsString="0" containsNumber="1" containsInteger="1" minValue="136" maxValue="201"/>
    </cacheField>
    <cacheField name="Sep(9)" numFmtId="0">
      <sharedItems containsSemiMixedTypes="0" containsString="0" containsNumber="1" containsInteger="1" minValue="132" maxValue="188"/>
    </cacheField>
    <cacheField name="Oct(10)" numFmtId="0">
      <sharedItems containsMixedTypes="1" containsNumber="1" containsInteger="1" minValue="83" maxValue="83" count="2">
        <n v="83"/>
        <s v=""/>
      </sharedItems>
    </cacheField>
    <cacheField name="Nov(11)" numFmtId="0">
      <sharedItems containsMixedTypes="1" containsNumber="1" containsInteger="1" minValue="83" maxValue="83" count="2">
        <n v="83"/>
        <s v=""/>
      </sharedItems>
    </cacheField>
    <cacheField name="Dec(12)" numFmtId="0">
      <sharedItems containsMixedTypes="1" containsNumber="1" containsInteger="1" minValue="83" maxValue="83" count="2">
        <n v="83"/>
        <s v=""/>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5">
  <r>
    <x v="0"/>
    <n v="190"/>
    <n v="129"/>
    <n v="176"/>
    <n v="171"/>
    <n v="179"/>
    <n v="160"/>
    <n v="168"/>
    <n v="160"/>
    <n v="186"/>
    <x v="0"/>
    <x v="0"/>
    <x v="0"/>
  </r>
  <r>
    <x v="1"/>
    <n v="170"/>
    <n v="160"/>
    <n v="182"/>
    <n v="173"/>
    <n v="178"/>
    <n v="164"/>
    <n v="183"/>
    <n v="157"/>
    <n v="168"/>
    <x v="1"/>
    <x v="1"/>
    <x v="1"/>
  </r>
  <r>
    <x v="2"/>
    <n v="194"/>
    <n v="146"/>
    <n v="156"/>
    <n v="181"/>
    <n v="180"/>
    <n v="176"/>
    <n v="178"/>
    <n v="178"/>
    <n v="186"/>
    <x v="1"/>
    <x v="1"/>
    <x v="1"/>
  </r>
  <r>
    <x v="3"/>
    <n v="188"/>
    <n v="162"/>
    <n v="157"/>
    <n v="162"/>
    <n v="211"/>
    <n v="153"/>
    <n v="154"/>
    <n v="186"/>
    <n v="145"/>
    <x v="1"/>
    <x v="1"/>
    <x v="1"/>
  </r>
  <r>
    <x v="4"/>
    <n v="158"/>
    <n v="138"/>
    <n v="172"/>
    <n v="178"/>
    <n v="179"/>
    <n v="138"/>
    <n v="194"/>
    <n v="145"/>
    <n v="166"/>
    <x v="1"/>
    <x v="1"/>
    <x v="1"/>
  </r>
  <r>
    <x v="5"/>
    <n v="164"/>
    <n v="159"/>
    <n v="172"/>
    <n v="168"/>
    <n v="166"/>
    <n v="175"/>
    <n v="146"/>
    <n v="164"/>
    <n v="153"/>
    <x v="1"/>
    <x v="1"/>
    <x v="1"/>
  </r>
  <r>
    <x v="6"/>
    <n v="157"/>
    <n v="176"/>
    <n v="160"/>
    <n v="176"/>
    <n v="169"/>
    <n v="205"/>
    <n v="203"/>
    <n v="180"/>
    <n v="173"/>
    <x v="1"/>
    <x v="1"/>
    <x v="1"/>
  </r>
  <r>
    <x v="7"/>
    <n v="161"/>
    <n v="138"/>
    <n v="156"/>
    <n v="147"/>
    <n v="189"/>
    <n v="177"/>
    <n v="182"/>
    <n v="153"/>
    <n v="169"/>
    <x v="1"/>
    <x v="1"/>
    <x v="1"/>
  </r>
  <r>
    <x v="8"/>
    <n v="190"/>
    <n v="162"/>
    <n v="177"/>
    <n v="164"/>
    <n v="177"/>
    <n v="186"/>
    <n v="125"/>
    <n v="166"/>
    <n v="170"/>
    <x v="1"/>
    <x v="1"/>
    <x v="1"/>
  </r>
  <r>
    <x v="9"/>
    <n v="208"/>
    <n v="140"/>
    <n v="181"/>
    <n v="168"/>
    <n v="186"/>
    <n v="195"/>
    <n v="182"/>
    <n v="151"/>
    <n v="165"/>
    <x v="1"/>
    <x v="1"/>
    <x v="1"/>
  </r>
  <r>
    <x v="10"/>
    <n v="199"/>
    <n v="164"/>
    <n v="188"/>
    <n v="159"/>
    <n v="198"/>
    <n v="154"/>
    <n v="167"/>
    <n v="140"/>
    <n v="132"/>
    <x v="1"/>
    <x v="1"/>
    <x v="1"/>
  </r>
  <r>
    <x v="11"/>
    <n v="169"/>
    <n v="140"/>
    <n v="194"/>
    <n v="156"/>
    <n v="136"/>
    <n v="133"/>
    <n v="156"/>
    <n v="165"/>
    <n v="155"/>
    <x v="1"/>
    <x v="1"/>
    <x v="1"/>
  </r>
  <r>
    <x v="12"/>
    <n v="189"/>
    <n v="140"/>
    <n v="189"/>
    <n v="182"/>
    <n v="173"/>
    <n v="177"/>
    <n v="195"/>
    <n v="189"/>
    <n v="182"/>
    <x v="1"/>
    <x v="1"/>
    <x v="1"/>
  </r>
  <r>
    <x v="13"/>
    <n v="133"/>
    <n v="152"/>
    <n v="160"/>
    <n v="179"/>
    <n v="161"/>
    <n v="167"/>
    <n v="147"/>
    <n v="199"/>
    <n v="157"/>
    <x v="1"/>
    <x v="1"/>
    <x v="1"/>
  </r>
  <r>
    <x v="14"/>
    <n v="165"/>
    <n v="194"/>
    <n v="169"/>
    <n v="163"/>
    <n v="175"/>
    <n v="161"/>
    <n v="170"/>
    <n v="151"/>
    <n v="158"/>
    <x v="1"/>
    <x v="1"/>
    <x v="1"/>
  </r>
  <r>
    <x v="15"/>
    <n v="151"/>
    <n v="162"/>
    <n v="180"/>
    <n v="155"/>
    <n v="163"/>
    <n v="182"/>
    <n v="183"/>
    <n v="157"/>
    <n v="158"/>
    <x v="1"/>
    <x v="1"/>
    <x v="1"/>
  </r>
  <r>
    <x v="16"/>
    <n v="185"/>
    <n v="165"/>
    <n v="157"/>
    <n v="165"/>
    <n v="186"/>
    <n v="169"/>
    <n v="176"/>
    <n v="158"/>
    <n v="143"/>
    <x v="1"/>
    <x v="1"/>
    <x v="1"/>
  </r>
  <r>
    <x v="17"/>
    <n v="169"/>
    <n v="138"/>
    <n v="177"/>
    <n v="146"/>
    <n v="161"/>
    <n v="180"/>
    <n v="190"/>
    <n v="158"/>
    <n v="173"/>
    <x v="1"/>
    <x v="1"/>
    <x v="1"/>
  </r>
  <r>
    <x v="18"/>
    <n v="181"/>
    <n v="149"/>
    <n v="181"/>
    <n v="178"/>
    <n v="160"/>
    <n v="155"/>
    <n v="187"/>
    <n v="195"/>
    <n v="164"/>
    <x v="1"/>
    <x v="1"/>
    <x v="1"/>
  </r>
  <r>
    <x v="19"/>
    <n v="169"/>
    <n v="171"/>
    <n v="170"/>
    <n v="138"/>
    <n v="170"/>
    <n v="143"/>
    <n v="154"/>
    <n v="162"/>
    <n v="170"/>
    <x v="1"/>
    <x v="1"/>
    <x v="1"/>
  </r>
  <r>
    <x v="20"/>
    <n v="190"/>
    <n v="134"/>
    <n v="150"/>
    <n v="131"/>
    <n v="150"/>
    <n v="144"/>
    <n v="183"/>
    <n v="170"/>
    <n v="175"/>
    <x v="1"/>
    <x v="1"/>
    <x v="1"/>
  </r>
  <r>
    <x v="21"/>
    <n v="163"/>
    <n v="155"/>
    <n v="175"/>
    <n v="175"/>
    <n v="160"/>
    <n v="150"/>
    <n v="170"/>
    <n v="161"/>
    <n v="177"/>
    <x v="1"/>
    <x v="1"/>
    <x v="1"/>
  </r>
  <r>
    <x v="22"/>
    <n v="181"/>
    <n v="150"/>
    <n v="150"/>
    <n v="136"/>
    <n v="156"/>
    <n v="163"/>
    <n v="153"/>
    <n v="191"/>
    <n v="159"/>
    <x v="1"/>
    <x v="1"/>
    <x v="1"/>
  </r>
  <r>
    <x v="23"/>
    <n v="171"/>
    <n v="182"/>
    <n v="155"/>
    <n v="164"/>
    <n v="189"/>
    <n v="181"/>
    <n v="174"/>
    <n v="179"/>
    <n v="148"/>
    <x v="1"/>
    <x v="1"/>
    <x v="1"/>
  </r>
  <r>
    <x v="24"/>
    <n v="175"/>
    <n v="131"/>
    <n v="176"/>
    <n v="174"/>
    <n v="170"/>
    <n v="155"/>
    <n v="187"/>
    <n v="166"/>
    <n v="155"/>
    <x v="1"/>
    <x v="1"/>
    <x v="1"/>
  </r>
  <r>
    <x v="25"/>
    <n v="159"/>
    <n v="169"/>
    <n v="162"/>
    <n v="151"/>
    <n v="184"/>
    <n v="170"/>
    <n v="175"/>
    <n v="175"/>
    <n v="136"/>
    <x v="1"/>
    <x v="1"/>
    <x v="1"/>
  </r>
  <r>
    <x v="26"/>
    <n v="172"/>
    <n v="165"/>
    <n v="180"/>
    <n v="152"/>
    <n v="166"/>
    <n v="182"/>
    <n v="161"/>
    <n v="153"/>
    <n v="164"/>
    <x v="1"/>
    <x v="1"/>
    <x v="1"/>
  </r>
  <r>
    <x v="27"/>
    <n v="171"/>
    <n v="168"/>
    <n v="163"/>
    <n v="161"/>
    <n v="166"/>
    <n v="185"/>
    <n v="183"/>
    <n v="180"/>
    <n v="188"/>
    <x v="1"/>
    <x v="1"/>
    <x v="1"/>
  </r>
  <r>
    <x v="28"/>
    <n v="163"/>
    <n v="154"/>
    <n v="163"/>
    <n v="130"/>
    <n v="144"/>
    <n v="151"/>
    <n v="164"/>
    <n v="174"/>
    <n v="145"/>
    <x v="1"/>
    <x v="1"/>
    <x v="1"/>
  </r>
  <r>
    <x v="29"/>
    <n v="176"/>
    <n v="133"/>
    <n v="179"/>
    <n v="151"/>
    <n v="207"/>
    <n v="154"/>
    <n v="161"/>
    <n v="191"/>
    <n v="165"/>
    <x v="1"/>
    <x v="1"/>
    <x v="1"/>
  </r>
  <r>
    <x v="30"/>
    <n v="157"/>
    <n v="158"/>
    <n v="178"/>
    <n v="163"/>
    <n v="182"/>
    <n v="158"/>
    <n v="174"/>
    <n v="185"/>
    <n v="183"/>
    <x v="1"/>
    <x v="1"/>
    <x v="1"/>
  </r>
  <r>
    <x v="31"/>
    <n v="168"/>
    <n v="147"/>
    <n v="161"/>
    <n v="172"/>
    <n v="179"/>
    <n v="145"/>
    <n v="174"/>
    <n v="186"/>
    <n v="132"/>
    <x v="1"/>
    <x v="1"/>
    <x v="1"/>
  </r>
  <r>
    <x v="32"/>
    <n v="162"/>
    <n v="171"/>
    <n v="163"/>
    <n v="150"/>
    <n v="168"/>
    <n v="143"/>
    <n v="169"/>
    <n v="160"/>
    <n v="162"/>
    <x v="1"/>
    <x v="1"/>
    <x v="1"/>
  </r>
  <r>
    <x v="33"/>
    <n v="147"/>
    <n v="165"/>
    <n v="162"/>
    <n v="164"/>
    <n v="147"/>
    <n v="140"/>
    <n v="154"/>
    <n v="174"/>
    <n v="162"/>
    <x v="1"/>
    <x v="1"/>
    <x v="1"/>
  </r>
  <r>
    <x v="34"/>
    <n v="152"/>
    <n v="158"/>
    <n v="190"/>
    <n v="149"/>
    <n v="182"/>
    <n v="161"/>
    <n v="183"/>
    <n v="157"/>
    <n v="154"/>
    <x v="1"/>
    <x v="1"/>
    <x v="1"/>
  </r>
  <r>
    <x v="35"/>
    <n v="138"/>
    <n v="165"/>
    <n v="160"/>
    <n v="173"/>
    <n v="183"/>
    <n v="175"/>
    <n v="168"/>
    <n v="136"/>
    <n v="141"/>
    <x v="1"/>
    <x v="1"/>
    <x v="1"/>
  </r>
  <r>
    <x v="36"/>
    <n v="170"/>
    <n v="146"/>
    <n v="153"/>
    <n v="178"/>
    <n v="191"/>
    <n v="150"/>
    <n v="176"/>
    <n v="164"/>
    <n v="180"/>
    <x v="1"/>
    <x v="1"/>
    <x v="1"/>
  </r>
  <r>
    <x v="37"/>
    <n v="157"/>
    <n v="152"/>
    <n v="175"/>
    <n v="161"/>
    <n v="179"/>
    <n v="167"/>
    <n v="141"/>
    <n v="162"/>
    <n v="187"/>
    <x v="1"/>
    <x v="1"/>
    <x v="1"/>
  </r>
  <r>
    <x v="38"/>
    <n v="161"/>
    <n v="178"/>
    <n v="191"/>
    <n v="170"/>
    <n v="173"/>
    <n v="165"/>
    <n v="173"/>
    <n v="165"/>
    <n v="157"/>
    <x v="1"/>
    <x v="1"/>
    <x v="1"/>
  </r>
  <r>
    <x v="39"/>
    <n v="160"/>
    <n v="174"/>
    <n v="179"/>
    <n v="151"/>
    <n v="156"/>
    <n v="195"/>
    <n v="172"/>
    <n v="194"/>
    <n v="136"/>
    <x v="1"/>
    <x v="1"/>
    <x v="1"/>
  </r>
  <r>
    <x v="40"/>
    <n v="188"/>
    <n v="146"/>
    <n v="173"/>
    <n v="185"/>
    <n v="160"/>
    <n v="175"/>
    <n v="172"/>
    <n v="150"/>
    <n v="163"/>
    <x v="1"/>
    <x v="1"/>
    <x v="1"/>
  </r>
  <r>
    <x v="41"/>
    <n v="186"/>
    <n v="167"/>
    <n v="174"/>
    <n v="163"/>
    <n v="158"/>
    <n v="164"/>
    <n v="197"/>
    <n v="200"/>
    <n v="179"/>
    <x v="1"/>
    <x v="1"/>
    <x v="1"/>
  </r>
  <r>
    <x v="42"/>
    <n v="193"/>
    <n v="162"/>
    <n v="124"/>
    <n v="152"/>
    <n v="166"/>
    <n v="158"/>
    <n v="183"/>
    <n v="186"/>
    <n v="145"/>
    <x v="1"/>
    <x v="1"/>
    <x v="1"/>
  </r>
  <r>
    <x v="43"/>
    <n v="174"/>
    <n v="154"/>
    <n v="170"/>
    <n v="178"/>
    <n v="155"/>
    <n v="182"/>
    <n v="209"/>
    <n v="168"/>
    <n v="155"/>
    <x v="1"/>
    <x v="1"/>
    <x v="1"/>
  </r>
  <r>
    <x v="44"/>
    <n v="204"/>
    <n v="142"/>
    <n v="134"/>
    <n v="164"/>
    <n v="180"/>
    <n v="181"/>
    <n v="160"/>
    <n v="197"/>
    <n v="143"/>
    <x v="1"/>
    <x v="1"/>
    <x v="1"/>
  </r>
  <r>
    <x v="45"/>
    <n v="158"/>
    <n v="150"/>
    <n v="173"/>
    <n v="181"/>
    <n v="189"/>
    <n v="175"/>
    <n v="152"/>
    <n v="201"/>
    <n v="163"/>
    <x v="1"/>
    <x v="1"/>
    <x v="1"/>
  </r>
  <r>
    <x v="46"/>
    <n v="165"/>
    <n v="162"/>
    <n v="162"/>
    <n v="149"/>
    <n v="175"/>
    <n v="151"/>
    <n v="146"/>
    <n v="154"/>
    <n v="178"/>
    <x v="1"/>
    <x v="1"/>
    <x v="1"/>
  </r>
  <r>
    <x v="47"/>
    <n v="160"/>
    <n v="135"/>
    <n v="169"/>
    <n v="159"/>
    <n v="168"/>
    <n v="190"/>
    <n v="185"/>
    <n v="175"/>
    <n v="149"/>
    <x v="1"/>
    <x v="1"/>
    <x v="1"/>
  </r>
  <r>
    <x v="48"/>
    <n v="165"/>
    <n v="166"/>
    <n v="155"/>
    <n v="175"/>
    <n v="158"/>
    <n v="166"/>
    <n v="152"/>
    <n v="184"/>
    <n v="159"/>
    <x v="1"/>
    <x v="1"/>
    <x v="1"/>
  </r>
  <r>
    <x v="49"/>
    <n v="169"/>
    <n v="172"/>
    <n v="166"/>
    <n v="151"/>
    <n v="174"/>
    <n v="168"/>
    <n v="183"/>
    <n v="161"/>
    <n v="160"/>
    <x v="1"/>
    <x v="1"/>
    <x v="1"/>
  </r>
  <r>
    <x v="50"/>
    <n v="159"/>
    <n v="147"/>
    <n v="159"/>
    <n v="166"/>
    <n v="174"/>
    <n v="168"/>
    <n v="184"/>
    <n v="181"/>
    <n v="157"/>
    <x v="1"/>
    <x v="1"/>
    <x v="1"/>
  </r>
  <r>
    <x v="51"/>
    <n v="175"/>
    <n v="200"/>
    <n v="169"/>
    <n v="145"/>
    <n v="169"/>
    <n v="143"/>
    <n v="162"/>
    <n v="193"/>
    <n v="165"/>
    <x v="1"/>
    <x v="1"/>
    <x v="1"/>
  </r>
  <r>
    <x v="52"/>
    <n v="167"/>
    <n v="138"/>
    <n v="177"/>
    <n v="172"/>
    <n v="138"/>
    <n v="125"/>
    <n v="186"/>
    <n v="178"/>
    <n v="169"/>
    <x v="1"/>
    <x v="1"/>
    <x v="1"/>
  </r>
  <r>
    <x v="53"/>
    <n v="172"/>
    <n v="172"/>
    <n v="170"/>
    <n v="179"/>
    <n v="204"/>
    <n v="166"/>
    <n v="177"/>
    <n v="192"/>
    <n v="174"/>
    <x v="1"/>
    <x v="1"/>
    <x v="1"/>
  </r>
  <r>
    <x v="54"/>
    <n v="171"/>
    <n v="152"/>
    <n v="180"/>
    <n v="153"/>
    <n v="195"/>
    <n v="165"/>
    <n v="186"/>
    <n v="162"/>
    <n v="158"/>
    <x v="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1B00-000000000000}" name="PivotTable5" cacheId="20402" dataOnRows="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H3:I12" firstHeaderRow="1" firstDataRow="1" firstDataCol="1" rowPageCount="1" colPageCount="1"/>
  <pivotFields count="13">
    <pivotField axis="axisPage" showAll="0">
      <items count="56">
        <item x="6"/>
        <item x="40"/>
        <item x="51"/>
        <item x="19"/>
        <item x="18"/>
        <item x="9"/>
        <item x="8"/>
        <item x="12"/>
        <item x="24"/>
        <item x="52"/>
        <item x="49"/>
        <item x="5"/>
        <item x="44"/>
        <item x="10"/>
        <item x="31"/>
        <item x="16"/>
        <item x="43"/>
        <item x="4"/>
        <item x="41"/>
        <item x="33"/>
        <item x="36"/>
        <item x="46"/>
        <item x="26"/>
        <item x="27"/>
        <item x="21"/>
        <item x="48"/>
        <item x="20"/>
        <item x="7"/>
        <item x="45"/>
        <item x="0"/>
        <item x="54"/>
        <item x="22"/>
        <item x="11"/>
        <item x="34"/>
        <item x="25"/>
        <item x="30"/>
        <item x="13"/>
        <item x="17"/>
        <item x="3"/>
        <item x="39"/>
        <item x="1"/>
        <item x="15"/>
        <item x="53"/>
        <item x="29"/>
        <item x="2"/>
        <item x="32"/>
        <item x="50"/>
        <item x="42"/>
        <item x="23"/>
        <item x="14"/>
        <item x="28"/>
        <item x="35"/>
        <item x="47"/>
        <item x="37"/>
        <item x="38"/>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items count="3">
        <item x="0"/>
        <item x="1"/>
        <item t="default"/>
      </items>
    </pivotField>
    <pivotField showAll="0">
      <items count="3">
        <item x="0"/>
        <item x="1"/>
        <item t="default"/>
      </items>
    </pivotField>
    <pivotField showAll="0">
      <items count="3">
        <item x="0"/>
        <item x="1"/>
        <item t="default"/>
      </items>
    </pivotField>
  </pivotFields>
  <rowFields count="1">
    <field x="-2"/>
  </rowFields>
  <rowItems count="9">
    <i>
      <x/>
    </i>
    <i i="1">
      <x v="1"/>
    </i>
    <i i="2">
      <x v="2"/>
    </i>
    <i i="3">
      <x v="3"/>
    </i>
    <i i="4">
      <x v="4"/>
    </i>
    <i i="5">
      <x v="5"/>
    </i>
    <i i="6">
      <x v="6"/>
    </i>
    <i i="7">
      <x v="7"/>
    </i>
    <i i="8">
      <x v="8"/>
    </i>
  </rowItems>
  <colItems count="1">
    <i/>
  </colItems>
  <pageFields count="1">
    <pageField fld="0" item="29" hier="-1"/>
  </pageFields>
  <dataFields count="9">
    <dataField name="Sum of Jan(1)" fld="1" baseField="0" baseItem="0"/>
    <dataField name="Sum of Feb(2)" fld="2" baseField="0" baseItem="0"/>
    <dataField name="Sum of Mar(3)" fld="3" baseField="0" baseItem="0"/>
    <dataField name="Sum of Apr(4)" fld="4" baseField="0" baseItem="0"/>
    <dataField name="Sum of May(5)" fld="5" baseField="0" baseItem="0"/>
    <dataField name="Sum of Jun(6)" fld="6" baseField="0" baseItem="0"/>
    <dataField name="Sum of Jul(7)" fld="7" baseField="0" baseItem="0"/>
    <dataField name="Sum of Aug(8)" fld="8" baseField="0" baseItem="0"/>
    <dataField name="Sum of Sep(9)" fld="9" baseField="0" baseItem="0"/>
  </dataFields>
  <chartFormats count="2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7" series="1">
      <pivotArea type="data" outline="0" fieldPosition="0">
        <references count="1">
          <reference field="4294967294" count="1" selected="0">
            <x v="7"/>
          </reference>
        </references>
      </pivotArea>
    </chartFormat>
    <chartFormat chart="0" format="8" series="1">
      <pivotArea type="data" outline="0" fieldPosition="0">
        <references count="1">
          <reference field="4294967294" count="1" selected="0">
            <x v="8"/>
          </reference>
        </references>
      </pivotArea>
    </chartFormat>
    <chartFormat chart="1" format="9"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1"/>
          </reference>
        </references>
      </pivotArea>
    </chartFormat>
    <chartFormat chart="2" format="12" series="1">
      <pivotArea type="data" outline="0" fieldPosition="0">
        <references count="1">
          <reference field="4294967294" count="1" selected="0">
            <x v="2"/>
          </reference>
        </references>
      </pivotArea>
    </chartFormat>
    <chartFormat chart="2" format="13" series="1">
      <pivotArea type="data" outline="0" fieldPosition="0">
        <references count="1">
          <reference field="4294967294" count="1" selected="0">
            <x v="3"/>
          </reference>
        </references>
      </pivotArea>
    </chartFormat>
    <chartFormat chart="2" format="14" series="1">
      <pivotArea type="data" outline="0" fieldPosition="0">
        <references count="1">
          <reference field="4294967294" count="1" selected="0">
            <x v="4"/>
          </reference>
        </references>
      </pivotArea>
    </chartFormat>
    <chartFormat chart="2" format="15" series="1">
      <pivotArea type="data" outline="0" fieldPosition="0">
        <references count="1">
          <reference field="4294967294" count="1" selected="0">
            <x v="5"/>
          </reference>
        </references>
      </pivotArea>
    </chartFormat>
    <chartFormat chart="2" format="16" series="1">
      <pivotArea type="data" outline="0" fieldPosition="0">
        <references count="1">
          <reference field="4294967294" count="1" selected="0">
            <x v="6"/>
          </reference>
        </references>
      </pivotArea>
    </chartFormat>
    <chartFormat chart="2" format="17" series="1">
      <pivotArea type="data" outline="0" fieldPosition="0">
        <references count="1">
          <reference field="4294967294" count="1" selected="0">
            <x v="7"/>
          </reference>
        </references>
      </pivotArea>
    </chartFormat>
    <chartFormat chart="2" format="18" series="1">
      <pivotArea type="data" outline="0" fieldPosition="0">
        <references count="1">
          <reference field="4294967294" count="1" selected="0">
            <x v="8"/>
          </reference>
        </references>
      </pivotArea>
    </chartFormat>
    <chartFormat chart="1" format="10" series="1">
      <pivotArea type="data" outline="0" fieldPosition="0">
        <references count="1">
          <reference field="4294967294" count="1" selected="0">
            <x v="1"/>
          </reference>
        </references>
      </pivotArea>
    </chartFormat>
    <chartFormat chart="1" format="11" series="1">
      <pivotArea type="data" outline="0" fieldPosition="0">
        <references count="1">
          <reference field="4294967294" count="1" selected="0">
            <x v="2"/>
          </reference>
        </references>
      </pivotArea>
    </chartFormat>
    <chartFormat chart="1" format="12" series="1">
      <pivotArea type="data" outline="0" fieldPosition="0">
        <references count="1">
          <reference field="4294967294" count="1" selected="0">
            <x v="3"/>
          </reference>
        </references>
      </pivotArea>
    </chartFormat>
    <chartFormat chart="1" format="13" series="1">
      <pivotArea type="data" outline="0" fieldPosition="0">
        <references count="1">
          <reference field="4294967294" count="1" selected="0">
            <x v="4"/>
          </reference>
        </references>
      </pivotArea>
    </chartFormat>
    <chartFormat chart="1" format="14" series="1">
      <pivotArea type="data" outline="0" fieldPosition="0">
        <references count="1">
          <reference field="4294967294" count="1" selected="0">
            <x v="5"/>
          </reference>
        </references>
      </pivotArea>
    </chartFormat>
    <chartFormat chart="1" format="15" series="1">
      <pivotArea type="data" outline="0" fieldPosition="0">
        <references count="1">
          <reference field="4294967294" count="1" selected="0">
            <x v="6"/>
          </reference>
        </references>
      </pivotArea>
    </chartFormat>
    <chartFormat chart="1" format="16" series="1">
      <pivotArea type="data" outline="0" fieldPosition="0">
        <references count="1">
          <reference field="4294967294" count="1" selected="0">
            <x v="7"/>
          </reference>
        </references>
      </pivotArea>
    </chartFormat>
    <chartFormat chart="1" format="17" series="1">
      <pivotArea type="data" outline="0" fieldPosition="0">
        <references count="1">
          <reference field="429496729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00000000-0013-0000-FFFF-FFFF01000000}" sourceName="Product Name">
  <pivotTables>
    <pivotTable tabId="30" name="PivotTable5"/>
  </pivotTables>
  <data>
    <tabular pivotCacheId="1">
      <items count="55">
        <i x="6"/>
        <i x="40"/>
        <i x="51"/>
        <i x="19"/>
        <i x="18"/>
        <i x="9"/>
        <i x="8"/>
        <i x="12"/>
        <i x="24"/>
        <i x="52"/>
        <i x="49"/>
        <i x="5"/>
        <i x="44"/>
        <i x="10"/>
        <i x="31"/>
        <i x="16"/>
        <i x="43"/>
        <i x="4"/>
        <i x="41"/>
        <i x="33"/>
        <i x="36"/>
        <i x="46"/>
        <i x="26"/>
        <i x="27"/>
        <i x="21"/>
        <i x="48"/>
        <i x="20"/>
        <i x="7"/>
        <i x="45"/>
        <i x="0" s="1"/>
        <i x="54"/>
        <i x="22"/>
        <i x="11"/>
        <i x="34"/>
        <i x="25"/>
        <i x="30"/>
        <i x="13"/>
        <i x="17"/>
        <i x="3"/>
        <i x="39"/>
        <i x="1"/>
        <i x="15"/>
        <i x="53"/>
        <i x="29"/>
        <i x="2"/>
        <i x="32"/>
        <i x="50"/>
        <i x="42"/>
        <i x="23"/>
        <i x="14"/>
        <i x="28"/>
        <i x="35"/>
        <i x="47"/>
        <i x="37"/>
        <i x="3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00000000-0014-0000-FFFF-FFFF01000000}" cache="Slicer_Product_Name" caption="Product Name" startItem="27" style="SlicerStyleDark5"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4.bin"/></Relationships>
</file>

<file path=xl/worksheets/_rels/sheet2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showGridLines="0" workbookViewId="0">
      <selection sqref="A1:XFD1048576"/>
    </sheetView>
  </sheetViews>
  <sheetFormatPr defaultColWidth="7.85546875" defaultRowHeight="15"/>
  <cols>
    <col min="1" max="16384" width="7.85546875" style="26"/>
  </cols>
  <sheetData/>
  <mergeCells count="1">
    <mergeCell ref="A1:XFD1048576"/>
  </mergeCells>
  <pageMargins left="0.7" right="0.7" top="0.75" bottom="0.75" header="0.3" footer="0.3"/>
  <drawing r:id="rId1"/>
  <pictur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S87"/>
  <sheetViews>
    <sheetView zoomScaleNormal="100" workbookViewId="0">
      <pane xSplit="1" topLeftCell="B1" activePane="topRight" state="frozenSplit"/>
      <selection pane="topRight" activeCell="T2" sqref="T2"/>
    </sheetView>
  </sheetViews>
  <sheetFormatPr defaultRowHeight="15"/>
  <cols>
    <col min="1" max="1" width="17.42578125" bestFit="1" customWidth="1"/>
    <col min="2" max="2" width="15.28515625" customWidth="1"/>
    <col min="3" max="14" width="9.140625" customWidth="1"/>
    <col min="15" max="15" width="11.28515625" customWidth="1"/>
    <col min="16" max="16" width="12" hidden="1" customWidth="1"/>
    <col min="17" max="18" width="16.28515625" customWidth="1"/>
    <col min="19" max="19" width="13.28515625" bestFit="1" customWidth="1"/>
  </cols>
  <sheetData>
    <row r="1" spans="1:19" s="1" customFormat="1">
      <c r="A1" s="27"/>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row>
    <row r="2" spans="1:19" ht="15.75">
      <c r="A2" s="27"/>
      <c r="B2" t="s">
        <v>18</v>
      </c>
      <c r="C2">
        <f ca="1">'Daily Sales(JAN)'!AH3</f>
        <v>179</v>
      </c>
      <c r="D2">
        <f ca="1">Februray!AH3</f>
        <v>177</v>
      </c>
      <c r="E2">
        <f ca="1">March!AH3</f>
        <v>166</v>
      </c>
      <c r="F2">
        <f ca="1">Aprail!AH3</f>
        <v>137</v>
      </c>
      <c r="G2">
        <f ca="1">May!AH3</f>
        <v>144</v>
      </c>
      <c r="H2">
        <f ca="1">June!AH3</f>
        <v>165</v>
      </c>
      <c r="I2">
        <f ca="1">July!AH3</f>
        <v>169</v>
      </c>
      <c r="J2">
        <f>August!AH3</f>
        <v>160</v>
      </c>
      <c r="K2">
        <f ca="1">September!AH3</f>
        <v>147</v>
      </c>
      <c r="L2">
        <f>October!AH3</f>
        <v>83</v>
      </c>
      <c r="M2">
        <f>November!AH3</f>
        <v>83</v>
      </c>
      <c r="N2">
        <f>December!AH3</f>
        <v>83</v>
      </c>
      <c r="O2">
        <f t="shared" ref="O2:O56" ca="1" si="0">SUM(C2:N2)</f>
        <v>1693</v>
      </c>
      <c r="P2" t="s">
        <v>19</v>
      </c>
      <c r="Q2">
        <f ca="1">SUM(C2:OFFSET(C2,0,$R$2-1))</f>
        <v>659</v>
      </c>
      <c r="R2" s="2">
        <v>4</v>
      </c>
      <c r="S2" s="3">
        <f ca="1">AVERAGE(C2:N2)</f>
        <v>141.08333333333334</v>
      </c>
    </row>
    <row r="3" spans="1:19">
      <c r="A3" s="27"/>
      <c r="B3" t="s">
        <v>20</v>
      </c>
      <c r="C3">
        <f ca="1">'Daily Sales(JAN)'!AH4</f>
        <v>179</v>
      </c>
      <c r="D3">
        <f ca="1">Februray!AH4</f>
        <v>203</v>
      </c>
      <c r="E3">
        <f ca="1">March!AH4</f>
        <v>163</v>
      </c>
      <c r="F3">
        <f ca="1">Aprail!AH4</f>
        <v>157</v>
      </c>
      <c r="G3">
        <f ca="1">May!AH4</f>
        <v>171</v>
      </c>
      <c r="H3">
        <f ca="1">June!AH4</f>
        <v>162</v>
      </c>
      <c r="I3">
        <f ca="1">July!AH4</f>
        <v>181</v>
      </c>
      <c r="J3">
        <f>August!AH4</f>
        <v>157</v>
      </c>
      <c r="K3">
        <f ca="1">September!AH4</f>
        <v>165</v>
      </c>
      <c r="L3" t="str">
        <f>October!AH4</f>
        <v/>
      </c>
      <c r="M3" t="str">
        <f>November!AH4</f>
        <v/>
      </c>
      <c r="N3" t="str">
        <f>December!AH4</f>
        <v/>
      </c>
      <c r="O3">
        <f t="shared" ca="1" si="0"/>
        <v>1538</v>
      </c>
      <c r="P3" t="s">
        <v>19</v>
      </c>
      <c r="Q3">
        <f ca="1">SUM(C3:OFFSET(C3,0,$R$2-1))</f>
        <v>702</v>
      </c>
      <c r="S3" s="3">
        <f t="shared" ref="S3:S56" ca="1" si="1">AVERAGE(C3:N3)</f>
        <v>170.88888888888889</v>
      </c>
    </row>
    <row r="4" spans="1:19">
      <c r="A4" s="27"/>
      <c r="B4" t="s">
        <v>21</v>
      </c>
      <c r="C4">
        <f ca="1">'Daily Sales(JAN)'!AH5</f>
        <v>177</v>
      </c>
      <c r="D4">
        <f ca="1">Februray!AH5</f>
        <v>161</v>
      </c>
      <c r="E4">
        <f ca="1">March!AH5</f>
        <v>182</v>
      </c>
      <c r="F4">
        <f ca="1">Aprail!AH5</f>
        <v>172</v>
      </c>
      <c r="G4">
        <f ca="1">May!AH5</f>
        <v>193</v>
      </c>
      <c r="H4">
        <f ca="1">June!AH5</f>
        <v>165</v>
      </c>
      <c r="I4">
        <f ca="1">July!AH5</f>
        <v>216</v>
      </c>
      <c r="J4">
        <f>August!AH5</f>
        <v>178</v>
      </c>
      <c r="K4">
        <f ca="1">September!AH5</f>
        <v>176</v>
      </c>
      <c r="L4" t="str">
        <f>October!AH5</f>
        <v/>
      </c>
      <c r="M4" t="str">
        <f>November!AH5</f>
        <v/>
      </c>
      <c r="N4" t="str">
        <f>December!AH5</f>
        <v/>
      </c>
      <c r="O4">
        <f t="shared" ca="1" si="0"/>
        <v>1620</v>
      </c>
      <c r="P4" t="s">
        <v>22</v>
      </c>
      <c r="Q4">
        <f ca="1">SUM(C4:OFFSET(C4,0,$R$2-1))</f>
        <v>692</v>
      </c>
      <c r="S4" s="3">
        <f t="shared" ca="1" si="1"/>
        <v>180</v>
      </c>
    </row>
    <row r="5" spans="1:19">
      <c r="A5" s="27"/>
      <c r="B5" t="s">
        <v>23</v>
      </c>
      <c r="C5">
        <f ca="1">'Daily Sales(JAN)'!AH6</f>
        <v>170</v>
      </c>
      <c r="D5">
        <f ca="1">Februray!AH6</f>
        <v>142</v>
      </c>
      <c r="E5">
        <f ca="1">March!AH6</f>
        <v>182</v>
      </c>
      <c r="F5">
        <f ca="1">Aprail!AH6</f>
        <v>167</v>
      </c>
      <c r="G5">
        <f ca="1">May!AH6</f>
        <v>163</v>
      </c>
      <c r="H5">
        <f ca="1">June!AH6</f>
        <v>152</v>
      </c>
      <c r="I5">
        <f ca="1">July!AH6</f>
        <v>177</v>
      </c>
      <c r="J5">
        <f>August!AH6</f>
        <v>186</v>
      </c>
      <c r="K5">
        <f ca="1">September!AH6</f>
        <v>159</v>
      </c>
      <c r="L5" t="str">
        <f>October!AH6</f>
        <v/>
      </c>
      <c r="M5" t="str">
        <f>November!AH6</f>
        <v/>
      </c>
      <c r="N5" t="str">
        <f>December!AH6</f>
        <v/>
      </c>
      <c r="O5">
        <f t="shared" ca="1" si="0"/>
        <v>1498</v>
      </c>
      <c r="P5" t="s">
        <v>22</v>
      </c>
      <c r="Q5">
        <f ca="1">SUM(C5:OFFSET(C5,0,$R$2-1))</f>
        <v>661</v>
      </c>
      <c r="S5" s="3">
        <f t="shared" ca="1" si="1"/>
        <v>166.44444444444446</v>
      </c>
    </row>
    <row r="6" spans="1:19">
      <c r="A6" s="27"/>
      <c r="B6" t="s">
        <v>24</v>
      </c>
      <c r="C6">
        <f ca="1">'Daily Sales(JAN)'!AH7</f>
        <v>157</v>
      </c>
      <c r="D6">
        <f ca="1">Februray!AH7</f>
        <v>157</v>
      </c>
      <c r="E6">
        <f ca="1">March!AH7</f>
        <v>181</v>
      </c>
      <c r="F6">
        <f ca="1">Aprail!AH7</f>
        <v>171</v>
      </c>
      <c r="G6">
        <f ca="1">May!AH7</f>
        <v>161</v>
      </c>
      <c r="H6">
        <f ca="1">June!AH7</f>
        <v>174</v>
      </c>
      <c r="I6">
        <f ca="1">July!AH7</f>
        <v>163</v>
      </c>
      <c r="J6">
        <f>August!AH7</f>
        <v>145</v>
      </c>
      <c r="K6">
        <f ca="1">September!AH7</f>
        <v>151</v>
      </c>
      <c r="L6" t="str">
        <f>October!AH7</f>
        <v/>
      </c>
      <c r="M6" t="str">
        <f>November!AH7</f>
        <v/>
      </c>
      <c r="N6" t="str">
        <f>December!AH7</f>
        <v/>
      </c>
      <c r="O6">
        <f t="shared" ca="1" si="0"/>
        <v>1460</v>
      </c>
      <c r="P6" t="s">
        <v>19</v>
      </c>
      <c r="Q6">
        <f ca="1">SUM(C6:OFFSET(C6,0,$R$2-1))</f>
        <v>666</v>
      </c>
      <c r="S6" s="3">
        <f t="shared" ca="1" si="1"/>
        <v>162.22222222222223</v>
      </c>
    </row>
    <row r="7" spans="1:19">
      <c r="A7" s="27"/>
      <c r="B7" t="s">
        <v>25</v>
      </c>
      <c r="C7">
        <f ca="1">'Daily Sales(JAN)'!AH8</f>
        <v>167</v>
      </c>
      <c r="D7">
        <f ca="1">Februray!AH8</f>
        <v>166</v>
      </c>
      <c r="E7">
        <f ca="1">March!AH8</f>
        <v>166</v>
      </c>
      <c r="F7">
        <f ca="1">Aprail!AH8</f>
        <v>181</v>
      </c>
      <c r="G7">
        <f ca="1">May!AH8</f>
        <v>202</v>
      </c>
      <c r="H7">
        <f ca="1">June!AH8</f>
        <v>152</v>
      </c>
      <c r="I7">
        <f ca="1">July!AH8</f>
        <v>170</v>
      </c>
      <c r="J7">
        <f>August!AH8</f>
        <v>164</v>
      </c>
      <c r="K7">
        <f ca="1">September!AH8</f>
        <v>192</v>
      </c>
      <c r="L7" t="str">
        <f>October!AH8</f>
        <v/>
      </c>
      <c r="M7" t="str">
        <f>November!AH8</f>
        <v/>
      </c>
      <c r="N7" t="str">
        <f>December!AH8</f>
        <v/>
      </c>
      <c r="O7">
        <f t="shared" ca="1" si="0"/>
        <v>1560</v>
      </c>
      <c r="P7" t="s">
        <v>19</v>
      </c>
      <c r="Q7">
        <f ca="1">SUM(C7:OFFSET(C7,0,$R$2-1))</f>
        <v>680</v>
      </c>
      <c r="S7" s="3">
        <f t="shared" ca="1" si="1"/>
        <v>173.33333333333334</v>
      </c>
    </row>
    <row r="8" spans="1:19">
      <c r="A8" s="27"/>
      <c r="B8" t="s">
        <v>26</v>
      </c>
      <c r="C8">
        <f ca="1">'Daily Sales(JAN)'!AH9</f>
        <v>197</v>
      </c>
      <c r="D8">
        <f ca="1">Februray!AH9</f>
        <v>178</v>
      </c>
      <c r="E8">
        <f ca="1">March!AH9</f>
        <v>170</v>
      </c>
      <c r="F8">
        <f ca="1">Aprail!AH9</f>
        <v>174</v>
      </c>
      <c r="G8">
        <f ca="1">May!AH9</f>
        <v>160</v>
      </c>
      <c r="H8">
        <f ca="1">June!AH9</f>
        <v>164</v>
      </c>
      <c r="I8">
        <f ca="1">July!AH9</f>
        <v>194</v>
      </c>
      <c r="J8">
        <f>August!AH9</f>
        <v>180</v>
      </c>
      <c r="K8">
        <f ca="1">September!AH9</f>
        <v>170</v>
      </c>
      <c r="L8" t="str">
        <f>October!AH9</f>
        <v/>
      </c>
      <c r="M8" t="str">
        <f>November!AH9</f>
        <v/>
      </c>
      <c r="N8" t="str">
        <f>December!AH9</f>
        <v/>
      </c>
      <c r="O8">
        <f t="shared" ca="1" si="0"/>
        <v>1587</v>
      </c>
      <c r="P8" t="s">
        <v>22</v>
      </c>
      <c r="Q8">
        <f ca="1">SUM(C8:OFFSET(C8,0,$R$2-1))</f>
        <v>719</v>
      </c>
      <c r="S8" s="3">
        <f t="shared" ca="1" si="1"/>
        <v>176.33333333333334</v>
      </c>
    </row>
    <row r="9" spans="1:19">
      <c r="A9" s="27"/>
      <c r="B9" t="s">
        <v>27</v>
      </c>
      <c r="C9">
        <f ca="1">'Daily Sales(JAN)'!AH10</f>
        <v>199</v>
      </c>
      <c r="D9">
        <f ca="1">Februray!AH10</f>
        <v>159</v>
      </c>
      <c r="E9">
        <f ca="1">March!AH10</f>
        <v>177</v>
      </c>
      <c r="F9">
        <f ca="1">Aprail!AH10</f>
        <v>166</v>
      </c>
      <c r="G9">
        <f ca="1">May!AH10</f>
        <v>164</v>
      </c>
      <c r="H9">
        <f ca="1">June!AH10</f>
        <v>167</v>
      </c>
      <c r="I9">
        <f ca="1">July!AH10</f>
        <v>158</v>
      </c>
      <c r="J9">
        <f>August!AH10</f>
        <v>153</v>
      </c>
      <c r="K9">
        <f ca="1">September!AH10</f>
        <v>187</v>
      </c>
      <c r="L9" t="str">
        <f>October!AH10</f>
        <v/>
      </c>
      <c r="M9" t="str">
        <f>November!AH10</f>
        <v/>
      </c>
      <c r="N9" t="str">
        <f>December!AH10</f>
        <v/>
      </c>
      <c r="O9">
        <f t="shared" ca="1" si="0"/>
        <v>1530</v>
      </c>
      <c r="P9" t="s">
        <v>22</v>
      </c>
      <c r="Q9">
        <f ca="1">SUM(C9:OFFSET(C9,0,$R$2-1))</f>
        <v>701</v>
      </c>
      <c r="S9" s="3">
        <f t="shared" ca="1" si="1"/>
        <v>170</v>
      </c>
    </row>
    <row r="10" spans="1:19">
      <c r="A10" s="27"/>
      <c r="B10" t="s">
        <v>28</v>
      </c>
      <c r="C10">
        <f ca="1">'Daily Sales(JAN)'!AH11</f>
        <v>147</v>
      </c>
      <c r="D10">
        <f ca="1">Februray!AH11</f>
        <v>152</v>
      </c>
      <c r="E10">
        <f ca="1">March!AH11</f>
        <v>179</v>
      </c>
      <c r="F10">
        <f ca="1">Aprail!AH11</f>
        <v>159</v>
      </c>
      <c r="G10">
        <f ca="1">May!AH11</f>
        <v>182</v>
      </c>
      <c r="H10">
        <f ca="1">June!AH11</f>
        <v>152</v>
      </c>
      <c r="I10">
        <f ca="1">July!AH11</f>
        <v>147</v>
      </c>
      <c r="J10">
        <f>August!AH11</f>
        <v>166</v>
      </c>
      <c r="K10">
        <f ca="1">September!AH11</f>
        <v>152</v>
      </c>
      <c r="L10" t="str">
        <f>October!AH11</f>
        <v/>
      </c>
      <c r="M10" t="str">
        <f>November!AH11</f>
        <v/>
      </c>
      <c r="N10" t="str">
        <f>December!AH11</f>
        <v/>
      </c>
      <c r="O10">
        <f t="shared" ca="1" si="0"/>
        <v>1436</v>
      </c>
      <c r="P10" t="s">
        <v>22</v>
      </c>
      <c r="Q10">
        <f ca="1">SUM(C10:OFFSET(C10,0,$R$2-1))</f>
        <v>637</v>
      </c>
      <c r="S10" s="3">
        <f t="shared" ca="1" si="1"/>
        <v>159.55555555555554</v>
      </c>
    </row>
    <row r="11" spans="1:19">
      <c r="A11" s="27"/>
      <c r="B11" t="s">
        <v>29</v>
      </c>
      <c r="C11">
        <f ca="1">'Daily Sales(JAN)'!AH12</f>
        <v>195</v>
      </c>
      <c r="D11">
        <f ca="1">Februray!AH12</f>
        <v>155</v>
      </c>
      <c r="E11">
        <f ca="1">March!AH12</f>
        <v>183</v>
      </c>
      <c r="F11">
        <f ca="1">Aprail!AH12</f>
        <v>155</v>
      </c>
      <c r="G11">
        <f ca="1">May!AH12</f>
        <v>196</v>
      </c>
      <c r="H11">
        <f ca="1">June!AH12</f>
        <v>167</v>
      </c>
      <c r="I11">
        <f ca="1">July!AH12</f>
        <v>167</v>
      </c>
      <c r="J11">
        <f>August!AH12</f>
        <v>151</v>
      </c>
      <c r="K11">
        <f ca="1">September!AH12</f>
        <v>146</v>
      </c>
      <c r="L11" t="str">
        <f>October!AH12</f>
        <v/>
      </c>
      <c r="M11" t="str">
        <f>November!AH12</f>
        <v/>
      </c>
      <c r="N11" t="str">
        <f>December!AH12</f>
        <v/>
      </c>
      <c r="O11">
        <f t="shared" ca="1" si="0"/>
        <v>1515</v>
      </c>
      <c r="P11" t="s">
        <v>22</v>
      </c>
      <c r="Q11">
        <f ca="1">SUM(C11:OFFSET(C11,0,$R$2-1))</f>
        <v>688</v>
      </c>
      <c r="S11" s="3">
        <f t="shared" ca="1" si="1"/>
        <v>168.33333333333334</v>
      </c>
    </row>
    <row r="12" spans="1:19">
      <c r="A12" s="27"/>
      <c r="B12" t="s">
        <v>30</v>
      </c>
      <c r="C12">
        <f ca="1">'Daily Sales(JAN)'!AH13</f>
        <v>156</v>
      </c>
      <c r="D12">
        <f ca="1">Februray!AH13</f>
        <v>180</v>
      </c>
      <c r="E12">
        <f ca="1">March!AH13</f>
        <v>183</v>
      </c>
      <c r="F12">
        <f ca="1">Aprail!AH13</f>
        <v>169</v>
      </c>
      <c r="G12">
        <f ca="1">May!AH13</f>
        <v>163</v>
      </c>
      <c r="H12">
        <f ca="1">June!AH13</f>
        <v>163</v>
      </c>
      <c r="I12">
        <f ca="1">July!AH13</f>
        <v>161</v>
      </c>
      <c r="J12">
        <f>August!AH13</f>
        <v>140</v>
      </c>
      <c r="K12">
        <f ca="1">September!AH13</f>
        <v>157</v>
      </c>
      <c r="L12" t="str">
        <f>October!AH13</f>
        <v/>
      </c>
      <c r="M12" t="str">
        <f>November!AH13</f>
        <v/>
      </c>
      <c r="N12" t="str">
        <f>December!AH13</f>
        <v/>
      </c>
      <c r="O12">
        <f t="shared" ca="1" si="0"/>
        <v>1472</v>
      </c>
      <c r="P12" t="s">
        <v>22</v>
      </c>
      <c r="Q12">
        <f ca="1">SUM(C12:OFFSET(C12,0,$R$2-1))</f>
        <v>688</v>
      </c>
      <c r="S12" s="3">
        <f t="shared" ca="1" si="1"/>
        <v>163.55555555555554</v>
      </c>
    </row>
    <row r="13" spans="1:19">
      <c r="A13" s="27"/>
      <c r="B13" t="s">
        <v>31</v>
      </c>
      <c r="C13">
        <f ca="1">'Daily Sales(JAN)'!AH14</f>
        <v>158</v>
      </c>
      <c r="D13">
        <f ca="1">Februray!AH14</f>
        <v>156</v>
      </c>
      <c r="E13">
        <f ca="1">March!AH14</f>
        <v>166</v>
      </c>
      <c r="F13">
        <f ca="1">Aprail!AH14</f>
        <v>153</v>
      </c>
      <c r="G13">
        <f ca="1">May!AH14</f>
        <v>200</v>
      </c>
      <c r="H13">
        <f ca="1">June!AH14</f>
        <v>163</v>
      </c>
      <c r="I13">
        <f ca="1">July!AH14</f>
        <v>215</v>
      </c>
      <c r="J13">
        <f>August!AH14</f>
        <v>165</v>
      </c>
      <c r="K13">
        <f ca="1">September!AH14</f>
        <v>219</v>
      </c>
      <c r="L13" t="str">
        <f>October!AH14</f>
        <v/>
      </c>
      <c r="M13" t="str">
        <f>November!AH14</f>
        <v/>
      </c>
      <c r="N13" t="str">
        <f>December!AH14</f>
        <v/>
      </c>
      <c r="O13">
        <f t="shared" ca="1" si="0"/>
        <v>1595</v>
      </c>
      <c r="P13" t="s">
        <v>22</v>
      </c>
      <c r="Q13">
        <f ca="1">SUM(C13:OFFSET(C13,0,$R$2-1))</f>
        <v>633</v>
      </c>
      <c r="S13" s="3">
        <f t="shared" ca="1" si="1"/>
        <v>177.22222222222223</v>
      </c>
    </row>
    <row r="14" spans="1:19">
      <c r="A14" s="27"/>
      <c r="B14" t="s">
        <v>32</v>
      </c>
      <c r="C14">
        <f ca="1">'Daily Sales(JAN)'!AH15</f>
        <v>154</v>
      </c>
      <c r="D14">
        <f ca="1">Februray!AH15</f>
        <v>157</v>
      </c>
      <c r="E14">
        <f ca="1">March!AH15</f>
        <v>165</v>
      </c>
      <c r="F14">
        <f ca="1">Aprail!AH15</f>
        <v>183</v>
      </c>
      <c r="G14">
        <f ca="1">May!AH15</f>
        <v>148</v>
      </c>
      <c r="H14">
        <f ca="1">June!AH15</f>
        <v>145</v>
      </c>
      <c r="I14">
        <f ca="1">July!AH15</f>
        <v>173</v>
      </c>
      <c r="J14">
        <f>August!AH15</f>
        <v>189</v>
      </c>
      <c r="K14">
        <f ca="1">September!AH15</f>
        <v>148</v>
      </c>
      <c r="L14" t="str">
        <f>October!AH15</f>
        <v/>
      </c>
      <c r="M14" t="str">
        <f>November!AH15</f>
        <v/>
      </c>
      <c r="N14" t="str">
        <f>December!AH15</f>
        <v/>
      </c>
      <c r="O14">
        <f t="shared" ca="1" si="0"/>
        <v>1462</v>
      </c>
      <c r="P14" t="s">
        <v>22</v>
      </c>
      <c r="Q14">
        <f ca="1">SUM(C14:OFFSET(C14,0,$R$2-1))</f>
        <v>659</v>
      </c>
      <c r="S14" s="3">
        <f t="shared" ca="1" si="1"/>
        <v>162.44444444444446</v>
      </c>
    </row>
    <row r="15" spans="1:19">
      <c r="A15" s="27"/>
      <c r="B15" t="s">
        <v>33</v>
      </c>
      <c r="C15">
        <f ca="1">'Daily Sales(JAN)'!AH16</f>
        <v>183</v>
      </c>
      <c r="D15">
        <f ca="1">Februray!AH16</f>
        <v>147</v>
      </c>
      <c r="E15">
        <f ca="1">March!AH16</f>
        <v>159</v>
      </c>
      <c r="F15">
        <f ca="1">Aprail!AH16</f>
        <v>162</v>
      </c>
      <c r="G15">
        <f ca="1">May!AH16</f>
        <v>166</v>
      </c>
      <c r="H15">
        <f ca="1">June!AH16</f>
        <v>166</v>
      </c>
      <c r="I15">
        <f ca="1">July!AH16</f>
        <v>182</v>
      </c>
      <c r="J15">
        <f>August!AH16</f>
        <v>199</v>
      </c>
      <c r="K15">
        <f ca="1">September!AH16</f>
        <v>168</v>
      </c>
      <c r="L15" t="str">
        <f>October!AH16</f>
        <v/>
      </c>
      <c r="M15" t="str">
        <f>November!AH16</f>
        <v/>
      </c>
      <c r="N15" t="str">
        <f>December!AH16</f>
        <v/>
      </c>
      <c r="O15">
        <f t="shared" ca="1" si="0"/>
        <v>1532</v>
      </c>
      <c r="P15" t="s">
        <v>22</v>
      </c>
      <c r="Q15">
        <f ca="1">SUM(C15:OFFSET(C15,0,$R$2-1))</f>
        <v>651</v>
      </c>
      <c r="S15" s="3">
        <f t="shared" ca="1" si="1"/>
        <v>170.22222222222223</v>
      </c>
    </row>
    <row r="16" spans="1:19">
      <c r="A16" s="27"/>
      <c r="B16" t="s">
        <v>34</v>
      </c>
      <c r="C16">
        <f ca="1">'Daily Sales(JAN)'!AH17</f>
        <v>163</v>
      </c>
      <c r="D16">
        <f ca="1">Februray!AH17</f>
        <v>148</v>
      </c>
      <c r="E16">
        <f ca="1">March!AH17</f>
        <v>175</v>
      </c>
      <c r="F16">
        <f ca="1">Aprail!AH17</f>
        <v>140</v>
      </c>
      <c r="G16">
        <f ca="1">May!AH17</f>
        <v>146</v>
      </c>
      <c r="H16">
        <f ca="1">June!AH17</f>
        <v>182</v>
      </c>
      <c r="I16">
        <f ca="1">July!AH17</f>
        <v>165</v>
      </c>
      <c r="J16">
        <f>August!AH17</f>
        <v>151</v>
      </c>
      <c r="K16">
        <f ca="1">September!AH17</f>
        <v>159</v>
      </c>
      <c r="L16" t="str">
        <f>October!AH17</f>
        <v/>
      </c>
      <c r="M16" t="str">
        <f>November!AH17</f>
        <v/>
      </c>
      <c r="N16" t="str">
        <f>December!AH17</f>
        <v/>
      </c>
      <c r="O16">
        <f t="shared" ca="1" si="0"/>
        <v>1429</v>
      </c>
      <c r="P16" t="s">
        <v>22</v>
      </c>
      <c r="Q16">
        <f ca="1">SUM(C16:OFFSET(C16,0,$R$2-1))</f>
        <v>626</v>
      </c>
      <c r="S16" s="3">
        <f t="shared" ca="1" si="1"/>
        <v>158.77777777777777</v>
      </c>
    </row>
    <row r="17" spans="1:19">
      <c r="A17" s="27"/>
      <c r="B17" t="s">
        <v>35</v>
      </c>
      <c r="C17">
        <f ca="1">'Daily Sales(JAN)'!AH18</f>
        <v>187</v>
      </c>
      <c r="D17">
        <f ca="1">Februray!AH18</f>
        <v>140</v>
      </c>
      <c r="E17">
        <f ca="1">March!AH18</f>
        <v>156</v>
      </c>
      <c r="F17">
        <f ca="1">Aprail!AH18</f>
        <v>166</v>
      </c>
      <c r="G17">
        <f ca="1">May!AH18</f>
        <v>157</v>
      </c>
      <c r="H17">
        <f ca="1">June!AH18</f>
        <v>168</v>
      </c>
      <c r="I17">
        <f ca="1">July!AH18</f>
        <v>177</v>
      </c>
      <c r="J17">
        <f>August!AH18</f>
        <v>157</v>
      </c>
      <c r="K17">
        <f ca="1">September!AH18</f>
        <v>142</v>
      </c>
      <c r="L17" t="str">
        <f>October!AH18</f>
        <v/>
      </c>
      <c r="M17" t="str">
        <f>November!AH18</f>
        <v/>
      </c>
      <c r="N17" t="str">
        <f>December!AH18</f>
        <v/>
      </c>
      <c r="O17">
        <f t="shared" ca="1" si="0"/>
        <v>1450</v>
      </c>
      <c r="P17" t="s">
        <v>22</v>
      </c>
      <c r="Q17">
        <f ca="1">SUM(C17:OFFSET(C17,0,$R$2-1))</f>
        <v>649</v>
      </c>
      <c r="S17" s="3">
        <f t="shared" ca="1" si="1"/>
        <v>161.11111111111111</v>
      </c>
    </row>
    <row r="18" spans="1:19">
      <c r="A18" s="27"/>
      <c r="B18" t="s">
        <v>36</v>
      </c>
      <c r="C18">
        <f ca="1">'Daily Sales(JAN)'!AH19</f>
        <v>157</v>
      </c>
      <c r="D18">
        <f ca="1">Februray!AH19</f>
        <v>176</v>
      </c>
      <c r="E18">
        <f ca="1">March!AH19</f>
        <v>182</v>
      </c>
      <c r="F18">
        <f ca="1">Aprail!AH19</f>
        <v>123</v>
      </c>
      <c r="G18">
        <f ca="1">May!AH19</f>
        <v>152</v>
      </c>
      <c r="H18">
        <f ca="1">June!AH19</f>
        <v>156</v>
      </c>
      <c r="I18">
        <f ca="1">July!AH19</f>
        <v>184</v>
      </c>
      <c r="J18">
        <f>August!AH19</f>
        <v>158</v>
      </c>
      <c r="K18">
        <f ca="1">September!AH19</f>
        <v>142</v>
      </c>
      <c r="L18" t="str">
        <f>October!AH19</f>
        <v/>
      </c>
      <c r="M18" t="str">
        <f>November!AH19</f>
        <v/>
      </c>
      <c r="N18" t="str">
        <f>December!AH19</f>
        <v/>
      </c>
      <c r="O18">
        <f t="shared" ca="1" si="0"/>
        <v>1430</v>
      </c>
      <c r="P18" t="s">
        <v>22</v>
      </c>
      <c r="Q18">
        <f ca="1">SUM(C18:OFFSET(C18,0,$R$2-1))</f>
        <v>638</v>
      </c>
      <c r="S18" s="3">
        <f t="shared" ca="1" si="1"/>
        <v>158.88888888888889</v>
      </c>
    </row>
    <row r="19" spans="1:19">
      <c r="A19" s="27"/>
      <c r="B19" t="s">
        <v>37</v>
      </c>
      <c r="C19">
        <f ca="1">'Daily Sales(JAN)'!AH20</f>
        <v>181</v>
      </c>
      <c r="D19">
        <f ca="1">Februray!AH20</f>
        <v>167</v>
      </c>
      <c r="E19">
        <f ca="1">March!AH20</f>
        <v>144</v>
      </c>
      <c r="F19">
        <f ca="1">Aprail!AH20</f>
        <v>194</v>
      </c>
      <c r="G19">
        <f ca="1">May!AH20</f>
        <v>174</v>
      </c>
      <c r="H19">
        <f ca="1">June!AH20</f>
        <v>176</v>
      </c>
      <c r="I19">
        <f ca="1">July!AH20</f>
        <v>177</v>
      </c>
      <c r="J19">
        <f>August!AH20</f>
        <v>158</v>
      </c>
      <c r="K19">
        <f ca="1">September!AH20</f>
        <v>138</v>
      </c>
      <c r="L19" t="str">
        <f>October!AH20</f>
        <v/>
      </c>
      <c r="M19" t="str">
        <f>November!AH20</f>
        <v/>
      </c>
      <c r="N19" t="str">
        <f>December!AH20</f>
        <v/>
      </c>
      <c r="O19">
        <f t="shared" ca="1" si="0"/>
        <v>1509</v>
      </c>
      <c r="P19" t="s">
        <v>22</v>
      </c>
      <c r="Q19">
        <f ca="1">SUM(C19:OFFSET(C19,0,$R$2-1))</f>
        <v>686</v>
      </c>
      <c r="S19" s="3">
        <f t="shared" ca="1" si="1"/>
        <v>167.66666666666666</v>
      </c>
    </row>
    <row r="20" spans="1:19">
      <c r="A20" s="27"/>
      <c r="B20" t="s">
        <v>38</v>
      </c>
      <c r="C20">
        <f ca="1">'Daily Sales(JAN)'!AH21</f>
        <v>179</v>
      </c>
      <c r="D20">
        <f ca="1">Februray!AH21</f>
        <v>147</v>
      </c>
      <c r="E20">
        <f ca="1">March!AH21</f>
        <v>139</v>
      </c>
      <c r="F20">
        <f ca="1">Aprail!AH21</f>
        <v>162</v>
      </c>
      <c r="G20">
        <f ca="1">May!AH21</f>
        <v>185</v>
      </c>
      <c r="H20">
        <f ca="1">June!AH21</f>
        <v>182</v>
      </c>
      <c r="I20">
        <f ca="1">July!AH21</f>
        <v>162</v>
      </c>
      <c r="J20">
        <f>August!AH21</f>
        <v>195</v>
      </c>
      <c r="K20">
        <f ca="1">September!AH21</f>
        <v>177</v>
      </c>
      <c r="L20" t="str">
        <f>October!AH21</f>
        <v/>
      </c>
      <c r="M20" t="str">
        <f>November!AH21</f>
        <v/>
      </c>
      <c r="N20" t="str">
        <f>December!AH21</f>
        <v/>
      </c>
      <c r="O20">
        <f t="shared" ca="1" si="0"/>
        <v>1528</v>
      </c>
      <c r="P20" t="s">
        <v>22</v>
      </c>
      <c r="Q20">
        <f ca="1">SUM(C20:OFFSET(C20,0,$R$2-1))</f>
        <v>627</v>
      </c>
      <c r="S20" s="3">
        <f t="shared" ca="1" si="1"/>
        <v>169.77777777777777</v>
      </c>
    </row>
    <row r="21" spans="1:19">
      <c r="A21" s="27"/>
      <c r="B21" t="s">
        <v>39</v>
      </c>
      <c r="C21">
        <f ca="1">'Daily Sales(JAN)'!AH22</f>
        <v>157</v>
      </c>
      <c r="D21">
        <f ca="1">Februray!AH22</f>
        <v>174</v>
      </c>
      <c r="E21">
        <f ca="1">March!AH22</f>
        <v>162</v>
      </c>
      <c r="F21">
        <f ca="1">Aprail!AH22</f>
        <v>167</v>
      </c>
      <c r="G21">
        <f ca="1">May!AH22</f>
        <v>168</v>
      </c>
      <c r="H21">
        <f ca="1">June!AH22</f>
        <v>168</v>
      </c>
      <c r="I21">
        <f ca="1">July!AH22</f>
        <v>184</v>
      </c>
      <c r="J21">
        <f>August!AH22</f>
        <v>162</v>
      </c>
      <c r="K21">
        <f ca="1">September!AH22</f>
        <v>150</v>
      </c>
      <c r="L21" t="str">
        <f>October!AH22</f>
        <v/>
      </c>
      <c r="M21" t="str">
        <f>November!AH22</f>
        <v/>
      </c>
      <c r="N21" t="str">
        <f>December!AH22</f>
        <v/>
      </c>
      <c r="O21">
        <f t="shared" ca="1" si="0"/>
        <v>1492</v>
      </c>
      <c r="P21" t="s">
        <v>22</v>
      </c>
      <c r="Q21">
        <f ca="1">SUM(C21:OFFSET(C21,0,$R$2-1))</f>
        <v>660</v>
      </c>
      <c r="S21" s="3">
        <f t="shared" ca="1" si="1"/>
        <v>165.77777777777777</v>
      </c>
    </row>
    <row r="22" spans="1:19">
      <c r="A22" s="27"/>
      <c r="B22" t="s">
        <v>40</v>
      </c>
      <c r="C22">
        <f ca="1">'Daily Sales(JAN)'!AH23</f>
        <v>161</v>
      </c>
      <c r="D22">
        <f ca="1">Februray!AH23</f>
        <v>161</v>
      </c>
      <c r="E22">
        <f ca="1">March!AH23</f>
        <v>156</v>
      </c>
      <c r="F22">
        <f ca="1">Aprail!AH23</f>
        <v>173</v>
      </c>
      <c r="G22">
        <f ca="1">May!AH23</f>
        <v>165</v>
      </c>
      <c r="H22">
        <f ca="1">June!AH23</f>
        <v>173</v>
      </c>
      <c r="I22">
        <f ca="1">July!AH23</f>
        <v>198</v>
      </c>
      <c r="J22">
        <f>August!AH23</f>
        <v>170</v>
      </c>
      <c r="K22">
        <f ca="1">September!AH23</f>
        <v>164</v>
      </c>
      <c r="L22" t="str">
        <f>October!AH23</f>
        <v/>
      </c>
      <c r="M22" t="str">
        <f>November!AH23</f>
        <v/>
      </c>
      <c r="N22" t="str">
        <f>December!AH23</f>
        <v/>
      </c>
      <c r="O22">
        <f t="shared" ca="1" si="0"/>
        <v>1521</v>
      </c>
      <c r="P22" t="s">
        <v>22</v>
      </c>
      <c r="Q22">
        <f ca="1">SUM(C22:OFFSET(C22,0,$R$2-1))</f>
        <v>651</v>
      </c>
      <c r="S22" s="3">
        <f t="shared" ca="1" si="1"/>
        <v>169</v>
      </c>
    </row>
    <row r="23" spans="1:19">
      <c r="A23" s="27"/>
      <c r="B23" t="s">
        <v>41</v>
      </c>
      <c r="C23">
        <f ca="1">'Daily Sales(JAN)'!AH24</f>
        <v>159</v>
      </c>
      <c r="D23">
        <f ca="1">Februray!AH24</f>
        <v>124</v>
      </c>
      <c r="E23">
        <f ca="1">March!AH24</f>
        <v>178</v>
      </c>
      <c r="F23">
        <f ca="1">Aprail!AH24</f>
        <v>156</v>
      </c>
      <c r="G23">
        <f ca="1">May!AH24</f>
        <v>190</v>
      </c>
      <c r="H23">
        <f ca="1">June!AH24</f>
        <v>182</v>
      </c>
      <c r="I23">
        <f ca="1">July!AH24</f>
        <v>181</v>
      </c>
      <c r="J23">
        <f>August!AH24</f>
        <v>161</v>
      </c>
      <c r="K23">
        <f ca="1">September!AH24</f>
        <v>184</v>
      </c>
      <c r="L23" t="str">
        <f>October!AH24</f>
        <v/>
      </c>
      <c r="M23" t="str">
        <f>November!AH24</f>
        <v/>
      </c>
      <c r="N23" t="str">
        <f>December!AH24</f>
        <v/>
      </c>
      <c r="O23">
        <f t="shared" ca="1" si="0"/>
        <v>1515</v>
      </c>
      <c r="P23" t="s">
        <v>22</v>
      </c>
      <c r="Q23">
        <f ca="1">SUM(C23:OFFSET(C23,0,$R$2-1))</f>
        <v>617</v>
      </c>
      <c r="S23" s="3">
        <f t="shared" ca="1" si="1"/>
        <v>168.33333333333334</v>
      </c>
    </row>
    <row r="24" spans="1:19">
      <c r="A24" s="27"/>
      <c r="B24" t="s">
        <v>42</v>
      </c>
      <c r="C24">
        <f ca="1">'Daily Sales(JAN)'!AH25</f>
        <v>191</v>
      </c>
      <c r="D24">
        <f ca="1">Februray!AH25</f>
        <v>160</v>
      </c>
      <c r="E24">
        <f ca="1">March!AH25</f>
        <v>161</v>
      </c>
      <c r="F24">
        <f ca="1">Aprail!AH25</f>
        <v>192</v>
      </c>
      <c r="G24">
        <f ca="1">May!AH25</f>
        <v>169</v>
      </c>
      <c r="H24">
        <f ca="1">June!AH25</f>
        <v>159</v>
      </c>
      <c r="I24">
        <f ca="1">July!AH25</f>
        <v>186</v>
      </c>
      <c r="J24">
        <f>August!AH25</f>
        <v>191</v>
      </c>
      <c r="K24">
        <f ca="1">September!AH25</f>
        <v>157</v>
      </c>
      <c r="L24" t="str">
        <f>October!AH25</f>
        <v/>
      </c>
      <c r="M24" t="str">
        <f>November!AH25</f>
        <v/>
      </c>
      <c r="N24" t="str">
        <f>December!AH25</f>
        <v/>
      </c>
      <c r="O24">
        <f t="shared" ca="1" si="0"/>
        <v>1566</v>
      </c>
      <c r="P24" t="s">
        <v>22</v>
      </c>
      <c r="Q24">
        <f ca="1">SUM(C24:OFFSET(C24,0,$R$2-1))</f>
        <v>704</v>
      </c>
      <c r="S24" s="3">
        <f t="shared" ca="1" si="1"/>
        <v>174</v>
      </c>
    </row>
    <row r="25" spans="1:19">
      <c r="A25" s="27"/>
      <c r="B25" t="s">
        <v>43</v>
      </c>
      <c r="C25">
        <f ca="1">'Daily Sales(JAN)'!AH26</f>
        <v>180</v>
      </c>
      <c r="D25">
        <f ca="1">Februray!AH26</f>
        <v>159</v>
      </c>
      <c r="E25">
        <f ca="1">March!AH26</f>
        <v>146</v>
      </c>
      <c r="F25">
        <f ca="1">Aprail!AH26</f>
        <v>171</v>
      </c>
      <c r="G25">
        <f ca="1">May!AH26</f>
        <v>180</v>
      </c>
      <c r="H25">
        <f ca="1">June!AH26</f>
        <v>181</v>
      </c>
      <c r="I25">
        <f ca="1">July!AH26</f>
        <v>193</v>
      </c>
      <c r="J25">
        <f>August!AH26</f>
        <v>179</v>
      </c>
      <c r="K25">
        <f ca="1">September!AH26</f>
        <v>169</v>
      </c>
      <c r="L25" t="str">
        <f>October!AH26</f>
        <v/>
      </c>
      <c r="M25" t="str">
        <f>November!AH26</f>
        <v/>
      </c>
      <c r="N25" t="str">
        <f>December!AH26</f>
        <v/>
      </c>
      <c r="O25">
        <f t="shared" ca="1" si="0"/>
        <v>1558</v>
      </c>
      <c r="P25" t="s">
        <v>22</v>
      </c>
      <c r="Q25">
        <f ca="1">SUM(C25:OFFSET(C25,0,$R$2-1))</f>
        <v>656</v>
      </c>
      <c r="S25" s="3">
        <f t="shared" ca="1" si="1"/>
        <v>173.11111111111111</v>
      </c>
    </row>
    <row r="26" spans="1:19">
      <c r="A26" s="27"/>
      <c r="B26" t="s">
        <v>44</v>
      </c>
      <c r="C26">
        <f ca="1">'Daily Sales(JAN)'!AH27</f>
        <v>159</v>
      </c>
      <c r="D26">
        <f ca="1">Februray!AH27</f>
        <v>179</v>
      </c>
      <c r="E26">
        <f ca="1">March!AH27</f>
        <v>178</v>
      </c>
      <c r="F26">
        <f ca="1">Aprail!AH27</f>
        <v>154</v>
      </c>
      <c r="G26">
        <f ca="1">May!AH27</f>
        <v>176</v>
      </c>
      <c r="H26">
        <f ca="1">June!AH27</f>
        <v>144</v>
      </c>
      <c r="I26">
        <f ca="1">July!AH27</f>
        <v>169</v>
      </c>
      <c r="J26">
        <f>August!AH27</f>
        <v>166</v>
      </c>
      <c r="K26">
        <f ca="1">September!AH27</f>
        <v>160</v>
      </c>
      <c r="L26" t="str">
        <f>October!AH27</f>
        <v/>
      </c>
      <c r="M26" t="str">
        <f>November!AH27</f>
        <v/>
      </c>
      <c r="N26" t="str">
        <f>December!AH27</f>
        <v/>
      </c>
      <c r="O26">
        <f t="shared" ca="1" si="0"/>
        <v>1485</v>
      </c>
      <c r="P26" t="s">
        <v>22</v>
      </c>
      <c r="Q26">
        <f ca="1">SUM(C26:OFFSET(C26,0,$R$2-1))</f>
        <v>670</v>
      </c>
      <c r="S26" s="3">
        <f t="shared" ca="1" si="1"/>
        <v>165</v>
      </c>
    </row>
    <row r="27" spans="1:19">
      <c r="A27" s="27"/>
      <c r="B27" t="s">
        <v>45</v>
      </c>
      <c r="C27">
        <f ca="1">'Daily Sales(JAN)'!AH28</f>
        <v>161</v>
      </c>
      <c r="D27">
        <f ca="1">Februray!AH28</f>
        <v>178</v>
      </c>
      <c r="E27">
        <f ca="1">March!AH28</f>
        <v>192</v>
      </c>
      <c r="F27">
        <f ca="1">Aprail!AH28</f>
        <v>167</v>
      </c>
      <c r="G27">
        <f ca="1">May!AH28</f>
        <v>164</v>
      </c>
      <c r="H27">
        <f ca="1">June!AH28</f>
        <v>161</v>
      </c>
      <c r="I27">
        <f ca="1">July!AH28</f>
        <v>150</v>
      </c>
      <c r="J27">
        <f>August!AH28</f>
        <v>175</v>
      </c>
      <c r="K27">
        <f ca="1">September!AH28</f>
        <v>172</v>
      </c>
      <c r="L27" t="str">
        <f>October!AH28</f>
        <v/>
      </c>
      <c r="M27" t="str">
        <f>November!AH28</f>
        <v/>
      </c>
      <c r="N27" t="str">
        <f>December!AH28</f>
        <v/>
      </c>
      <c r="O27">
        <f t="shared" ca="1" si="0"/>
        <v>1520</v>
      </c>
      <c r="P27" t="s">
        <v>22</v>
      </c>
      <c r="Q27">
        <f ca="1">SUM(C27:OFFSET(C27,0,$R$2-1))</f>
        <v>698</v>
      </c>
      <c r="S27" s="3">
        <f t="shared" ca="1" si="1"/>
        <v>168.88888888888889</v>
      </c>
    </row>
    <row r="28" spans="1:19">
      <c r="A28" s="27"/>
      <c r="B28" t="s">
        <v>46</v>
      </c>
      <c r="C28">
        <f ca="1">'Daily Sales(JAN)'!AH29</f>
        <v>156</v>
      </c>
      <c r="D28">
        <f ca="1">Februray!AH29</f>
        <v>154</v>
      </c>
      <c r="E28">
        <f ca="1">March!AH29</f>
        <v>173</v>
      </c>
      <c r="F28">
        <f ca="1">Aprail!AH29</f>
        <v>155</v>
      </c>
      <c r="G28">
        <f ca="1">May!AH29</f>
        <v>146</v>
      </c>
      <c r="H28">
        <f ca="1">June!AH29</f>
        <v>165</v>
      </c>
      <c r="I28">
        <f ca="1">July!AH29</f>
        <v>153</v>
      </c>
      <c r="J28">
        <f>August!AH29</f>
        <v>153</v>
      </c>
      <c r="K28">
        <f ca="1">September!AH29</f>
        <v>174</v>
      </c>
      <c r="L28" t="str">
        <f>October!AH29</f>
        <v/>
      </c>
      <c r="M28" t="str">
        <f>November!AH29</f>
        <v/>
      </c>
      <c r="N28" t="str">
        <f>December!AH29</f>
        <v/>
      </c>
      <c r="O28">
        <f t="shared" ca="1" si="0"/>
        <v>1429</v>
      </c>
      <c r="P28" t="s">
        <v>22</v>
      </c>
      <c r="Q28">
        <f ca="1">SUM(C28:OFFSET(C28,0,$R$2-1))</f>
        <v>638</v>
      </c>
      <c r="S28" s="3">
        <f t="shared" ca="1" si="1"/>
        <v>158.77777777777777</v>
      </c>
    </row>
    <row r="29" spans="1:19">
      <c r="A29" s="27"/>
      <c r="B29" t="s">
        <v>47</v>
      </c>
      <c r="C29">
        <f ca="1">'Daily Sales(JAN)'!AH30</f>
        <v>180</v>
      </c>
      <c r="D29">
        <f ca="1">Februray!AH30</f>
        <v>171</v>
      </c>
      <c r="E29">
        <f ca="1">March!AH30</f>
        <v>165</v>
      </c>
      <c r="F29">
        <f ca="1">Aprail!AH30</f>
        <v>143</v>
      </c>
      <c r="G29">
        <f ca="1">May!AH30</f>
        <v>157</v>
      </c>
      <c r="H29">
        <f ca="1">June!AH30</f>
        <v>180</v>
      </c>
      <c r="I29">
        <f ca="1">July!AH30</f>
        <v>173</v>
      </c>
      <c r="J29">
        <f>August!AH30</f>
        <v>180</v>
      </c>
      <c r="K29">
        <f ca="1">September!AH30</f>
        <v>180</v>
      </c>
      <c r="L29" t="str">
        <f>October!AH30</f>
        <v/>
      </c>
      <c r="M29" t="str">
        <f>November!AH30</f>
        <v/>
      </c>
      <c r="N29" t="str">
        <f>December!AH30</f>
        <v/>
      </c>
      <c r="O29">
        <f t="shared" ca="1" si="0"/>
        <v>1529</v>
      </c>
      <c r="P29" t="s">
        <v>22</v>
      </c>
      <c r="Q29">
        <f ca="1">SUM(C29:OFFSET(C29,0,$R$2-1))</f>
        <v>659</v>
      </c>
      <c r="S29" s="3">
        <f t="shared" ca="1" si="1"/>
        <v>169.88888888888889</v>
      </c>
    </row>
    <row r="30" spans="1:19">
      <c r="A30" s="27"/>
      <c r="B30" t="s">
        <v>48</v>
      </c>
      <c r="C30">
        <f ca="1">'Daily Sales(JAN)'!AH31</f>
        <v>180</v>
      </c>
      <c r="D30">
        <f ca="1">Februray!AH31</f>
        <v>165</v>
      </c>
      <c r="E30">
        <f ca="1">March!AH31</f>
        <v>199</v>
      </c>
      <c r="F30">
        <f ca="1">Aprail!AH31</f>
        <v>169</v>
      </c>
      <c r="G30">
        <f ca="1">May!AH31</f>
        <v>197</v>
      </c>
      <c r="H30">
        <f ca="1">June!AH31</f>
        <v>148</v>
      </c>
      <c r="I30">
        <f ca="1">July!AH31</f>
        <v>170</v>
      </c>
      <c r="J30">
        <f>August!AH31</f>
        <v>174</v>
      </c>
      <c r="K30">
        <f ca="1">September!AH31</f>
        <v>146</v>
      </c>
      <c r="L30" t="str">
        <f>October!AH31</f>
        <v/>
      </c>
      <c r="M30" t="str">
        <f>November!AH31</f>
        <v/>
      </c>
      <c r="N30" t="str">
        <f>December!AH31</f>
        <v/>
      </c>
      <c r="O30">
        <f t="shared" ca="1" si="0"/>
        <v>1548</v>
      </c>
      <c r="P30" t="s">
        <v>22</v>
      </c>
      <c r="Q30">
        <f ca="1">SUM(C30:OFFSET(C30,0,$R$2-1))</f>
        <v>713</v>
      </c>
      <c r="S30" s="3">
        <f t="shared" ca="1" si="1"/>
        <v>172</v>
      </c>
    </row>
    <row r="31" spans="1:19">
      <c r="A31" s="27"/>
      <c r="B31" t="s">
        <v>49</v>
      </c>
      <c r="C31">
        <f ca="1">'Daily Sales(JAN)'!AH32</f>
        <v>208</v>
      </c>
      <c r="D31">
        <f ca="1">Februray!AH32</f>
        <v>162</v>
      </c>
      <c r="E31">
        <f ca="1">March!AH32</f>
        <v>124</v>
      </c>
      <c r="F31">
        <f ca="1">Aprail!AH32</f>
        <v>159</v>
      </c>
      <c r="G31">
        <f ca="1">May!AH32</f>
        <v>162</v>
      </c>
      <c r="H31">
        <f ca="1">June!AH32</f>
        <v>179</v>
      </c>
      <c r="I31">
        <f ca="1">July!AH32</f>
        <v>165</v>
      </c>
      <c r="J31">
        <f>August!AH32</f>
        <v>191</v>
      </c>
      <c r="K31">
        <f ca="1">September!AH32</f>
        <v>192</v>
      </c>
      <c r="L31" t="str">
        <f>October!AH32</f>
        <v/>
      </c>
      <c r="M31" t="str">
        <f>November!AH32</f>
        <v/>
      </c>
      <c r="N31" t="str">
        <f>December!AH32</f>
        <v/>
      </c>
      <c r="O31">
        <f t="shared" ca="1" si="0"/>
        <v>1542</v>
      </c>
      <c r="P31" t="s">
        <v>22</v>
      </c>
      <c r="Q31">
        <f ca="1">SUM(C31:OFFSET(C31,0,$R$2-1))</f>
        <v>653</v>
      </c>
      <c r="S31" s="3">
        <f t="shared" ca="1" si="1"/>
        <v>171.33333333333334</v>
      </c>
    </row>
    <row r="32" spans="1:19">
      <c r="A32" s="27"/>
      <c r="B32" t="s">
        <v>50</v>
      </c>
      <c r="C32">
        <f ca="1">'Daily Sales(JAN)'!AH33</f>
        <v>164</v>
      </c>
      <c r="D32">
        <f ca="1">Februray!AH33</f>
        <v>205</v>
      </c>
      <c r="E32">
        <f ca="1">March!AH33</f>
        <v>162</v>
      </c>
      <c r="F32">
        <f ca="1">Aprail!AH33</f>
        <v>167</v>
      </c>
      <c r="G32">
        <f ca="1">May!AH33</f>
        <v>182</v>
      </c>
      <c r="H32">
        <f ca="1">June!AH33</f>
        <v>191</v>
      </c>
      <c r="I32">
        <f ca="1">July!AH33</f>
        <v>152</v>
      </c>
      <c r="J32">
        <f>August!AH33</f>
        <v>185</v>
      </c>
      <c r="K32">
        <f ca="1">September!AH33</f>
        <v>144</v>
      </c>
      <c r="L32" t="str">
        <f>October!AH33</f>
        <v/>
      </c>
      <c r="M32" t="str">
        <f>November!AH33</f>
        <v/>
      </c>
      <c r="N32" t="str">
        <f>December!AH33</f>
        <v/>
      </c>
      <c r="O32">
        <f t="shared" ca="1" si="0"/>
        <v>1552</v>
      </c>
      <c r="P32" t="s">
        <v>22</v>
      </c>
      <c r="Q32">
        <f ca="1">SUM(C32:OFFSET(C32,0,$R$2-1))</f>
        <v>698</v>
      </c>
      <c r="S32" s="3">
        <f t="shared" ca="1" si="1"/>
        <v>172.44444444444446</v>
      </c>
    </row>
    <row r="33" spans="1:19">
      <c r="A33" s="27"/>
      <c r="B33" t="s">
        <v>51</v>
      </c>
      <c r="C33">
        <f ca="1">'Daily Sales(JAN)'!AH34</f>
        <v>177</v>
      </c>
      <c r="D33">
        <f ca="1">Februray!AH34</f>
        <v>140</v>
      </c>
      <c r="E33">
        <f ca="1">March!AH34</f>
        <v>159</v>
      </c>
      <c r="F33">
        <f ca="1">Aprail!AH34</f>
        <v>142</v>
      </c>
      <c r="G33">
        <f ca="1">May!AH34</f>
        <v>180</v>
      </c>
      <c r="H33">
        <f ca="1">June!AH34</f>
        <v>158</v>
      </c>
      <c r="I33">
        <f ca="1">July!AH34</f>
        <v>182</v>
      </c>
      <c r="J33">
        <f>August!AH34</f>
        <v>186</v>
      </c>
      <c r="K33">
        <f ca="1">September!AH34</f>
        <v>151</v>
      </c>
      <c r="L33" t="str">
        <f>October!AH34</f>
        <v/>
      </c>
      <c r="M33" t="str">
        <f>November!AH34</f>
        <v/>
      </c>
      <c r="N33" t="str">
        <f>December!AH34</f>
        <v/>
      </c>
      <c r="O33">
        <f t="shared" ca="1" si="0"/>
        <v>1475</v>
      </c>
      <c r="P33" t="s">
        <v>22</v>
      </c>
      <c r="Q33">
        <f ca="1">SUM(C33:OFFSET(C33,0,$R$2-1))</f>
        <v>618</v>
      </c>
      <c r="S33" s="3">
        <f t="shared" ca="1" si="1"/>
        <v>163.88888888888889</v>
      </c>
    </row>
    <row r="34" spans="1:19">
      <c r="A34" s="27"/>
      <c r="B34" t="s">
        <v>52</v>
      </c>
      <c r="C34">
        <f ca="1">'Daily Sales(JAN)'!AH35</f>
        <v>174</v>
      </c>
      <c r="D34">
        <f ca="1">Februray!AH35</f>
        <v>169</v>
      </c>
      <c r="E34">
        <f ca="1">March!AH35</f>
        <v>175</v>
      </c>
      <c r="F34">
        <f ca="1">Aprail!AH35</f>
        <v>169</v>
      </c>
      <c r="G34">
        <f ca="1">May!AH35</f>
        <v>170</v>
      </c>
      <c r="H34">
        <f ca="1">June!AH35</f>
        <v>173</v>
      </c>
      <c r="I34">
        <f ca="1">July!AH35</f>
        <v>166</v>
      </c>
      <c r="J34">
        <f>August!AH35</f>
        <v>160</v>
      </c>
      <c r="K34">
        <f ca="1">September!AH35</f>
        <v>201</v>
      </c>
      <c r="L34" t="str">
        <f>October!AH35</f>
        <v/>
      </c>
      <c r="M34" t="str">
        <f>November!AH35</f>
        <v/>
      </c>
      <c r="N34" t="str">
        <f>December!AH35</f>
        <v/>
      </c>
      <c r="O34">
        <f t="shared" ca="1" si="0"/>
        <v>1557</v>
      </c>
      <c r="P34" t="s">
        <v>22</v>
      </c>
      <c r="Q34">
        <f ca="1">SUM(C34:OFFSET(C34,0,$R$2-1))</f>
        <v>687</v>
      </c>
      <c r="S34" s="3">
        <f t="shared" ca="1" si="1"/>
        <v>173</v>
      </c>
    </row>
    <row r="35" spans="1:19">
      <c r="A35" s="27"/>
      <c r="B35" t="s">
        <v>53</v>
      </c>
      <c r="C35">
        <f ca="1">'Daily Sales(JAN)'!AH36</f>
        <v>175</v>
      </c>
      <c r="D35">
        <f ca="1">Februray!AH36</f>
        <v>142</v>
      </c>
      <c r="E35">
        <f ca="1">March!AH36</f>
        <v>164</v>
      </c>
      <c r="F35">
        <f ca="1">Aprail!AH36</f>
        <v>161</v>
      </c>
      <c r="G35">
        <f ca="1">May!AH36</f>
        <v>171</v>
      </c>
      <c r="H35">
        <f ca="1">June!AH36</f>
        <v>161</v>
      </c>
      <c r="I35">
        <f ca="1">July!AH36</f>
        <v>166</v>
      </c>
      <c r="J35">
        <f>August!AH36</f>
        <v>174</v>
      </c>
      <c r="K35">
        <f ca="1">September!AH36</f>
        <v>174</v>
      </c>
      <c r="L35" t="str">
        <f>October!AH36</f>
        <v/>
      </c>
      <c r="M35" t="str">
        <f>November!AH36</f>
        <v/>
      </c>
      <c r="N35" t="str">
        <f>December!AH36</f>
        <v/>
      </c>
      <c r="O35">
        <f t="shared" ca="1" si="0"/>
        <v>1488</v>
      </c>
      <c r="P35" t="s">
        <v>22</v>
      </c>
      <c r="Q35">
        <f ca="1">SUM(C35:OFFSET(C35,0,$R$2-1))</f>
        <v>642</v>
      </c>
      <c r="S35" s="3">
        <f t="shared" ca="1" si="1"/>
        <v>165.33333333333334</v>
      </c>
    </row>
    <row r="36" spans="1:19">
      <c r="A36" s="27"/>
      <c r="B36" t="s">
        <v>54</v>
      </c>
      <c r="C36">
        <f ca="1">'Daily Sales(JAN)'!AH37</f>
        <v>178</v>
      </c>
      <c r="D36">
        <f ca="1">Februray!AH37</f>
        <v>136</v>
      </c>
      <c r="E36">
        <f ca="1">March!AH37</f>
        <v>168</v>
      </c>
      <c r="F36">
        <f ca="1">Aprail!AH37</f>
        <v>141</v>
      </c>
      <c r="G36">
        <f ca="1">May!AH37</f>
        <v>158</v>
      </c>
      <c r="H36">
        <f ca="1">June!AH37</f>
        <v>151</v>
      </c>
      <c r="I36">
        <f ca="1">July!AH37</f>
        <v>197</v>
      </c>
      <c r="J36">
        <f>August!AH37</f>
        <v>157</v>
      </c>
      <c r="K36">
        <f ca="1">September!AH37</f>
        <v>191</v>
      </c>
      <c r="L36" t="str">
        <f>October!AH37</f>
        <v/>
      </c>
      <c r="M36" t="str">
        <f>November!AH37</f>
        <v/>
      </c>
      <c r="N36" t="str">
        <f>December!AH37</f>
        <v/>
      </c>
      <c r="O36">
        <f t="shared" ca="1" si="0"/>
        <v>1477</v>
      </c>
      <c r="P36" t="s">
        <v>22</v>
      </c>
      <c r="Q36">
        <f ca="1">SUM(C36:OFFSET(C36,0,$R$2-1))</f>
        <v>623</v>
      </c>
      <c r="S36" s="3">
        <f t="shared" ca="1" si="1"/>
        <v>164.11111111111111</v>
      </c>
    </row>
    <row r="37" spans="1:19">
      <c r="A37" s="27"/>
      <c r="B37" t="s">
        <v>55</v>
      </c>
      <c r="C37">
        <f ca="1">'Daily Sales(JAN)'!AH38</f>
        <v>185</v>
      </c>
      <c r="D37">
        <f ca="1">Februray!AH38</f>
        <v>151</v>
      </c>
      <c r="E37">
        <f ca="1">March!AH38</f>
        <v>170</v>
      </c>
      <c r="F37">
        <f ca="1">Aprail!AH38</f>
        <v>193</v>
      </c>
      <c r="G37">
        <f ca="1">May!AH38</f>
        <v>153</v>
      </c>
      <c r="H37">
        <f ca="1">June!AH38</f>
        <v>173</v>
      </c>
      <c r="I37">
        <f ca="1">July!AH38</f>
        <v>181</v>
      </c>
      <c r="J37">
        <f>August!AH38</f>
        <v>136</v>
      </c>
      <c r="K37">
        <f ca="1">September!AH38</f>
        <v>152</v>
      </c>
      <c r="L37" t="str">
        <f>October!AH38</f>
        <v/>
      </c>
      <c r="M37" t="str">
        <f>November!AH38</f>
        <v/>
      </c>
      <c r="N37" t="str">
        <f>December!AH38</f>
        <v/>
      </c>
      <c r="O37">
        <f t="shared" ca="1" si="0"/>
        <v>1494</v>
      </c>
      <c r="P37" t="s">
        <v>22</v>
      </c>
      <c r="Q37">
        <f ca="1">SUM(C37:OFFSET(C37,0,$R$2-1))</f>
        <v>699</v>
      </c>
      <c r="S37" s="3">
        <f t="shared" ca="1" si="1"/>
        <v>166</v>
      </c>
    </row>
    <row r="38" spans="1:19">
      <c r="A38" s="27"/>
      <c r="B38" t="s">
        <v>56</v>
      </c>
      <c r="C38">
        <f ca="1">'Daily Sales(JAN)'!AH39</f>
        <v>151</v>
      </c>
      <c r="D38">
        <f ca="1">Februray!AH39</f>
        <v>153</v>
      </c>
      <c r="E38">
        <f ca="1">March!AH39</f>
        <v>178</v>
      </c>
      <c r="F38">
        <f ca="1">Aprail!AH39</f>
        <v>155</v>
      </c>
      <c r="G38">
        <f ca="1">May!AH39</f>
        <v>146</v>
      </c>
      <c r="H38">
        <f ca="1">June!AH39</f>
        <v>150</v>
      </c>
      <c r="I38">
        <f ca="1">July!AH39</f>
        <v>181</v>
      </c>
      <c r="J38">
        <f>August!AH39</f>
        <v>164</v>
      </c>
      <c r="K38">
        <f ca="1">September!AH39</f>
        <v>171</v>
      </c>
      <c r="L38" t="str">
        <f>October!AH39</f>
        <v/>
      </c>
      <c r="M38" t="str">
        <f>November!AH39</f>
        <v/>
      </c>
      <c r="N38" t="str">
        <f>December!AH39</f>
        <v/>
      </c>
      <c r="O38">
        <f t="shared" ca="1" si="0"/>
        <v>1449</v>
      </c>
      <c r="P38" t="s">
        <v>22</v>
      </c>
      <c r="Q38">
        <f ca="1">SUM(C38:OFFSET(C38,0,$R$2-1))</f>
        <v>637</v>
      </c>
      <c r="S38" s="3">
        <f t="shared" ca="1" si="1"/>
        <v>161</v>
      </c>
    </row>
    <row r="39" spans="1:19">
      <c r="A39" s="27"/>
      <c r="B39" t="s">
        <v>57</v>
      </c>
      <c r="C39">
        <f ca="1">'Daily Sales(JAN)'!AH40</f>
        <v>185</v>
      </c>
      <c r="D39">
        <f ca="1">Februray!AH40</f>
        <v>190</v>
      </c>
      <c r="E39">
        <f ca="1">March!AH40</f>
        <v>172</v>
      </c>
      <c r="F39">
        <f ca="1">Aprail!AH40</f>
        <v>162</v>
      </c>
      <c r="G39">
        <f ca="1">May!AH40</f>
        <v>176</v>
      </c>
      <c r="H39">
        <f ca="1">June!AH40</f>
        <v>165</v>
      </c>
      <c r="I39">
        <f ca="1">July!AH40</f>
        <v>156</v>
      </c>
      <c r="J39">
        <f>August!AH40</f>
        <v>162</v>
      </c>
      <c r="K39">
        <f ca="1">September!AH40</f>
        <v>182</v>
      </c>
      <c r="L39" t="str">
        <f>October!AH40</f>
        <v/>
      </c>
      <c r="M39" t="str">
        <f>November!AH40</f>
        <v/>
      </c>
      <c r="N39" t="str">
        <f>December!AH40</f>
        <v/>
      </c>
      <c r="O39">
        <f t="shared" ca="1" si="0"/>
        <v>1550</v>
      </c>
      <c r="P39" t="s">
        <v>22</v>
      </c>
      <c r="Q39">
        <f ca="1">SUM(C39:OFFSET(C39,0,$R$2-1))</f>
        <v>709</v>
      </c>
      <c r="S39" s="3">
        <f t="shared" ca="1" si="1"/>
        <v>172.22222222222223</v>
      </c>
    </row>
    <row r="40" spans="1:19">
      <c r="A40" s="27"/>
      <c r="B40" t="s">
        <v>58</v>
      </c>
      <c r="C40">
        <f ca="1">'Daily Sales(JAN)'!AH41</f>
        <v>166</v>
      </c>
      <c r="D40">
        <f ca="1">Februray!AH41</f>
        <v>173</v>
      </c>
      <c r="E40">
        <f ca="1">March!AH41</f>
        <v>185</v>
      </c>
      <c r="F40">
        <f ca="1">Aprail!AH41</f>
        <v>163</v>
      </c>
      <c r="G40">
        <f ca="1">May!AH41</f>
        <v>165</v>
      </c>
      <c r="H40">
        <f ca="1">June!AH41</f>
        <v>186</v>
      </c>
      <c r="I40">
        <f ca="1">July!AH41</f>
        <v>177</v>
      </c>
      <c r="J40">
        <f>August!AH41</f>
        <v>165</v>
      </c>
      <c r="K40">
        <f ca="1">September!AH41</f>
        <v>180</v>
      </c>
      <c r="L40" t="str">
        <f>October!AH41</f>
        <v/>
      </c>
      <c r="M40" t="str">
        <f>November!AH41</f>
        <v/>
      </c>
      <c r="N40" t="str">
        <f>December!AH41</f>
        <v/>
      </c>
      <c r="O40">
        <f t="shared" ca="1" si="0"/>
        <v>1560</v>
      </c>
      <c r="P40" t="s">
        <v>22</v>
      </c>
      <c r="Q40">
        <f ca="1">SUM(C40:OFFSET(C40,0,$R$2-1))</f>
        <v>687</v>
      </c>
      <c r="S40" s="3">
        <f t="shared" ca="1" si="1"/>
        <v>173.33333333333334</v>
      </c>
    </row>
    <row r="41" spans="1:19">
      <c r="A41" s="27"/>
      <c r="B41" t="s">
        <v>59</v>
      </c>
      <c r="C41">
        <f ca="1">'Daily Sales(JAN)'!AH42</f>
        <v>158</v>
      </c>
      <c r="D41">
        <f ca="1">Februray!AH42</f>
        <v>156</v>
      </c>
      <c r="E41">
        <f ca="1">March!AH42</f>
        <v>172</v>
      </c>
      <c r="F41">
        <f ca="1">Aprail!AH42</f>
        <v>165</v>
      </c>
      <c r="G41">
        <f ca="1">May!AH42</f>
        <v>170</v>
      </c>
      <c r="H41">
        <f ca="1">June!AH42</f>
        <v>168</v>
      </c>
      <c r="I41">
        <f ca="1">July!AH42</f>
        <v>172</v>
      </c>
      <c r="J41">
        <f>August!AH42</f>
        <v>194</v>
      </c>
      <c r="K41">
        <f ca="1">September!AH42</f>
        <v>185</v>
      </c>
      <c r="L41" t="str">
        <f>October!AH42</f>
        <v/>
      </c>
      <c r="M41" t="str">
        <f>November!AH42</f>
        <v/>
      </c>
      <c r="N41" t="str">
        <f>December!AH42</f>
        <v/>
      </c>
      <c r="O41">
        <f t="shared" ca="1" si="0"/>
        <v>1540</v>
      </c>
      <c r="P41" t="s">
        <v>22</v>
      </c>
      <c r="Q41">
        <f ca="1">SUM(C41:OFFSET(C41,0,$R$2-1))</f>
        <v>651</v>
      </c>
      <c r="S41" s="3">
        <f t="shared" ca="1" si="1"/>
        <v>171.11111111111111</v>
      </c>
    </row>
    <row r="42" spans="1:19">
      <c r="A42" s="27"/>
      <c r="B42" t="s">
        <v>60</v>
      </c>
      <c r="C42">
        <f ca="1">'Daily Sales(JAN)'!AH43</f>
        <v>153</v>
      </c>
      <c r="D42">
        <f ca="1">Februray!AH43</f>
        <v>179</v>
      </c>
      <c r="E42">
        <f ca="1">March!AH43</f>
        <v>180</v>
      </c>
      <c r="F42">
        <f ca="1">Aprail!AH43</f>
        <v>165</v>
      </c>
      <c r="G42">
        <f ca="1">May!AH43</f>
        <v>185</v>
      </c>
      <c r="H42">
        <f ca="1">June!AH43</f>
        <v>168</v>
      </c>
      <c r="I42">
        <f ca="1">July!AH43</f>
        <v>166</v>
      </c>
      <c r="J42">
        <f>August!AH43</f>
        <v>150</v>
      </c>
      <c r="K42">
        <f ca="1">September!AH43</f>
        <v>166</v>
      </c>
      <c r="L42" t="str">
        <f>October!AH43</f>
        <v/>
      </c>
      <c r="M42" t="str">
        <f>November!AH43</f>
        <v/>
      </c>
      <c r="N42" t="str">
        <f>December!AH43</f>
        <v/>
      </c>
      <c r="O42">
        <f t="shared" ca="1" si="0"/>
        <v>1512</v>
      </c>
      <c r="P42" t="s">
        <v>22</v>
      </c>
      <c r="Q42">
        <f ca="1">SUM(C42:OFFSET(C42,0,$R$2-1))</f>
        <v>677</v>
      </c>
      <c r="S42" s="3">
        <f t="shared" ca="1" si="1"/>
        <v>168</v>
      </c>
    </row>
    <row r="43" spans="1:19">
      <c r="A43" s="27"/>
      <c r="B43" t="s">
        <v>61</v>
      </c>
      <c r="C43">
        <f ca="1">'Daily Sales(JAN)'!AH44</f>
        <v>149</v>
      </c>
      <c r="D43">
        <f ca="1">Februray!AH44</f>
        <v>161</v>
      </c>
      <c r="E43">
        <f ca="1">March!AH44</f>
        <v>155</v>
      </c>
      <c r="F43">
        <f ca="1">Aprail!AH44</f>
        <v>153</v>
      </c>
      <c r="G43">
        <f ca="1">May!AH44</f>
        <v>188</v>
      </c>
      <c r="H43">
        <f ca="1">June!AH44</f>
        <v>173</v>
      </c>
      <c r="I43">
        <f ca="1">July!AH44</f>
        <v>149</v>
      </c>
      <c r="J43">
        <f>August!AH44</f>
        <v>200</v>
      </c>
      <c r="K43">
        <f ca="1">September!AH44</f>
        <v>141</v>
      </c>
      <c r="L43" t="str">
        <f>October!AH44</f>
        <v/>
      </c>
      <c r="M43" t="str">
        <f>November!AH44</f>
        <v/>
      </c>
      <c r="N43" t="str">
        <f>December!AH44</f>
        <v/>
      </c>
      <c r="O43">
        <f t="shared" ca="1" si="0"/>
        <v>1469</v>
      </c>
      <c r="P43" t="s">
        <v>22</v>
      </c>
      <c r="Q43">
        <f ca="1">SUM(C43:OFFSET(C43,0,$R$2-1))</f>
        <v>618</v>
      </c>
      <c r="S43" s="3">
        <f t="shared" ca="1" si="1"/>
        <v>163.22222222222223</v>
      </c>
    </row>
    <row r="44" spans="1:19">
      <c r="A44" s="27"/>
      <c r="B44" t="s">
        <v>62</v>
      </c>
      <c r="C44">
        <f ca="1">'Daily Sales(JAN)'!AH45</f>
        <v>165</v>
      </c>
      <c r="D44">
        <f ca="1">Februray!AH45</f>
        <v>167</v>
      </c>
      <c r="E44">
        <f ca="1">March!AH45</f>
        <v>161</v>
      </c>
      <c r="F44">
        <f ca="1">Aprail!AH45</f>
        <v>138</v>
      </c>
      <c r="G44">
        <f ca="1">May!AH45</f>
        <v>157</v>
      </c>
      <c r="H44">
        <f ca="1">June!AH45</f>
        <v>169</v>
      </c>
      <c r="I44">
        <f ca="1">July!AH45</f>
        <v>172</v>
      </c>
      <c r="J44">
        <f>August!AH45</f>
        <v>186</v>
      </c>
      <c r="K44">
        <f ca="1">September!AH45</f>
        <v>162</v>
      </c>
      <c r="L44" t="str">
        <f>October!AH45</f>
        <v/>
      </c>
      <c r="M44" t="str">
        <f>November!AH45</f>
        <v/>
      </c>
      <c r="N44" t="str">
        <f>December!AH45</f>
        <v/>
      </c>
      <c r="O44">
        <f t="shared" ca="1" si="0"/>
        <v>1477</v>
      </c>
      <c r="P44" t="s">
        <v>22</v>
      </c>
      <c r="Q44">
        <f ca="1">SUM(C44:OFFSET(C44,0,$R$2-1))</f>
        <v>631</v>
      </c>
      <c r="S44" s="3">
        <f t="shared" ca="1" si="1"/>
        <v>164.11111111111111</v>
      </c>
    </row>
    <row r="45" spans="1:19">
      <c r="A45" s="27"/>
      <c r="B45" t="s">
        <v>63</v>
      </c>
      <c r="C45">
        <f ca="1">'Daily Sales(JAN)'!AH46</f>
        <v>174</v>
      </c>
      <c r="D45">
        <f ca="1">Februray!AH46</f>
        <v>165</v>
      </c>
      <c r="E45">
        <f ca="1">March!AH46</f>
        <v>152</v>
      </c>
      <c r="F45">
        <f ca="1">Aprail!AH46</f>
        <v>177</v>
      </c>
      <c r="G45">
        <f ca="1">May!AH46</f>
        <v>172</v>
      </c>
      <c r="H45">
        <f ca="1">June!AH46</f>
        <v>160</v>
      </c>
      <c r="I45">
        <f ca="1">July!AH46</f>
        <v>179</v>
      </c>
      <c r="J45">
        <f>August!AH46</f>
        <v>168</v>
      </c>
      <c r="K45">
        <f ca="1">September!AH46</f>
        <v>170</v>
      </c>
      <c r="L45" t="str">
        <f>October!AH46</f>
        <v/>
      </c>
      <c r="M45" t="str">
        <f>November!AH46</f>
        <v/>
      </c>
      <c r="N45" t="str">
        <f>December!AH46</f>
        <v/>
      </c>
      <c r="O45">
        <f t="shared" ca="1" si="0"/>
        <v>1517</v>
      </c>
      <c r="P45" t="s">
        <v>22</v>
      </c>
      <c r="Q45">
        <f ca="1">SUM(C45:OFFSET(C45,0,$R$2-1))</f>
        <v>668</v>
      </c>
      <c r="S45" s="3">
        <f t="shared" ca="1" si="1"/>
        <v>168.55555555555554</v>
      </c>
    </row>
    <row r="46" spans="1:19">
      <c r="A46" s="27"/>
      <c r="B46" t="s">
        <v>64</v>
      </c>
      <c r="C46">
        <f ca="1">'Daily Sales(JAN)'!AH47</f>
        <v>170</v>
      </c>
      <c r="D46">
        <f ca="1">Februray!AH47</f>
        <v>198</v>
      </c>
      <c r="E46">
        <f ca="1">March!AH47</f>
        <v>170</v>
      </c>
      <c r="F46">
        <f ca="1">Aprail!AH47</f>
        <v>153</v>
      </c>
      <c r="G46">
        <f ca="1">May!AH47</f>
        <v>129</v>
      </c>
      <c r="H46">
        <f ca="1">June!AH47</f>
        <v>176</v>
      </c>
      <c r="I46">
        <f ca="1">July!AH47</f>
        <v>185</v>
      </c>
      <c r="J46">
        <f>August!AH47</f>
        <v>197</v>
      </c>
      <c r="K46">
        <f ca="1">September!AH47</f>
        <v>144</v>
      </c>
      <c r="L46" t="str">
        <f>October!AH47</f>
        <v/>
      </c>
      <c r="M46" t="str">
        <f>November!AH47</f>
        <v/>
      </c>
      <c r="N46" t="str">
        <f>December!AH47</f>
        <v/>
      </c>
      <c r="O46">
        <f t="shared" ca="1" si="0"/>
        <v>1522</v>
      </c>
      <c r="P46" t="s">
        <v>22</v>
      </c>
      <c r="Q46">
        <f ca="1">SUM(C46:OFFSET(C46,0,$R$2-1))</f>
        <v>691</v>
      </c>
      <c r="S46" s="3">
        <f t="shared" ca="1" si="1"/>
        <v>169.11111111111111</v>
      </c>
    </row>
    <row r="47" spans="1:19">
      <c r="A47" s="27"/>
      <c r="B47" t="s">
        <v>65</v>
      </c>
      <c r="C47">
        <f ca="1">'Daily Sales(JAN)'!AH48</f>
        <v>178</v>
      </c>
      <c r="D47">
        <f ca="1">Februray!AH48</f>
        <v>156</v>
      </c>
      <c r="E47">
        <f ca="1">March!AH48</f>
        <v>205</v>
      </c>
      <c r="F47">
        <f ca="1">Aprail!AH48</f>
        <v>112</v>
      </c>
      <c r="G47">
        <f ca="1">May!AH48</f>
        <v>185</v>
      </c>
      <c r="H47">
        <f ca="1">June!AH48</f>
        <v>169</v>
      </c>
      <c r="I47">
        <f ca="1">July!AH48</f>
        <v>171</v>
      </c>
      <c r="J47">
        <f>August!AH48</f>
        <v>201</v>
      </c>
      <c r="K47">
        <f ca="1">September!AH48</f>
        <v>165</v>
      </c>
      <c r="L47" t="str">
        <f>October!AH48</f>
        <v/>
      </c>
      <c r="M47" t="str">
        <f>November!AH48</f>
        <v/>
      </c>
      <c r="N47" t="str">
        <f>December!AH48</f>
        <v/>
      </c>
      <c r="O47">
        <f t="shared" ca="1" si="0"/>
        <v>1542</v>
      </c>
      <c r="P47" t="s">
        <v>22</v>
      </c>
      <c r="Q47">
        <f ca="1">SUM(C47:OFFSET(C47,0,$R$2-1))</f>
        <v>651</v>
      </c>
      <c r="S47" s="3">
        <f t="shared" ca="1" si="1"/>
        <v>171.33333333333334</v>
      </c>
    </row>
    <row r="48" spans="1:19">
      <c r="A48" s="27"/>
      <c r="B48" t="s">
        <v>66</v>
      </c>
      <c r="C48">
        <f ca="1">'Daily Sales(JAN)'!AH49</f>
        <v>183</v>
      </c>
      <c r="D48">
        <f ca="1">Februray!AH49</f>
        <v>168</v>
      </c>
      <c r="E48">
        <f ca="1">March!AH49</f>
        <v>158</v>
      </c>
      <c r="F48">
        <f ca="1">Aprail!AH49</f>
        <v>146</v>
      </c>
      <c r="G48">
        <f ca="1">May!AH49</f>
        <v>186</v>
      </c>
      <c r="H48">
        <f ca="1">June!AH49</f>
        <v>184</v>
      </c>
      <c r="I48">
        <f ca="1">July!AH49</f>
        <v>195</v>
      </c>
      <c r="J48">
        <f>August!AH49</f>
        <v>154</v>
      </c>
      <c r="K48">
        <f ca="1">September!AH49</f>
        <v>192</v>
      </c>
      <c r="L48" t="str">
        <f>October!AH49</f>
        <v/>
      </c>
      <c r="M48" t="str">
        <f>November!AH49</f>
        <v/>
      </c>
      <c r="N48" t="str">
        <f>December!AH49</f>
        <v/>
      </c>
      <c r="O48">
        <f t="shared" ca="1" si="0"/>
        <v>1566</v>
      </c>
      <c r="P48" t="s">
        <v>22</v>
      </c>
      <c r="Q48">
        <f ca="1">SUM(C48:OFFSET(C48,0,$R$2-1))</f>
        <v>655</v>
      </c>
      <c r="S48" s="3">
        <f t="shared" ca="1" si="1"/>
        <v>174</v>
      </c>
    </row>
    <row r="49" spans="1:19">
      <c r="A49" s="27"/>
      <c r="B49" t="s">
        <v>67</v>
      </c>
      <c r="C49">
        <f ca="1">'Daily Sales(JAN)'!AH50</f>
        <v>160</v>
      </c>
      <c r="D49">
        <f ca="1">Februray!AH50</f>
        <v>173</v>
      </c>
      <c r="E49">
        <f ca="1">March!AH50</f>
        <v>159</v>
      </c>
      <c r="F49">
        <f ca="1">Aprail!AH50</f>
        <v>156</v>
      </c>
      <c r="G49">
        <f ca="1">May!AH50</f>
        <v>168</v>
      </c>
      <c r="H49">
        <f ca="1">June!AH50</f>
        <v>150</v>
      </c>
      <c r="I49">
        <f ca="1">July!AH50</f>
        <v>177</v>
      </c>
      <c r="J49">
        <f>August!AH50</f>
        <v>175</v>
      </c>
      <c r="K49">
        <f ca="1">September!AH50</f>
        <v>152</v>
      </c>
      <c r="L49" t="str">
        <f>October!AH50</f>
        <v/>
      </c>
      <c r="M49" t="str">
        <f>November!AH50</f>
        <v/>
      </c>
      <c r="N49" t="str">
        <f>December!AH50</f>
        <v/>
      </c>
      <c r="O49">
        <f t="shared" ca="1" si="0"/>
        <v>1470</v>
      </c>
      <c r="P49" t="s">
        <v>22</v>
      </c>
      <c r="Q49">
        <f ca="1">SUM(C49:OFFSET(C49,0,$R$2-1))</f>
        <v>648</v>
      </c>
      <c r="S49" s="3">
        <f t="shared" ca="1" si="1"/>
        <v>163.33333333333334</v>
      </c>
    </row>
    <row r="50" spans="1:19">
      <c r="A50" s="27"/>
      <c r="B50" t="s">
        <v>68</v>
      </c>
      <c r="C50">
        <f ca="1">'Daily Sales(JAN)'!AH51</f>
        <v>153</v>
      </c>
      <c r="D50">
        <f ca="1">Februray!AH51</f>
        <v>164</v>
      </c>
      <c r="E50">
        <f ca="1">March!AH51</f>
        <v>196</v>
      </c>
      <c r="F50">
        <f ca="1">Aprail!AH51</f>
        <v>156</v>
      </c>
      <c r="G50">
        <f ca="1">May!AH51</f>
        <v>171</v>
      </c>
      <c r="H50">
        <f ca="1">June!AH51</f>
        <v>153</v>
      </c>
      <c r="I50">
        <f ca="1">July!AH51</f>
        <v>167</v>
      </c>
      <c r="J50">
        <f>August!AH51</f>
        <v>184</v>
      </c>
      <c r="K50">
        <f ca="1">September!AH51</f>
        <v>161</v>
      </c>
      <c r="L50" t="str">
        <f>October!AH51</f>
        <v/>
      </c>
      <c r="M50" t="str">
        <f>November!AH51</f>
        <v/>
      </c>
      <c r="N50" t="str">
        <f>December!AH51</f>
        <v/>
      </c>
      <c r="O50">
        <f t="shared" ca="1" si="0"/>
        <v>1505</v>
      </c>
      <c r="P50" t="s">
        <v>22</v>
      </c>
      <c r="Q50">
        <f ca="1">SUM(C50:OFFSET(C50,0,$R$2-1))</f>
        <v>669</v>
      </c>
      <c r="S50" s="3">
        <f t="shared" ca="1" si="1"/>
        <v>167.22222222222223</v>
      </c>
    </row>
    <row r="51" spans="1:19">
      <c r="A51" s="27"/>
      <c r="B51" t="s">
        <v>69</v>
      </c>
      <c r="C51">
        <f ca="1">'Daily Sales(JAN)'!AH52</f>
        <v>170</v>
      </c>
      <c r="D51">
        <f ca="1">Februray!AH52</f>
        <v>149</v>
      </c>
      <c r="E51">
        <f ca="1">March!AH52</f>
        <v>194</v>
      </c>
      <c r="F51">
        <f ca="1">Aprail!AH52</f>
        <v>182</v>
      </c>
      <c r="G51">
        <f ca="1">May!AH52</f>
        <v>190</v>
      </c>
      <c r="H51">
        <f ca="1">June!AH52</f>
        <v>137</v>
      </c>
      <c r="I51">
        <f ca="1">July!AH52</f>
        <v>164</v>
      </c>
      <c r="J51">
        <f>August!AH52</f>
        <v>161</v>
      </c>
      <c r="K51">
        <f ca="1">September!AH52</f>
        <v>161</v>
      </c>
      <c r="L51" t="str">
        <f>October!AH52</f>
        <v/>
      </c>
      <c r="M51" t="str">
        <f>November!AH52</f>
        <v/>
      </c>
      <c r="N51" t="str">
        <f>December!AH52</f>
        <v/>
      </c>
      <c r="O51">
        <f t="shared" ca="1" si="0"/>
        <v>1508</v>
      </c>
      <c r="P51" t="s">
        <v>22</v>
      </c>
      <c r="Q51">
        <f ca="1">SUM(C51:OFFSET(C51,0,$R$2-1))</f>
        <v>695</v>
      </c>
      <c r="S51" s="3">
        <f t="shared" ca="1" si="1"/>
        <v>167.55555555555554</v>
      </c>
    </row>
    <row r="52" spans="1:19">
      <c r="A52" s="27"/>
      <c r="B52" t="s">
        <v>70</v>
      </c>
      <c r="C52">
        <f ca="1">'Daily Sales(JAN)'!AH53</f>
        <v>153</v>
      </c>
      <c r="D52">
        <f ca="1">Februray!AH53</f>
        <v>146</v>
      </c>
      <c r="E52">
        <f ca="1">March!AH53</f>
        <v>174</v>
      </c>
      <c r="F52">
        <f ca="1">Aprail!AH53</f>
        <v>196</v>
      </c>
      <c r="G52">
        <f ca="1">May!AH53</f>
        <v>178</v>
      </c>
      <c r="H52">
        <f ca="1">June!AH53</f>
        <v>174</v>
      </c>
      <c r="I52">
        <f ca="1">July!AH53</f>
        <v>188</v>
      </c>
      <c r="J52">
        <f>August!AH53</f>
        <v>181</v>
      </c>
      <c r="K52">
        <f ca="1">September!AH53</f>
        <v>175</v>
      </c>
      <c r="L52" t="str">
        <f>October!AH53</f>
        <v/>
      </c>
      <c r="M52" t="str">
        <f>November!AH53</f>
        <v/>
      </c>
      <c r="N52" t="str">
        <f>December!AH53</f>
        <v/>
      </c>
      <c r="O52">
        <f t="shared" ca="1" si="0"/>
        <v>1565</v>
      </c>
      <c r="P52" t="s">
        <v>22</v>
      </c>
      <c r="Q52">
        <f ca="1">SUM(C52:OFFSET(C52,0,$R$2-1))</f>
        <v>669</v>
      </c>
      <c r="S52" s="3">
        <f t="shared" ca="1" si="1"/>
        <v>173.88888888888889</v>
      </c>
    </row>
    <row r="53" spans="1:19">
      <c r="A53" s="27"/>
      <c r="B53" t="s">
        <v>71</v>
      </c>
      <c r="C53">
        <f ca="1">'Daily Sales(JAN)'!AH54</f>
        <v>183</v>
      </c>
      <c r="D53">
        <f ca="1">Februray!AH54</f>
        <v>154</v>
      </c>
      <c r="E53">
        <f ca="1">March!AH54</f>
        <v>160</v>
      </c>
      <c r="F53">
        <f ca="1">Aprail!AH54</f>
        <v>182</v>
      </c>
      <c r="G53">
        <f ca="1">May!AH54</f>
        <v>185</v>
      </c>
      <c r="H53">
        <f ca="1">June!AH54</f>
        <v>171</v>
      </c>
      <c r="I53">
        <f ca="1">July!AH54</f>
        <v>191</v>
      </c>
      <c r="J53">
        <f>August!AH54</f>
        <v>193</v>
      </c>
      <c r="K53">
        <f ca="1">September!AH54</f>
        <v>177</v>
      </c>
      <c r="L53" t="str">
        <f>October!AH54</f>
        <v/>
      </c>
      <c r="M53" t="str">
        <f>November!AH54</f>
        <v/>
      </c>
      <c r="N53" t="str">
        <f>December!AH54</f>
        <v/>
      </c>
      <c r="O53">
        <f t="shared" ca="1" si="0"/>
        <v>1596</v>
      </c>
      <c r="P53" t="s">
        <v>22</v>
      </c>
      <c r="Q53">
        <f ca="1">SUM(C53:OFFSET(C53,0,$R$2-1))</f>
        <v>679</v>
      </c>
      <c r="S53" s="3">
        <f t="shared" ca="1" si="1"/>
        <v>177.33333333333334</v>
      </c>
    </row>
    <row r="54" spans="1:19">
      <c r="A54" s="27"/>
      <c r="B54" t="s">
        <v>72</v>
      </c>
      <c r="C54">
        <f ca="1">'Daily Sales(JAN)'!AH55</f>
        <v>179</v>
      </c>
      <c r="D54">
        <f ca="1">Februray!AH55</f>
        <v>147</v>
      </c>
      <c r="E54">
        <f ca="1">March!AH55</f>
        <v>189</v>
      </c>
      <c r="F54">
        <f ca="1">Aprail!AH55</f>
        <v>175</v>
      </c>
      <c r="G54">
        <f ca="1">May!AH55</f>
        <v>202</v>
      </c>
      <c r="H54">
        <f ca="1">June!AH55</f>
        <v>181</v>
      </c>
      <c r="I54">
        <f ca="1">July!AH55</f>
        <v>168</v>
      </c>
      <c r="J54">
        <f>August!AH55</f>
        <v>178</v>
      </c>
      <c r="K54">
        <f ca="1">September!AH55</f>
        <v>198</v>
      </c>
      <c r="L54" t="str">
        <f>October!AH55</f>
        <v/>
      </c>
      <c r="M54" t="str">
        <f>November!AH55</f>
        <v/>
      </c>
      <c r="N54" t="str">
        <f>December!AH55</f>
        <v/>
      </c>
      <c r="O54">
        <f t="shared" ca="1" si="0"/>
        <v>1617</v>
      </c>
      <c r="P54" t="s">
        <v>22</v>
      </c>
      <c r="Q54">
        <f ca="1">SUM(C54:OFFSET(C54,0,$R$2-1))</f>
        <v>690</v>
      </c>
      <c r="S54" s="3">
        <f t="shared" ca="1" si="1"/>
        <v>179.66666666666666</v>
      </c>
    </row>
    <row r="55" spans="1:19">
      <c r="A55" s="27"/>
      <c r="B55" t="s">
        <v>73</v>
      </c>
      <c r="C55">
        <f ca="1">'Daily Sales(JAN)'!AH56</f>
        <v>176</v>
      </c>
      <c r="D55">
        <f ca="1">Februray!AH56</f>
        <v>172</v>
      </c>
      <c r="E55">
        <f ca="1">March!AH56</f>
        <v>185</v>
      </c>
      <c r="F55">
        <f ca="1">Aprail!AH56</f>
        <v>162</v>
      </c>
      <c r="G55">
        <f ca="1">May!AH56</f>
        <v>180</v>
      </c>
      <c r="H55">
        <f ca="1">June!AH56</f>
        <v>157</v>
      </c>
      <c r="I55">
        <f ca="1">July!AH56</f>
        <v>182</v>
      </c>
      <c r="J55">
        <f>August!AH56</f>
        <v>192</v>
      </c>
      <c r="K55">
        <f ca="1">September!AH56</f>
        <v>156</v>
      </c>
      <c r="L55" t="str">
        <f>October!AH56</f>
        <v/>
      </c>
      <c r="M55" t="str">
        <f>November!AH56</f>
        <v/>
      </c>
      <c r="N55" t="str">
        <f>December!AH56</f>
        <v/>
      </c>
      <c r="O55">
        <f t="shared" ca="1" si="0"/>
        <v>1562</v>
      </c>
      <c r="P55" t="s">
        <v>22</v>
      </c>
      <c r="Q55">
        <f ca="1">SUM(C55:OFFSET(C55,0,$R$2-1))</f>
        <v>695</v>
      </c>
      <c r="S55" s="3">
        <f t="shared" ca="1" si="1"/>
        <v>173.55555555555554</v>
      </c>
    </row>
    <row r="56" spans="1:19">
      <c r="A56" s="27"/>
      <c r="B56" t="s">
        <v>74</v>
      </c>
      <c r="C56">
        <f ca="1">'Daily Sales(JAN)'!AH57</f>
        <v>182</v>
      </c>
      <c r="D56">
        <f ca="1">Februray!AH57</f>
        <v>121</v>
      </c>
      <c r="E56">
        <f ca="1">March!AH57</f>
        <v>153</v>
      </c>
      <c r="F56">
        <f ca="1">Aprail!AH57</f>
        <v>187</v>
      </c>
      <c r="G56">
        <f ca="1">May!AH57</f>
        <v>180</v>
      </c>
      <c r="H56">
        <f ca="1">June!AH57</f>
        <v>137</v>
      </c>
      <c r="I56">
        <f ca="1">July!AH57</f>
        <v>174</v>
      </c>
      <c r="J56">
        <f>August!AH57</f>
        <v>162</v>
      </c>
      <c r="K56">
        <f ca="1">September!AH57</f>
        <v>153</v>
      </c>
      <c r="L56" t="str">
        <f>October!AH57</f>
        <v/>
      </c>
      <c r="M56" t="str">
        <f>November!AH57</f>
        <v/>
      </c>
      <c r="N56" t="str">
        <f>December!AH57</f>
        <v/>
      </c>
      <c r="O56">
        <f t="shared" ca="1" si="0"/>
        <v>1449</v>
      </c>
      <c r="P56" t="s">
        <v>22</v>
      </c>
      <c r="Q56">
        <f ca="1">SUM(C56:OFFSET(C56,0,$R$2-1))</f>
        <v>643</v>
      </c>
      <c r="S56" s="3">
        <f t="shared" ca="1" si="1"/>
        <v>161</v>
      </c>
    </row>
    <row r="57" spans="1:19">
      <c r="A57" s="27"/>
    </row>
    <row r="58" spans="1:19">
      <c r="A58" s="27"/>
    </row>
    <row r="59" spans="1:19">
      <c r="A59" s="27"/>
    </row>
    <row r="60" spans="1:19">
      <c r="A60" s="27"/>
    </row>
    <row r="61" spans="1:19">
      <c r="A61" s="27"/>
    </row>
    <row r="62" spans="1:19">
      <c r="A62" s="27"/>
    </row>
    <row r="63" spans="1:19">
      <c r="A63" s="27"/>
    </row>
    <row r="64" spans="1:19">
      <c r="A64" s="27"/>
    </row>
    <row r="65" spans="1:1">
      <c r="A65" s="27"/>
    </row>
    <row r="66" spans="1:1">
      <c r="A66" s="27"/>
    </row>
    <row r="67" spans="1:1">
      <c r="A67" s="27"/>
    </row>
    <row r="68" spans="1:1">
      <c r="A68" s="27"/>
    </row>
    <row r="69" spans="1:1">
      <c r="A69" s="27"/>
    </row>
    <row r="70" spans="1:1">
      <c r="A70" s="27"/>
    </row>
    <row r="71" spans="1:1">
      <c r="A71" s="27"/>
    </row>
    <row r="72" spans="1:1">
      <c r="A72" s="27"/>
    </row>
    <row r="73" spans="1:1">
      <c r="A73" s="27"/>
    </row>
    <row r="74" spans="1:1">
      <c r="A74" s="27"/>
    </row>
    <row r="75" spans="1:1">
      <c r="A75" s="27"/>
    </row>
    <row r="76" spans="1:1">
      <c r="A76" s="27"/>
    </row>
    <row r="77" spans="1:1">
      <c r="A77" s="27"/>
    </row>
    <row r="78" spans="1:1">
      <c r="A78" s="27"/>
    </row>
    <row r="79" spans="1:1">
      <c r="A79" s="27"/>
    </row>
    <row r="80" spans="1:1">
      <c r="A80" s="27"/>
    </row>
    <row r="81" spans="1:1">
      <c r="A81" s="27"/>
    </row>
    <row r="82" spans="1:1">
      <c r="A82" s="27"/>
    </row>
    <row r="83" spans="1:1">
      <c r="A83" s="27"/>
    </row>
    <row r="84" spans="1:1">
      <c r="A84" s="27"/>
    </row>
    <row r="85" spans="1:1">
      <c r="A85" s="27"/>
    </row>
    <row r="86" spans="1:1">
      <c r="A86" s="27"/>
    </row>
    <row r="87" spans="1:1">
      <c r="A87" s="27"/>
    </row>
  </sheetData>
  <mergeCells count="3">
    <mergeCell ref="A1:A29"/>
    <mergeCell ref="A30:A58"/>
    <mergeCell ref="A59:A87"/>
  </mergeCell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7" operator="containsText" id="{9CAE4B97-8827-4095-B9E2-BCFC49E4A4DD}">
            <xm:f>NOT(ISERROR(SEARCH(MAX($C$2:$N$2),C2)))</xm:f>
            <xm:f>MAX($C$2:$N$2)</xm:f>
            <x14:dxf>
              <font>
                <color rgb="FF006100"/>
              </font>
              <fill>
                <patternFill>
                  <bgColor rgb="FFC6EFCE"/>
                </patternFill>
              </fill>
            </x14:dxf>
          </x14:cfRule>
          <xm:sqref>C2:N56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P87"/>
  <sheetViews>
    <sheetView zoomScaleNormal="100" workbookViewId="0">
      <pane xSplit="1" topLeftCell="B1" activePane="topRight" state="frozenSplit"/>
      <selection pane="topRight" activeCell="B1" sqref="B1"/>
    </sheetView>
  </sheetViews>
  <sheetFormatPr defaultRowHeight="15"/>
  <cols>
    <col min="1" max="1" width="16.85546875" bestFit="1" customWidth="1"/>
    <col min="2" max="2" width="19.28515625" customWidth="1"/>
    <col min="3" max="3" width="5.140625" customWidth="1"/>
    <col min="4" max="4" width="4.28515625" customWidth="1"/>
    <col min="5" max="5" width="5.28515625" customWidth="1"/>
    <col min="6" max="6" width="4.28515625" customWidth="1"/>
    <col min="7" max="7" width="3.28515625" customWidth="1"/>
    <col min="8" max="8" width="3.7109375" customWidth="1"/>
    <col min="9" max="9" width="4.28515625" customWidth="1"/>
    <col min="10" max="10" width="5.140625" customWidth="1"/>
    <col min="11" max="11" width="4.28515625" customWidth="1"/>
    <col min="12" max="12" width="5.28515625" customWidth="1"/>
    <col min="13" max="13" width="4.28515625" customWidth="1"/>
    <col min="14" max="14" width="3.28515625" customWidth="1"/>
    <col min="15" max="15" width="3.7109375" customWidth="1"/>
    <col min="16" max="16" width="4.28515625" customWidth="1"/>
    <col min="17" max="17" width="5.140625" customWidth="1"/>
    <col min="18" max="18" width="4.28515625" customWidth="1"/>
    <col min="19" max="19" width="5.28515625" customWidth="1"/>
    <col min="20" max="20" width="4.28515625" customWidth="1"/>
    <col min="21" max="21" width="3.28515625" customWidth="1"/>
    <col min="22" max="22" width="3.7109375" customWidth="1"/>
    <col min="23" max="23" width="4.28515625" customWidth="1"/>
    <col min="24" max="24" width="5.140625" customWidth="1"/>
    <col min="25" max="25" width="4.28515625" customWidth="1"/>
    <col min="26" max="26" width="5.28515625" customWidth="1"/>
    <col min="27" max="27" width="4.28515625" customWidth="1"/>
    <col min="28" max="28" width="3.28515625" customWidth="1"/>
    <col min="29" max="29" width="3.7109375" customWidth="1"/>
    <col min="30" max="30" width="4.28515625" customWidth="1"/>
    <col min="31" max="31" width="5.140625" customWidth="1"/>
    <col min="32" max="32" width="4.28515625" customWidth="1"/>
    <col min="33" max="33" width="5.28515625" customWidth="1"/>
    <col min="34" max="34" width="10.42578125" customWidth="1"/>
    <col min="35" max="35" width="15.42578125" customWidth="1"/>
    <col min="36" max="36" width="10.7109375" customWidth="1"/>
    <col min="38" max="39" width="10.140625" style="15" customWidth="1"/>
    <col min="40" max="40" width="12.42578125" customWidth="1"/>
    <col min="41" max="41" width="16.28515625" customWidth="1"/>
    <col min="42" max="42" width="12" customWidth="1"/>
  </cols>
  <sheetData>
    <row r="1" spans="1:42" ht="15" customHeight="1">
      <c r="A1" s="27"/>
      <c r="C1" s="8" t="str">
        <f>TEXT(C2,"DDD")</f>
        <v>Mon</v>
      </c>
      <c r="D1" s="8" t="str">
        <f t="shared" ref="D1:AG1" si="0">TEXT(D2,"DDD")</f>
        <v>Tue</v>
      </c>
      <c r="E1" s="8" t="str">
        <f t="shared" si="0"/>
        <v>Wed</v>
      </c>
      <c r="F1" s="8" t="str">
        <f t="shared" si="0"/>
        <v>Thu</v>
      </c>
      <c r="G1" s="8" t="str">
        <f t="shared" si="0"/>
        <v>Fri</v>
      </c>
      <c r="H1" s="8" t="str">
        <f t="shared" si="0"/>
        <v>Sat</v>
      </c>
      <c r="I1" s="8" t="str">
        <f t="shared" si="0"/>
        <v>Sun</v>
      </c>
      <c r="J1" s="8" t="str">
        <f t="shared" si="0"/>
        <v>Mon</v>
      </c>
      <c r="K1" s="8" t="str">
        <f t="shared" si="0"/>
        <v>Tue</v>
      </c>
      <c r="L1" s="8" t="str">
        <f t="shared" si="0"/>
        <v>Wed</v>
      </c>
      <c r="M1" s="8" t="str">
        <f t="shared" si="0"/>
        <v>Thu</v>
      </c>
      <c r="N1" s="8" t="str">
        <f t="shared" si="0"/>
        <v>Fri</v>
      </c>
      <c r="O1" s="8" t="str">
        <f t="shared" si="0"/>
        <v>Sat</v>
      </c>
      <c r="P1" s="8" t="str">
        <f t="shared" si="0"/>
        <v>Sun</v>
      </c>
      <c r="Q1" s="8" t="str">
        <f t="shared" si="0"/>
        <v>Mon</v>
      </c>
      <c r="R1" s="8" t="str">
        <f t="shared" si="0"/>
        <v>Tue</v>
      </c>
      <c r="S1" s="8" t="str">
        <f t="shared" si="0"/>
        <v>Wed</v>
      </c>
      <c r="T1" s="8" t="str">
        <f t="shared" si="0"/>
        <v>Thu</v>
      </c>
      <c r="U1" s="8" t="str">
        <f t="shared" si="0"/>
        <v>Fri</v>
      </c>
      <c r="V1" s="8" t="str">
        <f t="shared" si="0"/>
        <v>Sat</v>
      </c>
      <c r="W1" s="8" t="str">
        <f t="shared" si="0"/>
        <v>Sun</v>
      </c>
      <c r="X1" s="8" t="str">
        <f t="shared" si="0"/>
        <v>Mon</v>
      </c>
      <c r="Y1" s="8" t="str">
        <f t="shared" si="0"/>
        <v>Tue</v>
      </c>
      <c r="Z1" s="8" t="str">
        <f t="shared" si="0"/>
        <v>Wed</v>
      </c>
      <c r="AA1" s="8" t="str">
        <f t="shared" si="0"/>
        <v>Thu</v>
      </c>
      <c r="AB1" s="8" t="str">
        <f t="shared" si="0"/>
        <v>Fri</v>
      </c>
      <c r="AC1" s="8" t="str">
        <f t="shared" si="0"/>
        <v>Sat</v>
      </c>
      <c r="AD1" s="8" t="str">
        <f t="shared" si="0"/>
        <v>Sun</v>
      </c>
      <c r="AE1" s="8" t="str">
        <f t="shared" si="0"/>
        <v>Mon</v>
      </c>
      <c r="AF1" s="8" t="str">
        <f t="shared" si="0"/>
        <v>Tue</v>
      </c>
      <c r="AG1" s="8" t="str">
        <f t="shared" si="0"/>
        <v>Wed</v>
      </c>
      <c r="AH1" s="28" t="s">
        <v>75</v>
      </c>
      <c r="AI1" s="28" t="s">
        <v>76</v>
      </c>
      <c r="AJ1" s="30" t="s">
        <v>77</v>
      </c>
      <c r="AK1" s="28" t="s">
        <v>78</v>
      </c>
      <c r="AL1" s="29" t="s">
        <v>79</v>
      </c>
      <c r="AM1" s="29" t="s">
        <v>80</v>
      </c>
      <c r="AO1" s="5" t="s">
        <v>81</v>
      </c>
      <c r="AP1" s="10" t="s">
        <v>82</v>
      </c>
    </row>
    <row r="2" spans="1:42" ht="60" customHeight="1">
      <c r="A2" s="27"/>
      <c r="B2" s="1" t="s">
        <v>0</v>
      </c>
      <c r="C2" s="9">
        <f>IF(COLUMNS($C$2:C2)&gt;DAY($AP$4),"",$AP$3+COLUMNS($C$2:C2)-1)</f>
        <v>45292</v>
      </c>
      <c r="D2" s="9">
        <f>IF(COLUMNS($C$2:D2)&gt;DAY($AP$4),"",$AP$3+COLUMNS($C$2:D2)-1)</f>
        <v>45293</v>
      </c>
      <c r="E2" s="9">
        <f>IF(COLUMNS($C$2:E2)&gt;DAY($AP$4),"",$AP$3+COLUMNS($C$2:E2)-1)</f>
        <v>45294</v>
      </c>
      <c r="F2" s="9">
        <f>IF(COLUMNS($C$2:F2)&gt;DAY($AP$4),"",$AP$3+COLUMNS($C$2:F2)-1)</f>
        <v>45295</v>
      </c>
      <c r="G2" s="9">
        <f>IF(COLUMNS($C$2:G2)&gt;DAY($AP$4),"",$AP$3+COLUMNS($C$2:G2)-1)</f>
        <v>45296</v>
      </c>
      <c r="H2" s="9">
        <f>IF(COLUMNS($C$2:H2)&gt;DAY($AP$4),"",$AP$3+COLUMNS($C$2:H2)-1)</f>
        <v>45297</v>
      </c>
      <c r="I2" s="9">
        <f>IF(COLUMNS($C$2:I2)&gt;DAY($AP$4),"",$AP$3+COLUMNS($C$2:I2)-1)</f>
        <v>45298</v>
      </c>
      <c r="J2" s="9">
        <f>IF(COLUMNS($C$2:J2)&gt;DAY($AP$4),"",$AP$3+COLUMNS($C$2:J2)-1)</f>
        <v>45299</v>
      </c>
      <c r="K2" s="9">
        <f>IF(COLUMNS($C$2:K2)&gt;DAY($AP$4),"",$AP$3+COLUMNS($C$2:K2)-1)</f>
        <v>45300</v>
      </c>
      <c r="L2" s="9">
        <f>IF(COLUMNS($C$2:L2)&gt;DAY($AP$4),"",$AP$3+COLUMNS($C$2:L2)-1)</f>
        <v>45301</v>
      </c>
      <c r="M2" s="9">
        <f>IF(COLUMNS($C$2:M2)&gt;DAY($AP$4),"",$AP$3+COLUMNS($C$2:M2)-1)</f>
        <v>45302</v>
      </c>
      <c r="N2" s="9">
        <f>IF(COLUMNS($C$2:N2)&gt;DAY($AP$4),"",$AP$3+COLUMNS($C$2:N2)-1)</f>
        <v>45303</v>
      </c>
      <c r="O2" s="9">
        <f>IF(COLUMNS($C$2:O2)&gt;DAY($AP$4),"",$AP$3+COLUMNS($C$2:O2)-1)</f>
        <v>45304</v>
      </c>
      <c r="P2" s="9">
        <f>IF(COLUMNS($C$2:P2)&gt;DAY($AP$4),"",$AP$3+COLUMNS($C$2:P2)-1)</f>
        <v>45305</v>
      </c>
      <c r="Q2" s="9">
        <f>IF(COLUMNS($C$2:Q2)&gt;DAY($AP$4),"",$AP$3+COLUMNS($C$2:Q2)-1)</f>
        <v>45306</v>
      </c>
      <c r="R2" s="9">
        <f>IF(COLUMNS($C$2:R2)&gt;DAY($AP$4),"",$AP$3+COLUMNS($C$2:R2)-1)</f>
        <v>45307</v>
      </c>
      <c r="S2" s="9">
        <f>IF(COLUMNS($C$2:S2)&gt;DAY($AP$4),"",$AP$3+COLUMNS($C$2:S2)-1)</f>
        <v>45308</v>
      </c>
      <c r="T2" s="9">
        <f>IF(COLUMNS($C$2:T2)&gt;DAY($AP$4),"",$AP$3+COLUMNS($C$2:T2)-1)</f>
        <v>45309</v>
      </c>
      <c r="U2" s="9">
        <f>IF(COLUMNS($C$2:U2)&gt;DAY($AP$4),"",$AP$3+COLUMNS($C$2:U2)-1)</f>
        <v>45310</v>
      </c>
      <c r="V2" s="9">
        <f>IF(COLUMNS($C$2:V2)&gt;DAY($AP$4),"",$AP$3+COLUMNS($C$2:V2)-1)</f>
        <v>45311</v>
      </c>
      <c r="W2" s="9">
        <f>IF(COLUMNS($C$2:W2)&gt;DAY($AP$4),"",$AP$3+COLUMNS($C$2:W2)-1)</f>
        <v>45312</v>
      </c>
      <c r="X2" s="9">
        <f>IF(COLUMNS($C$2:X2)&gt;DAY($AP$4),"",$AP$3+COLUMNS($C$2:X2)-1)</f>
        <v>45313</v>
      </c>
      <c r="Y2" s="9">
        <f>IF(COLUMNS($C$2:Y2)&gt;DAY($AP$4),"",$AP$3+COLUMNS($C$2:Y2)-1)</f>
        <v>45314</v>
      </c>
      <c r="Z2" s="9">
        <f>IF(COLUMNS($C$2:Z2)&gt;DAY($AP$4),"",$AP$3+COLUMNS($C$2:Z2)-1)</f>
        <v>45315</v>
      </c>
      <c r="AA2" s="9">
        <f>IF(COLUMNS($C$2:AA2)&gt;DAY($AP$4),"",$AP$3+COLUMNS($C$2:AA2)-1)</f>
        <v>45316</v>
      </c>
      <c r="AB2" s="9">
        <f>IF(COLUMNS($C$2:AB2)&gt;DAY($AP$4),"",$AP$3+COLUMNS($C$2:AB2)-1)</f>
        <v>45317</v>
      </c>
      <c r="AC2" s="9">
        <f>IF(COLUMNS($C$2:AC2)&gt;DAY($AP$4),"",$AP$3+COLUMNS($C$2:AC2)-1)</f>
        <v>45318</v>
      </c>
      <c r="AD2" s="9">
        <f>IF(COLUMNS($C$2:AD2)&gt;DAY($AP$4),"",$AP$3+COLUMNS($C$2:AD2)-1)</f>
        <v>45319</v>
      </c>
      <c r="AE2" s="9">
        <f>IF(COLUMNS($C$2:AE2)&gt;DAY($AP$4),"",$AP$3+COLUMNS($C$2:AE2)-1)</f>
        <v>45320</v>
      </c>
      <c r="AF2" s="9">
        <f>IF(COLUMNS($C$2:AF2)&gt;DAY($AP$4),"",$AP$3+COLUMNS($C$2:AF2)-1)</f>
        <v>45321</v>
      </c>
      <c r="AG2" s="9">
        <f>IF(COLUMNS($C$2:AG2)&gt;DAY($AP$4),"",$AP$3+COLUMNS($C$2:AG2)-1)</f>
        <v>45322</v>
      </c>
      <c r="AH2" s="28"/>
      <c r="AI2" s="28"/>
      <c r="AJ2" s="30"/>
      <c r="AK2" s="28"/>
      <c r="AL2" s="29"/>
      <c r="AM2" s="29"/>
      <c r="AO2" s="6" t="s">
        <v>83</v>
      </c>
      <c r="AP2" s="11">
        <v>2024</v>
      </c>
    </row>
    <row r="3" spans="1:42">
      <c r="A3" s="27"/>
      <c r="B3" t="s">
        <v>18</v>
      </c>
      <c r="C3">
        <f ca="1">RANDBETWEEN(1,10)</f>
        <v>1</v>
      </c>
      <c r="D3">
        <f t="shared" ref="D3:AG7" ca="1" si="1">RANDBETWEEN(1,10)</f>
        <v>8</v>
      </c>
      <c r="E3">
        <f t="shared" ca="1" si="1"/>
        <v>10</v>
      </c>
      <c r="F3">
        <f t="shared" ca="1" si="1"/>
        <v>2</v>
      </c>
      <c r="G3">
        <f t="shared" ca="1" si="1"/>
        <v>7</v>
      </c>
      <c r="H3">
        <f t="shared" ca="1" si="1"/>
        <v>10</v>
      </c>
      <c r="I3">
        <f t="shared" ca="1" si="1"/>
        <v>6</v>
      </c>
      <c r="J3">
        <f t="shared" ca="1" si="1"/>
        <v>8</v>
      </c>
      <c r="K3">
        <f t="shared" ca="1" si="1"/>
        <v>6</v>
      </c>
      <c r="L3">
        <f t="shared" ca="1" si="1"/>
        <v>4</v>
      </c>
      <c r="M3">
        <f t="shared" ca="1" si="1"/>
        <v>5</v>
      </c>
      <c r="N3">
        <f t="shared" ca="1" si="1"/>
        <v>5</v>
      </c>
      <c r="O3">
        <f t="shared" ca="1" si="1"/>
        <v>4</v>
      </c>
      <c r="P3">
        <f t="shared" ca="1" si="1"/>
        <v>6</v>
      </c>
      <c r="Q3">
        <f t="shared" ca="1" si="1"/>
        <v>5</v>
      </c>
      <c r="R3">
        <f t="shared" ca="1" si="1"/>
        <v>4</v>
      </c>
      <c r="S3">
        <f t="shared" ca="1" si="1"/>
        <v>3</v>
      </c>
      <c r="T3">
        <f t="shared" ca="1" si="1"/>
        <v>6</v>
      </c>
      <c r="U3">
        <f t="shared" ca="1" si="1"/>
        <v>6</v>
      </c>
      <c r="V3">
        <f t="shared" ca="1" si="1"/>
        <v>3</v>
      </c>
      <c r="W3">
        <f t="shared" ca="1" si="1"/>
        <v>7</v>
      </c>
      <c r="X3">
        <f t="shared" ca="1" si="1"/>
        <v>8</v>
      </c>
      <c r="Y3">
        <f t="shared" ca="1" si="1"/>
        <v>1</v>
      </c>
      <c r="Z3">
        <f t="shared" ca="1" si="1"/>
        <v>3</v>
      </c>
      <c r="AA3">
        <f t="shared" ca="1" si="1"/>
        <v>10</v>
      </c>
      <c r="AB3">
        <f t="shared" ca="1" si="1"/>
        <v>10</v>
      </c>
      <c r="AC3">
        <f t="shared" ca="1" si="1"/>
        <v>2</v>
      </c>
      <c r="AD3">
        <f t="shared" ca="1" si="1"/>
        <v>10</v>
      </c>
      <c r="AE3">
        <f t="shared" ca="1" si="1"/>
        <v>10</v>
      </c>
      <c r="AF3">
        <f t="shared" ca="1" si="1"/>
        <v>7</v>
      </c>
      <c r="AG3">
        <f t="shared" ca="1" si="1"/>
        <v>2</v>
      </c>
      <c r="AH3" s="25">
        <f ca="1">SUM($C3:$AG3)</f>
        <v>179</v>
      </c>
      <c r="AI3">
        <v>40</v>
      </c>
      <c r="AJ3">
        <v>80</v>
      </c>
      <c r="AK3">
        <f>AJ3-AI3</f>
        <v>40</v>
      </c>
      <c r="AL3" s="15">
        <f ca="1">AJ3*AH3</f>
        <v>14320</v>
      </c>
      <c r="AM3" s="15">
        <f ca="1">AK3*AH3</f>
        <v>7160</v>
      </c>
      <c r="AO3" s="7" t="s">
        <v>84</v>
      </c>
      <c r="AP3" s="4">
        <f>DATE(AP2,MONTH(AP1&amp;1),1)</f>
        <v>45292</v>
      </c>
    </row>
    <row r="4" spans="1:42">
      <c r="A4" s="27"/>
      <c r="B4" t="s">
        <v>20</v>
      </c>
      <c r="C4">
        <f t="shared" ref="C4:R19" ca="1" si="2">RANDBETWEEN(1,10)</f>
        <v>5</v>
      </c>
      <c r="D4">
        <f t="shared" ca="1" si="2"/>
        <v>4</v>
      </c>
      <c r="E4">
        <f t="shared" ca="1" si="2"/>
        <v>7</v>
      </c>
      <c r="F4">
        <f t="shared" ca="1" si="2"/>
        <v>3</v>
      </c>
      <c r="G4">
        <f t="shared" ca="1" si="2"/>
        <v>9</v>
      </c>
      <c r="H4">
        <f t="shared" ca="1" si="2"/>
        <v>6</v>
      </c>
      <c r="I4">
        <f t="shared" ca="1" si="2"/>
        <v>3</v>
      </c>
      <c r="J4">
        <f t="shared" ca="1" si="2"/>
        <v>6</v>
      </c>
      <c r="K4">
        <f t="shared" ca="1" si="2"/>
        <v>9</v>
      </c>
      <c r="L4">
        <f t="shared" ca="1" si="2"/>
        <v>6</v>
      </c>
      <c r="M4">
        <f t="shared" ca="1" si="2"/>
        <v>8</v>
      </c>
      <c r="N4">
        <f t="shared" ca="1" si="2"/>
        <v>5</v>
      </c>
      <c r="O4">
        <f t="shared" ca="1" si="2"/>
        <v>8</v>
      </c>
      <c r="P4">
        <f t="shared" ca="1" si="2"/>
        <v>2</v>
      </c>
      <c r="Q4">
        <f t="shared" ca="1" si="2"/>
        <v>10</v>
      </c>
      <c r="R4">
        <f t="shared" ca="1" si="2"/>
        <v>8</v>
      </c>
      <c r="S4">
        <f t="shared" ca="1" si="1"/>
        <v>2</v>
      </c>
      <c r="T4">
        <f t="shared" ca="1" si="1"/>
        <v>6</v>
      </c>
      <c r="U4">
        <f t="shared" ca="1" si="1"/>
        <v>1</v>
      </c>
      <c r="V4">
        <f t="shared" ca="1" si="1"/>
        <v>10</v>
      </c>
      <c r="W4">
        <f t="shared" ca="1" si="1"/>
        <v>1</v>
      </c>
      <c r="X4">
        <f t="shared" ca="1" si="1"/>
        <v>7</v>
      </c>
      <c r="Y4">
        <f t="shared" ca="1" si="1"/>
        <v>10</v>
      </c>
      <c r="Z4">
        <f t="shared" ca="1" si="1"/>
        <v>7</v>
      </c>
      <c r="AA4">
        <f t="shared" ca="1" si="1"/>
        <v>1</v>
      </c>
      <c r="AB4">
        <f t="shared" ca="1" si="1"/>
        <v>10</v>
      </c>
      <c r="AC4">
        <f t="shared" ca="1" si="1"/>
        <v>10</v>
      </c>
      <c r="AD4">
        <f t="shared" ca="1" si="1"/>
        <v>5</v>
      </c>
      <c r="AE4">
        <f t="shared" ca="1" si="1"/>
        <v>3</v>
      </c>
      <c r="AF4">
        <f t="shared" ca="1" si="1"/>
        <v>6</v>
      </c>
      <c r="AG4">
        <f t="shared" ca="1" si="1"/>
        <v>1</v>
      </c>
      <c r="AH4" s="25">
        <f t="shared" ref="AH4:AH57" ca="1" si="3">SUM($C4:$AG4)</f>
        <v>179</v>
      </c>
      <c r="AI4">
        <v>7</v>
      </c>
      <c r="AJ4">
        <v>15</v>
      </c>
      <c r="AK4">
        <f t="shared" ref="AK4:AK57" si="4">AJ4-AI4</f>
        <v>8</v>
      </c>
      <c r="AL4" s="15">
        <f t="shared" ref="AL4:AL57" ca="1" si="5">AJ4*AH4</f>
        <v>2685</v>
      </c>
      <c r="AM4" s="15">
        <f t="shared" ref="AM4:AM57" ca="1" si="6">AK4*AH4</f>
        <v>1432</v>
      </c>
      <c r="AO4" s="7" t="s">
        <v>85</v>
      </c>
      <c r="AP4" s="4">
        <f>EOMONTH(AP3,0)</f>
        <v>45322</v>
      </c>
    </row>
    <row r="5" spans="1:42">
      <c r="A5" s="27"/>
      <c r="B5" t="s">
        <v>21</v>
      </c>
      <c r="C5">
        <f t="shared" ca="1" si="2"/>
        <v>6</v>
      </c>
      <c r="D5">
        <f t="shared" ca="1" si="1"/>
        <v>5</v>
      </c>
      <c r="E5">
        <f t="shared" ca="1" si="1"/>
        <v>3</v>
      </c>
      <c r="F5">
        <f t="shared" ca="1" si="1"/>
        <v>3</v>
      </c>
      <c r="G5">
        <f t="shared" ca="1" si="1"/>
        <v>7</v>
      </c>
      <c r="H5">
        <f t="shared" ca="1" si="1"/>
        <v>6</v>
      </c>
      <c r="I5">
        <f t="shared" ca="1" si="1"/>
        <v>7</v>
      </c>
      <c r="J5">
        <f t="shared" ca="1" si="1"/>
        <v>4</v>
      </c>
      <c r="K5">
        <f t="shared" ca="1" si="1"/>
        <v>4</v>
      </c>
      <c r="L5">
        <f t="shared" ca="1" si="1"/>
        <v>4</v>
      </c>
      <c r="M5">
        <f t="shared" ca="1" si="1"/>
        <v>9</v>
      </c>
      <c r="N5">
        <f t="shared" ca="1" si="1"/>
        <v>6</v>
      </c>
      <c r="O5">
        <f t="shared" ca="1" si="1"/>
        <v>6</v>
      </c>
      <c r="P5">
        <f t="shared" ca="1" si="1"/>
        <v>10</v>
      </c>
      <c r="Q5">
        <f t="shared" ca="1" si="1"/>
        <v>10</v>
      </c>
      <c r="R5">
        <f t="shared" ca="1" si="1"/>
        <v>3</v>
      </c>
      <c r="S5">
        <f t="shared" ca="1" si="1"/>
        <v>5</v>
      </c>
      <c r="T5">
        <f t="shared" ca="1" si="1"/>
        <v>8</v>
      </c>
      <c r="U5">
        <f t="shared" ca="1" si="1"/>
        <v>6</v>
      </c>
      <c r="V5">
        <f t="shared" ca="1" si="1"/>
        <v>5</v>
      </c>
      <c r="W5">
        <f t="shared" ca="1" si="1"/>
        <v>9</v>
      </c>
      <c r="X5">
        <f t="shared" ca="1" si="1"/>
        <v>4</v>
      </c>
      <c r="Y5">
        <f t="shared" ca="1" si="1"/>
        <v>4</v>
      </c>
      <c r="Z5">
        <f t="shared" ca="1" si="1"/>
        <v>2</v>
      </c>
      <c r="AA5">
        <f t="shared" ca="1" si="1"/>
        <v>9</v>
      </c>
      <c r="AB5">
        <f t="shared" ca="1" si="1"/>
        <v>2</v>
      </c>
      <c r="AC5">
        <f t="shared" ca="1" si="1"/>
        <v>10</v>
      </c>
      <c r="AD5">
        <f t="shared" ca="1" si="1"/>
        <v>3</v>
      </c>
      <c r="AE5">
        <f t="shared" ca="1" si="1"/>
        <v>8</v>
      </c>
      <c r="AF5">
        <f t="shared" ca="1" si="1"/>
        <v>7</v>
      </c>
      <c r="AG5">
        <f t="shared" ca="1" si="1"/>
        <v>2</v>
      </c>
      <c r="AH5" s="25">
        <f t="shared" ca="1" si="3"/>
        <v>177</v>
      </c>
      <c r="AI5">
        <v>5</v>
      </c>
      <c r="AJ5">
        <v>10</v>
      </c>
      <c r="AK5">
        <f t="shared" si="4"/>
        <v>5</v>
      </c>
      <c r="AL5" s="15">
        <f t="shared" ca="1" si="5"/>
        <v>1770</v>
      </c>
      <c r="AM5" s="15">
        <f t="shared" ca="1" si="6"/>
        <v>885</v>
      </c>
    </row>
    <row r="6" spans="1:42">
      <c r="A6" s="27"/>
      <c r="B6" t="s">
        <v>23</v>
      </c>
      <c r="C6">
        <f t="shared" ca="1" si="2"/>
        <v>5</v>
      </c>
      <c r="D6">
        <f t="shared" ca="1" si="1"/>
        <v>8</v>
      </c>
      <c r="E6">
        <f t="shared" ca="1" si="1"/>
        <v>8</v>
      </c>
      <c r="F6">
        <f t="shared" ca="1" si="1"/>
        <v>8</v>
      </c>
      <c r="G6">
        <f t="shared" ca="1" si="1"/>
        <v>3</v>
      </c>
      <c r="H6">
        <f t="shared" ca="1" si="1"/>
        <v>6</v>
      </c>
      <c r="I6">
        <f t="shared" ca="1" si="1"/>
        <v>2</v>
      </c>
      <c r="J6">
        <f t="shared" ca="1" si="1"/>
        <v>9</v>
      </c>
      <c r="K6">
        <f t="shared" ca="1" si="1"/>
        <v>1</v>
      </c>
      <c r="L6">
        <f t="shared" ca="1" si="1"/>
        <v>1</v>
      </c>
      <c r="M6">
        <f t="shared" ca="1" si="1"/>
        <v>7</v>
      </c>
      <c r="N6">
        <f t="shared" ca="1" si="1"/>
        <v>7</v>
      </c>
      <c r="O6">
        <f t="shared" ca="1" si="1"/>
        <v>2</v>
      </c>
      <c r="P6">
        <f t="shared" ca="1" si="1"/>
        <v>6</v>
      </c>
      <c r="Q6">
        <f t="shared" ca="1" si="1"/>
        <v>9</v>
      </c>
      <c r="R6">
        <f t="shared" ca="1" si="1"/>
        <v>10</v>
      </c>
      <c r="S6">
        <f t="shared" ca="1" si="1"/>
        <v>4</v>
      </c>
      <c r="T6">
        <f t="shared" ca="1" si="1"/>
        <v>1</v>
      </c>
      <c r="U6">
        <f t="shared" ca="1" si="1"/>
        <v>4</v>
      </c>
      <c r="V6">
        <f t="shared" ca="1" si="1"/>
        <v>10</v>
      </c>
      <c r="W6">
        <f t="shared" ca="1" si="1"/>
        <v>2</v>
      </c>
      <c r="X6">
        <f t="shared" ca="1" si="1"/>
        <v>7</v>
      </c>
      <c r="Y6">
        <f t="shared" ca="1" si="1"/>
        <v>3</v>
      </c>
      <c r="Z6">
        <f t="shared" ca="1" si="1"/>
        <v>6</v>
      </c>
      <c r="AA6">
        <f t="shared" ca="1" si="1"/>
        <v>4</v>
      </c>
      <c r="AB6">
        <f t="shared" ca="1" si="1"/>
        <v>10</v>
      </c>
      <c r="AC6">
        <f t="shared" ca="1" si="1"/>
        <v>7</v>
      </c>
      <c r="AD6">
        <f t="shared" ca="1" si="1"/>
        <v>7</v>
      </c>
      <c r="AE6">
        <f t="shared" ca="1" si="1"/>
        <v>5</v>
      </c>
      <c r="AF6">
        <f t="shared" ca="1" si="1"/>
        <v>5</v>
      </c>
      <c r="AG6">
        <f t="shared" ca="1" si="1"/>
        <v>3</v>
      </c>
      <c r="AH6" s="25">
        <f t="shared" ca="1" si="3"/>
        <v>170</v>
      </c>
      <c r="AI6">
        <v>45</v>
      </c>
      <c r="AJ6">
        <v>80</v>
      </c>
      <c r="AK6">
        <f t="shared" si="4"/>
        <v>35</v>
      </c>
      <c r="AL6" s="15">
        <f t="shared" ca="1" si="5"/>
        <v>13600</v>
      </c>
      <c r="AM6" s="15">
        <f t="shared" ca="1" si="6"/>
        <v>5950</v>
      </c>
    </row>
    <row r="7" spans="1:42">
      <c r="A7" s="27"/>
      <c r="B7" t="s">
        <v>24</v>
      </c>
      <c r="C7">
        <f t="shared" ca="1" si="2"/>
        <v>5</v>
      </c>
      <c r="D7">
        <f t="shared" ca="1" si="1"/>
        <v>6</v>
      </c>
      <c r="E7">
        <f t="shared" ca="1" si="1"/>
        <v>9</v>
      </c>
      <c r="F7">
        <f t="shared" ca="1" si="1"/>
        <v>2</v>
      </c>
      <c r="G7">
        <f t="shared" ca="1" si="1"/>
        <v>10</v>
      </c>
      <c r="H7">
        <f t="shared" ca="1" si="1"/>
        <v>3</v>
      </c>
      <c r="I7">
        <f t="shared" ca="1" si="1"/>
        <v>1</v>
      </c>
      <c r="J7">
        <f t="shared" ca="1" si="1"/>
        <v>8</v>
      </c>
      <c r="K7">
        <f t="shared" ca="1" si="1"/>
        <v>1</v>
      </c>
      <c r="L7">
        <f t="shared" ca="1" si="1"/>
        <v>6</v>
      </c>
      <c r="M7">
        <f t="shared" ca="1" si="1"/>
        <v>7</v>
      </c>
      <c r="N7">
        <f t="shared" ca="1" si="1"/>
        <v>6</v>
      </c>
      <c r="O7">
        <f t="shared" ca="1" si="1"/>
        <v>5</v>
      </c>
      <c r="P7">
        <f t="shared" ca="1" si="1"/>
        <v>7</v>
      </c>
      <c r="Q7">
        <f t="shared" ca="1" si="1"/>
        <v>8</v>
      </c>
      <c r="R7">
        <f t="shared" ca="1" si="1"/>
        <v>6</v>
      </c>
      <c r="S7">
        <f t="shared" ca="1" si="1"/>
        <v>4</v>
      </c>
      <c r="T7">
        <f t="shared" ca="1" si="1"/>
        <v>2</v>
      </c>
      <c r="U7">
        <f t="shared" ca="1" si="1"/>
        <v>5</v>
      </c>
      <c r="V7">
        <f t="shared" ca="1" si="1"/>
        <v>5</v>
      </c>
      <c r="W7">
        <f t="shared" ca="1" si="1"/>
        <v>6</v>
      </c>
      <c r="X7">
        <f t="shared" ca="1" si="1"/>
        <v>6</v>
      </c>
      <c r="Y7">
        <f t="shared" ca="1" si="1"/>
        <v>6</v>
      </c>
      <c r="Z7">
        <f t="shared" ca="1" si="1"/>
        <v>2</v>
      </c>
      <c r="AA7">
        <f t="shared" ca="1" si="1"/>
        <v>2</v>
      </c>
      <c r="AB7">
        <f t="shared" ca="1" si="1"/>
        <v>1</v>
      </c>
      <c r="AC7">
        <f t="shared" ca="1" si="1"/>
        <v>5</v>
      </c>
      <c r="AD7">
        <f t="shared" ca="1" si="1"/>
        <v>9</v>
      </c>
      <c r="AE7">
        <f t="shared" ca="1" si="1"/>
        <v>4</v>
      </c>
      <c r="AF7">
        <f t="shared" ca="1" si="1"/>
        <v>9</v>
      </c>
      <c r="AG7">
        <f t="shared" ca="1" si="1"/>
        <v>1</v>
      </c>
      <c r="AH7" s="25">
        <f t="shared" ca="1" si="3"/>
        <v>157</v>
      </c>
      <c r="AI7">
        <v>392</v>
      </c>
      <c r="AJ7">
        <v>420</v>
      </c>
      <c r="AK7">
        <f t="shared" si="4"/>
        <v>28</v>
      </c>
      <c r="AL7" s="15">
        <f t="shared" ca="1" si="5"/>
        <v>65940</v>
      </c>
      <c r="AM7" s="15">
        <f t="shared" ca="1" si="6"/>
        <v>4396</v>
      </c>
      <c r="AO7" s="1" t="s">
        <v>86</v>
      </c>
    </row>
    <row r="8" spans="1:42">
      <c r="A8" s="27"/>
      <c r="B8" t="s">
        <v>25</v>
      </c>
      <c r="C8">
        <f t="shared" ca="1" si="2"/>
        <v>6</v>
      </c>
      <c r="D8">
        <f t="shared" ca="1" si="2"/>
        <v>2</v>
      </c>
      <c r="E8">
        <f t="shared" ca="1" si="2"/>
        <v>2</v>
      </c>
      <c r="F8">
        <f t="shared" ca="1" si="2"/>
        <v>10</v>
      </c>
      <c r="G8">
        <f t="shared" ca="1" si="2"/>
        <v>9</v>
      </c>
      <c r="H8">
        <f t="shared" ca="1" si="2"/>
        <v>4</v>
      </c>
      <c r="I8">
        <f t="shared" ca="1" si="2"/>
        <v>8</v>
      </c>
      <c r="J8">
        <f t="shared" ca="1" si="2"/>
        <v>3</v>
      </c>
      <c r="K8">
        <f t="shared" ca="1" si="2"/>
        <v>4</v>
      </c>
      <c r="L8">
        <f t="shared" ca="1" si="2"/>
        <v>6</v>
      </c>
      <c r="M8">
        <f t="shared" ca="1" si="2"/>
        <v>2</v>
      </c>
      <c r="N8">
        <f t="shared" ca="1" si="2"/>
        <v>9</v>
      </c>
      <c r="O8">
        <f t="shared" ca="1" si="2"/>
        <v>9</v>
      </c>
      <c r="P8">
        <f t="shared" ca="1" si="2"/>
        <v>10</v>
      </c>
      <c r="Q8">
        <f t="shared" ca="1" si="2"/>
        <v>6</v>
      </c>
      <c r="R8">
        <f t="shared" ca="1" si="2"/>
        <v>4</v>
      </c>
      <c r="S8">
        <f t="shared" ref="D8:AG16" ca="1" si="7">RANDBETWEEN(1,10)</f>
        <v>3</v>
      </c>
      <c r="T8">
        <f t="shared" ca="1" si="7"/>
        <v>9</v>
      </c>
      <c r="U8">
        <f t="shared" ca="1" si="7"/>
        <v>5</v>
      </c>
      <c r="V8">
        <f t="shared" ca="1" si="7"/>
        <v>7</v>
      </c>
      <c r="W8">
        <f t="shared" ca="1" si="7"/>
        <v>4</v>
      </c>
      <c r="X8">
        <f t="shared" ca="1" si="7"/>
        <v>2</v>
      </c>
      <c r="Y8">
        <f t="shared" ca="1" si="7"/>
        <v>5</v>
      </c>
      <c r="Z8">
        <f t="shared" ca="1" si="7"/>
        <v>5</v>
      </c>
      <c r="AA8">
        <f t="shared" ca="1" si="7"/>
        <v>3</v>
      </c>
      <c r="AB8">
        <f t="shared" ca="1" si="7"/>
        <v>3</v>
      </c>
      <c r="AC8">
        <f t="shared" ca="1" si="7"/>
        <v>6</v>
      </c>
      <c r="AD8">
        <f t="shared" ca="1" si="7"/>
        <v>4</v>
      </c>
      <c r="AE8">
        <f t="shared" ca="1" si="7"/>
        <v>10</v>
      </c>
      <c r="AF8">
        <f t="shared" ca="1" si="7"/>
        <v>6</v>
      </c>
      <c r="AG8">
        <f t="shared" ca="1" si="7"/>
        <v>1</v>
      </c>
      <c r="AH8" s="25">
        <f t="shared" ca="1" si="3"/>
        <v>167</v>
      </c>
      <c r="AI8">
        <v>86</v>
      </c>
      <c r="AJ8">
        <v>100</v>
      </c>
      <c r="AK8">
        <f t="shared" si="4"/>
        <v>14</v>
      </c>
      <c r="AL8" s="15">
        <f t="shared" ca="1" si="5"/>
        <v>16700</v>
      </c>
      <c r="AM8" s="15">
        <f t="shared" ca="1" si="6"/>
        <v>2338</v>
      </c>
      <c r="AO8" t="s">
        <v>87</v>
      </c>
    </row>
    <row r="9" spans="1:42">
      <c r="A9" s="27"/>
      <c r="B9" t="s">
        <v>26</v>
      </c>
      <c r="C9">
        <f t="shared" ca="1" si="2"/>
        <v>1</v>
      </c>
      <c r="D9">
        <f t="shared" ca="1" si="7"/>
        <v>4</v>
      </c>
      <c r="E9">
        <f t="shared" ca="1" si="7"/>
        <v>1</v>
      </c>
      <c r="F9">
        <f t="shared" ca="1" si="7"/>
        <v>4</v>
      </c>
      <c r="G9">
        <f t="shared" ca="1" si="7"/>
        <v>1</v>
      </c>
      <c r="H9">
        <f t="shared" ca="1" si="7"/>
        <v>9</v>
      </c>
      <c r="I9">
        <f t="shared" ca="1" si="7"/>
        <v>5</v>
      </c>
      <c r="J9">
        <f t="shared" ca="1" si="7"/>
        <v>9</v>
      </c>
      <c r="K9">
        <f t="shared" ca="1" si="7"/>
        <v>6</v>
      </c>
      <c r="L9">
        <f t="shared" ca="1" si="7"/>
        <v>9</v>
      </c>
      <c r="M9">
        <f t="shared" ca="1" si="7"/>
        <v>6</v>
      </c>
      <c r="N9">
        <f t="shared" ca="1" si="7"/>
        <v>9</v>
      </c>
      <c r="O9">
        <f t="shared" ca="1" si="7"/>
        <v>10</v>
      </c>
      <c r="P9">
        <f t="shared" ca="1" si="7"/>
        <v>8</v>
      </c>
      <c r="Q9">
        <f t="shared" ca="1" si="7"/>
        <v>1</v>
      </c>
      <c r="R9">
        <f t="shared" ca="1" si="7"/>
        <v>9</v>
      </c>
      <c r="S9">
        <f t="shared" ca="1" si="7"/>
        <v>10</v>
      </c>
      <c r="T9">
        <f t="shared" ca="1" si="7"/>
        <v>10</v>
      </c>
      <c r="U9">
        <f t="shared" ca="1" si="7"/>
        <v>7</v>
      </c>
      <c r="V9">
        <f t="shared" ca="1" si="7"/>
        <v>7</v>
      </c>
      <c r="W9">
        <f t="shared" ca="1" si="7"/>
        <v>4</v>
      </c>
      <c r="X9">
        <f t="shared" ca="1" si="7"/>
        <v>8</v>
      </c>
      <c r="Y9">
        <f t="shared" ca="1" si="7"/>
        <v>7</v>
      </c>
      <c r="Z9">
        <f t="shared" ca="1" si="7"/>
        <v>4</v>
      </c>
      <c r="AA9">
        <f t="shared" ca="1" si="7"/>
        <v>5</v>
      </c>
      <c r="AB9">
        <f t="shared" ca="1" si="7"/>
        <v>9</v>
      </c>
      <c r="AC9">
        <f t="shared" ca="1" si="7"/>
        <v>2</v>
      </c>
      <c r="AD9">
        <f t="shared" ca="1" si="7"/>
        <v>10</v>
      </c>
      <c r="AE9">
        <f t="shared" ca="1" si="7"/>
        <v>7</v>
      </c>
      <c r="AF9">
        <f t="shared" ca="1" si="7"/>
        <v>5</v>
      </c>
      <c r="AG9">
        <f t="shared" ca="1" si="7"/>
        <v>10</v>
      </c>
      <c r="AH9" s="25">
        <f t="shared" ca="1" si="3"/>
        <v>197</v>
      </c>
      <c r="AI9">
        <v>271</v>
      </c>
      <c r="AJ9">
        <v>300</v>
      </c>
      <c r="AK9">
        <f t="shared" si="4"/>
        <v>29</v>
      </c>
      <c r="AL9" s="15">
        <f t="shared" ca="1" si="5"/>
        <v>59100</v>
      </c>
      <c r="AM9" s="15">
        <f t="shared" ca="1" si="6"/>
        <v>5713</v>
      </c>
      <c r="AO9" t="s">
        <v>88</v>
      </c>
      <c r="AP9" s="13">
        <f>'Attendence (Jan)'!AL3</f>
        <v>50000</v>
      </c>
    </row>
    <row r="10" spans="1:42">
      <c r="A10" s="27"/>
      <c r="B10" t="s">
        <v>27</v>
      </c>
      <c r="C10">
        <f t="shared" ca="1" si="2"/>
        <v>10</v>
      </c>
      <c r="D10">
        <f t="shared" ca="1" si="7"/>
        <v>9</v>
      </c>
      <c r="E10">
        <f t="shared" ca="1" si="7"/>
        <v>5</v>
      </c>
      <c r="F10">
        <f t="shared" ca="1" si="7"/>
        <v>3</v>
      </c>
      <c r="G10">
        <f t="shared" ca="1" si="7"/>
        <v>9</v>
      </c>
      <c r="H10">
        <f t="shared" ca="1" si="7"/>
        <v>10</v>
      </c>
      <c r="I10">
        <f t="shared" ca="1" si="7"/>
        <v>9</v>
      </c>
      <c r="J10">
        <f t="shared" ca="1" si="7"/>
        <v>10</v>
      </c>
      <c r="K10">
        <f t="shared" ca="1" si="7"/>
        <v>6</v>
      </c>
      <c r="L10">
        <f t="shared" ca="1" si="7"/>
        <v>10</v>
      </c>
      <c r="M10">
        <f t="shared" ca="1" si="7"/>
        <v>1</v>
      </c>
      <c r="N10">
        <f t="shared" ca="1" si="7"/>
        <v>3</v>
      </c>
      <c r="O10">
        <f t="shared" ca="1" si="7"/>
        <v>10</v>
      </c>
      <c r="P10">
        <f t="shared" ca="1" si="7"/>
        <v>5</v>
      </c>
      <c r="Q10">
        <f t="shared" ca="1" si="7"/>
        <v>5</v>
      </c>
      <c r="R10">
        <f t="shared" ca="1" si="7"/>
        <v>5</v>
      </c>
      <c r="S10">
        <f t="shared" ca="1" si="7"/>
        <v>7</v>
      </c>
      <c r="T10">
        <f t="shared" ca="1" si="7"/>
        <v>8</v>
      </c>
      <c r="U10">
        <f t="shared" ca="1" si="7"/>
        <v>4</v>
      </c>
      <c r="V10">
        <f t="shared" ca="1" si="7"/>
        <v>6</v>
      </c>
      <c r="W10">
        <f t="shared" ca="1" si="7"/>
        <v>1</v>
      </c>
      <c r="X10">
        <f t="shared" ca="1" si="7"/>
        <v>8</v>
      </c>
      <c r="Y10">
        <f t="shared" ca="1" si="7"/>
        <v>7</v>
      </c>
      <c r="Z10">
        <f t="shared" ca="1" si="7"/>
        <v>4</v>
      </c>
      <c r="AA10">
        <f t="shared" ca="1" si="7"/>
        <v>5</v>
      </c>
      <c r="AB10">
        <f t="shared" ca="1" si="7"/>
        <v>9</v>
      </c>
      <c r="AC10">
        <f t="shared" ca="1" si="7"/>
        <v>5</v>
      </c>
      <c r="AD10">
        <f t="shared" ca="1" si="7"/>
        <v>3</v>
      </c>
      <c r="AE10">
        <f t="shared" ca="1" si="7"/>
        <v>7</v>
      </c>
      <c r="AF10">
        <f t="shared" ca="1" si="7"/>
        <v>5</v>
      </c>
      <c r="AG10">
        <f t="shared" ca="1" si="7"/>
        <v>10</v>
      </c>
      <c r="AH10" s="25">
        <f t="shared" ca="1" si="3"/>
        <v>199</v>
      </c>
      <c r="AI10">
        <v>226</v>
      </c>
      <c r="AJ10">
        <v>250</v>
      </c>
      <c r="AK10">
        <f t="shared" si="4"/>
        <v>24</v>
      </c>
      <c r="AL10" s="15">
        <f t="shared" ca="1" si="5"/>
        <v>49750</v>
      </c>
      <c r="AM10" s="15">
        <f t="shared" ca="1" si="6"/>
        <v>4776</v>
      </c>
      <c r="AO10" t="s">
        <v>89</v>
      </c>
      <c r="AP10" s="13">
        <f>'Attendence (Jan)'!AL4</f>
        <v>14500</v>
      </c>
    </row>
    <row r="11" spans="1:42">
      <c r="A11" s="27"/>
      <c r="B11" t="s">
        <v>28</v>
      </c>
      <c r="C11">
        <f t="shared" ca="1" si="2"/>
        <v>8</v>
      </c>
      <c r="D11">
        <f t="shared" ca="1" si="7"/>
        <v>4</v>
      </c>
      <c r="E11">
        <f t="shared" ca="1" si="7"/>
        <v>2</v>
      </c>
      <c r="F11">
        <f t="shared" ca="1" si="7"/>
        <v>2</v>
      </c>
      <c r="G11">
        <f t="shared" ca="1" si="7"/>
        <v>6</v>
      </c>
      <c r="H11">
        <f t="shared" ca="1" si="7"/>
        <v>10</v>
      </c>
      <c r="I11">
        <f t="shared" ca="1" si="7"/>
        <v>3</v>
      </c>
      <c r="J11">
        <f t="shared" ca="1" si="7"/>
        <v>3</v>
      </c>
      <c r="K11">
        <f t="shared" ca="1" si="7"/>
        <v>3</v>
      </c>
      <c r="L11">
        <f t="shared" ca="1" si="7"/>
        <v>10</v>
      </c>
      <c r="M11">
        <f t="shared" ca="1" si="7"/>
        <v>6</v>
      </c>
      <c r="N11">
        <f t="shared" ca="1" si="7"/>
        <v>3</v>
      </c>
      <c r="O11">
        <f t="shared" ca="1" si="7"/>
        <v>10</v>
      </c>
      <c r="P11">
        <f t="shared" ca="1" si="7"/>
        <v>2</v>
      </c>
      <c r="Q11">
        <f t="shared" ca="1" si="7"/>
        <v>7</v>
      </c>
      <c r="R11">
        <f t="shared" ca="1" si="7"/>
        <v>2</v>
      </c>
      <c r="S11">
        <f t="shared" ca="1" si="7"/>
        <v>1</v>
      </c>
      <c r="T11">
        <f t="shared" ca="1" si="7"/>
        <v>6</v>
      </c>
      <c r="U11">
        <f t="shared" ca="1" si="7"/>
        <v>1</v>
      </c>
      <c r="V11">
        <f t="shared" ca="1" si="7"/>
        <v>7</v>
      </c>
      <c r="W11">
        <f t="shared" ca="1" si="7"/>
        <v>2</v>
      </c>
      <c r="X11">
        <f t="shared" ca="1" si="7"/>
        <v>2</v>
      </c>
      <c r="Y11">
        <f t="shared" ca="1" si="7"/>
        <v>5</v>
      </c>
      <c r="Z11">
        <f t="shared" ca="1" si="7"/>
        <v>4</v>
      </c>
      <c r="AA11">
        <f t="shared" ca="1" si="7"/>
        <v>5</v>
      </c>
      <c r="AB11">
        <f t="shared" ca="1" si="7"/>
        <v>3</v>
      </c>
      <c r="AC11">
        <f t="shared" ca="1" si="7"/>
        <v>1</v>
      </c>
      <c r="AD11">
        <f t="shared" ca="1" si="7"/>
        <v>6</v>
      </c>
      <c r="AE11">
        <f t="shared" ca="1" si="7"/>
        <v>6</v>
      </c>
      <c r="AF11">
        <f t="shared" ca="1" si="7"/>
        <v>7</v>
      </c>
      <c r="AG11">
        <f t="shared" ca="1" si="7"/>
        <v>10</v>
      </c>
      <c r="AH11" s="25">
        <f t="shared" ca="1" si="3"/>
        <v>147</v>
      </c>
      <c r="AI11">
        <v>390</v>
      </c>
      <c r="AJ11">
        <v>450</v>
      </c>
      <c r="AK11">
        <f t="shared" si="4"/>
        <v>60</v>
      </c>
      <c r="AL11" s="15">
        <f t="shared" ca="1" si="5"/>
        <v>66150</v>
      </c>
      <c r="AM11" s="15">
        <f t="shared" ca="1" si="6"/>
        <v>8820</v>
      </c>
      <c r="AO11" t="s">
        <v>90</v>
      </c>
      <c r="AP11" s="13">
        <f>'Attendence (Jan)'!AL5</f>
        <v>17400</v>
      </c>
    </row>
    <row r="12" spans="1:42">
      <c r="A12" s="27"/>
      <c r="B12" t="s">
        <v>29</v>
      </c>
      <c r="C12">
        <f t="shared" ca="1" si="2"/>
        <v>7</v>
      </c>
      <c r="D12">
        <f t="shared" ca="1" si="7"/>
        <v>7</v>
      </c>
      <c r="E12">
        <f t="shared" ca="1" si="7"/>
        <v>10</v>
      </c>
      <c r="F12">
        <f t="shared" ca="1" si="7"/>
        <v>7</v>
      </c>
      <c r="G12">
        <f t="shared" ca="1" si="7"/>
        <v>5</v>
      </c>
      <c r="H12">
        <f t="shared" ca="1" si="7"/>
        <v>8</v>
      </c>
      <c r="I12">
        <f t="shared" ca="1" si="7"/>
        <v>3</v>
      </c>
      <c r="J12">
        <f t="shared" ca="1" si="7"/>
        <v>9</v>
      </c>
      <c r="K12">
        <f t="shared" ca="1" si="7"/>
        <v>10</v>
      </c>
      <c r="L12">
        <f t="shared" ca="1" si="7"/>
        <v>6</v>
      </c>
      <c r="M12">
        <f t="shared" ca="1" si="7"/>
        <v>6</v>
      </c>
      <c r="N12">
        <f t="shared" ca="1" si="7"/>
        <v>9</v>
      </c>
      <c r="O12">
        <f t="shared" ca="1" si="7"/>
        <v>1</v>
      </c>
      <c r="P12">
        <f t="shared" ca="1" si="7"/>
        <v>8</v>
      </c>
      <c r="Q12">
        <f t="shared" ca="1" si="7"/>
        <v>1</v>
      </c>
      <c r="R12">
        <f t="shared" ca="1" si="7"/>
        <v>9</v>
      </c>
      <c r="S12">
        <f t="shared" ca="1" si="7"/>
        <v>7</v>
      </c>
      <c r="T12">
        <f t="shared" ca="1" si="7"/>
        <v>8</v>
      </c>
      <c r="U12">
        <f t="shared" ca="1" si="7"/>
        <v>5</v>
      </c>
      <c r="V12">
        <f t="shared" ca="1" si="7"/>
        <v>4</v>
      </c>
      <c r="W12">
        <f t="shared" ca="1" si="7"/>
        <v>4</v>
      </c>
      <c r="X12">
        <f t="shared" ca="1" si="7"/>
        <v>9</v>
      </c>
      <c r="Y12">
        <f t="shared" ca="1" si="7"/>
        <v>3</v>
      </c>
      <c r="Z12">
        <f t="shared" ca="1" si="7"/>
        <v>8</v>
      </c>
      <c r="AA12">
        <f t="shared" ca="1" si="7"/>
        <v>8</v>
      </c>
      <c r="AB12">
        <f t="shared" ca="1" si="7"/>
        <v>2</v>
      </c>
      <c r="AC12">
        <f t="shared" ca="1" si="7"/>
        <v>9</v>
      </c>
      <c r="AD12">
        <f t="shared" ca="1" si="7"/>
        <v>3</v>
      </c>
      <c r="AE12">
        <f t="shared" ca="1" si="7"/>
        <v>8</v>
      </c>
      <c r="AF12">
        <f t="shared" ca="1" si="7"/>
        <v>3</v>
      </c>
      <c r="AG12">
        <f t="shared" ca="1" si="7"/>
        <v>8</v>
      </c>
      <c r="AH12" s="25">
        <f t="shared" ca="1" si="3"/>
        <v>195</v>
      </c>
      <c r="AI12">
        <v>379</v>
      </c>
      <c r="AJ12">
        <v>430</v>
      </c>
      <c r="AK12">
        <f t="shared" si="4"/>
        <v>51</v>
      </c>
      <c r="AL12" s="15">
        <f t="shared" ca="1" si="5"/>
        <v>83850</v>
      </c>
      <c r="AM12" s="15">
        <f t="shared" ca="1" si="6"/>
        <v>9945</v>
      </c>
      <c r="AO12" t="s">
        <v>91</v>
      </c>
      <c r="AP12" s="13">
        <f>'Attendence (Jan)'!AL6</f>
        <v>9666.6666666666661</v>
      </c>
    </row>
    <row r="13" spans="1:42">
      <c r="A13" s="27"/>
      <c r="B13" t="s">
        <v>30</v>
      </c>
      <c r="C13">
        <f t="shared" ca="1" si="2"/>
        <v>4</v>
      </c>
      <c r="D13">
        <f t="shared" ca="1" si="7"/>
        <v>10</v>
      </c>
      <c r="E13">
        <f t="shared" ca="1" si="7"/>
        <v>1</v>
      </c>
      <c r="F13">
        <f t="shared" ca="1" si="7"/>
        <v>1</v>
      </c>
      <c r="G13">
        <f t="shared" ca="1" si="7"/>
        <v>1</v>
      </c>
      <c r="H13">
        <f t="shared" ca="1" si="7"/>
        <v>6</v>
      </c>
      <c r="I13">
        <f t="shared" ca="1" si="7"/>
        <v>9</v>
      </c>
      <c r="J13">
        <f t="shared" ca="1" si="7"/>
        <v>2</v>
      </c>
      <c r="K13">
        <f t="shared" ca="1" si="7"/>
        <v>6</v>
      </c>
      <c r="L13">
        <f t="shared" ca="1" si="7"/>
        <v>8</v>
      </c>
      <c r="M13">
        <f t="shared" ca="1" si="7"/>
        <v>9</v>
      </c>
      <c r="N13">
        <f t="shared" ca="1" si="7"/>
        <v>3</v>
      </c>
      <c r="O13">
        <f t="shared" ca="1" si="7"/>
        <v>8</v>
      </c>
      <c r="P13">
        <f t="shared" ca="1" si="7"/>
        <v>6</v>
      </c>
      <c r="Q13">
        <f t="shared" ca="1" si="7"/>
        <v>10</v>
      </c>
      <c r="R13">
        <f t="shared" ca="1" si="7"/>
        <v>9</v>
      </c>
      <c r="S13">
        <f t="shared" ca="1" si="7"/>
        <v>9</v>
      </c>
      <c r="T13">
        <f t="shared" ca="1" si="7"/>
        <v>7</v>
      </c>
      <c r="U13">
        <f t="shared" ca="1" si="7"/>
        <v>2</v>
      </c>
      <c r="V13">
        <f t="shared" ca="1" si="7"/>
        <v>10</v>
      </c>
      <c r="W13">
        <f t="shared" ca="1" si="7"/>
        <v>3</v>
      </c>
      <c r="X13">
        <f t="shared" ca="1" si="7"/>
        <v>2</v>
      </c>
      <c r="Y13">
        <f t="shared" ca="1" si="7"/>
        <v>1</v>
      </c>
      <c r="Z13">
        <f t="shared" ca="1" si="7"/>
        <v>1</v>
      </c>
      <c r="AA13">
        <f t="shared" ca="1" si="7"/>
        <v>3</v>
      </c>
      <c r="AB13">
        <f t="shared" ca="1" si="7"/>
        <v>5</v>
      </c>
      <c r="AC13">
        <f t="shared" ca="1" si="7"/>
        <v>5</v>
      </c>
      <c r="AD13">
        <f t="shared" ca="1" si="7"/>
        <v>1</v>
      </c>
      <c r="AE13">
        <f t="shared" ca="1" si="7"/>
        <v>4</v>
      </c>
      <c r="AF13">
        <f t="shared" ca="1" si="7"/>
        <v>2</v>
      </c>
      <c r="AG13">
        <f t="shared" ca="1" si="7"/>
        <v>8</v>
      </c>
      <c r="AH13" s="25">
        <f t="shared" ca="1" si="3"/>
        <v>156</v>
      </c>
      <c r="AI13">
        <v>368</v>
      </c>
      <c r="AJ13">
        <v>435</v>
      </c>
      <c r="AK13">
        <f t="shared" si="4"/>
        <v>67</v>
      </c>
      <c r="AL13" s="15">
        <f t="shared" ca="1" si="5"/>
        <v>67860</v>
      </c>
      <c r="AM13" s="15">
        <f t="shared" ca="1" si="6"/>
        <v>10452</v>
      </c>
      <c r="AO13" t="s">
        <v>92</v>
      </c>
      <c r="AP13" s="13">
        <v>10000</v>
      </c>
    </row>
    <row r="14" spans="1:42">
      <c r="A14" s="27"/>
      <c r="B14" t="s">
        <v>31</v>
      </c>
      <c r="C14">
        <f t="shared" ca="1" si="2"/>
        <v>5</v>
      </c>
      <c r="D14">
        <f t="shared" ca="1" si="7"/>
        <v>5</v>
      </c>
      <c r="E14">
        <f t="shared" ca="1" si="7"/>
        <v>5</v>
      </c>
      <c r="F14">
        <f t="shared" ca="1" si="7"/>
        <v>4</v>
      </c>
      <c r="G14">
        <f t="shared" ca="1" si="7"/>
        <v>2</v>
      </c>
      <c r="H14">
        <f t="shared" ca="1" si="7"/>
        <v>10</v>
      </c>
      <c r="I14">
        <f t="shared" ca="1" si="7"/>
        <v>1</v>
      </c>
      <c r="J14">
        <f t="shared" ca="1" si="7"/>
        <v>8</v>
      </c>
      <c r="K14">
        <f t="shared" ca="1" si="7"/>
        <v>3</v>
      </c>
      <c r="L14">
        <f t="shared" ca="1" si="7"/>
        <v>2</v>
      </c>
      <c r="M14">
        <f t="shared" ca="1" si="7"/>
        <v>4</v>
      </c>
      <c r="N14">
        <f t="shared" ca="1" si="7"/>
        <v>7</v>
      </c>
      <c r="O14">
        <f t="shared" ca="1" si="7"/>
        <v>4</v>
      </c>
      <c r="P14">
        <f t="shared" ca="1" si="7"/>
        <v>4</v>
      </c>
      <c r="Q14">
        <f t="shared" ca="1" si="7"/>
        <v>5</v>
      </c>
      <c r="R14">
        <f t="shared" ca="1" si="7"/>
        <v>8</v>
      </c>
      <c r="S14">
        <f t="shared" ca="1" si="7"/>
        <v>4</v>
      </c>
      <c r="T14">
        <f t="shared" ca="1" si="7"/>
        <v>5</v>
      </c>
      <c r="U14">
        <f t="shared" ca="1" si="7"/>
        <v>10</v>
      </c>
      <c r="V14">
        <f t="shared" ca="1" si="7"/>
        <v>1</v>
      </c>
      <c r="W14">
        <f t="shared" ca="1" si="7"/>
        <v>7</v>
      </c>
      <c r="X14">
        <f t="shared" ca="1" si="7"/>
        <v>9</v>
      </c>
      <c r="Y14">
        <f t="shared" ca="1" si="7"/>
        <v>9</v>
      </c>
      <c r="Z14">
        <f t="shared" ca="1" si="7"/>
        <v>4</v>
      </c>
      <c r="AA14">
        <f t="shared" ca="1" si="7"/>
        <v>2</v>
      </c>
      <c r="AB14">
        <f t="shared" ca="1" si="7"/>
        <v>8</v>
      </c>
      <c r="AC14">
        <f t="shared" ca="1" si="7"/>
        <v>6</v>
      </c>
      <c r="AD14">
        <f t="shared" ca="1" si="7"/>
        <v>4</v>
      </c>
      <c r="AE14">
        <f t="shared" ca="1" si="7"/>
        <v>6</v>
      </c>
      <c r="AF14">
        <f t="shared" ca="1" si="7"/>
        <v>1</v>
      </c>
      <c r="AG14">
        <f t="shared" ca="1" si="7"/>
        <v>5</v>
      </c>
      <c r="AH14" s="25">
        <f t="shared" ca="1" si="3"/>
        <v>158</v>
      </c>
      <c r="AI14">
        <v>88</v>
      </c>
      <c r="AJ14">
        <v>99</v>
      </c>
      <c r="AK14">
        <f t="shared" si="4"/>
        <v>11</v>
      </c>
      <c r="AL14" s="15">
        <f t="shared" ca="1" si="5"/>
        <v>15642</v>
      </c>
      <c r="AM14" s="15">
        <f t="shared" ca="1" si="6"/>
        <v>1738</v>
      </c>
      <c r="AO14" t="s">
        <v>93</v>
      </c>
      <c r="AP14" s="13">
        <v>2000</v>
      </c>
    </row>
    <row r="15" spans="1:42">
      <c r="A15" s="27"/>
      <c r="B15" t="s">
        <v>32</v>
      </c>
      <c r="C15">
        <f t="shared" ca="1" si="2"/>
        <v>6</v>
      </c>
      <c r="D15">
        <f t="shared" ca="1" si="7"/>
        <v>8</v>
      </c>
      <c r="E15">
        <f t="shared" ca="1" si="7"/>
        <v>3</v>
      </c>
      <c r="F15">
        <f t="shared" ca="1" si="7"/>
        <v>10</v>
      </c>
      <c r="G15">
        <f t="shared" ca="1" si="7"/>
        <v>4</v>
      </c>
      <c r="H15">
        <f t="shared" ca="1" si="7"/>
        <v>6</v>
      </c>
      <c r="I15">
        <f t="shared" ca="1" si="7"/>
        <v>7</v>
      </c>
      <c r="J15">
        <f t="shared" ca="1" si="7"/>
        <v>1</v>
      </c>
      <c r="K15">
        <f t="shared" ca="1" si="7"/>
        <v>8</v>
      </c>
      <c r="L15">
        <f t="shared" ca="1" si="7"/>
        <v>9</v>
      </c>
      <c r="M15">
        <f t="shared" ca="1" si="7"/>
        <v>6</v>
      </c>
      <c r="N15">
        <f t="shared" ca="1" si="7"/>
        <v>2</v>
      </c>
      <c r="O15">
        <f t="shared" ca="1" si="7"/>
        <v>7</v>
      </c>
      <c r="P15">
        <f t="shared" ca="1" si="7"/>
        <v>2</v>
      </c>
      <c r="Q15">
        <f t="shared" ca="1" si="7"/>
        <v>2</v>
      </c>
      <c r="R15">
        <f t="shared" ca="1" si="7"/>
        <v>1</v>
      </c>
      <c r="S15">
        <f t="shared" ca="1" si="7"/>
        <v>9</v>
      </c>
      <c r="T15">
        <f t="shared" ca="1" si="7"/>
        <v>1</v>
      </c>
      <c r="U15">
        <f t="shared" ca="1" si="7"/>
        <v>5</v>
      </c>
      <c r="V15">
        <f t="shared" ca="1" si="7"/>
        <v>6</v>
      </c>
      <c r="W15">
        <f t="shared" ca="1" si="7"/>
        <v>9</v>
      </c>
      <c r="X15">
        <f t="shared" ca="1" si="7"/>
        <v>4</v>
      </c>
      <c r="Y15">
        <f t="shared" ca="1" si="7"/>
        <v>4</v>
      </c>
      <c r="Z15">
        <f t="shared" ca="1" si="7"/>
        <v>6</v>
      </c>
      <c r="AA15">
        <f t="shared" ca="1" si="7"/>
        <v>6</v>
      </c>
      <c r="AB15">
        <f t="shared" ca="1" si="7"/>
        <v>2</v>
      </c>
      <c r="AC15">
        <f t="shared" ca="1" si="7"/>
        <v>3</v>
      </c>
      <c r="AD15">
        <f t="shared" ca="1" si="7"/>
        <v>6</v>
      </c>
      <c r="AE15">
        <f t="shared" ca="1" si="7"/>
        <v>1</v>
      </c>
      <c r="AF15">
        <f t="shared" ca="1" si="7"/>
        <v>8</v>
      </c>
      <c r="AG15">
        <f t="shared" ca="1" si="7"/>
        <v>2</v>
      </c>
      <c r="AH15" s="25">
        <f t="shared" ca="1" si="3"/>
        <v>154</v>
      </c>
      <c r="AI15">
        <v>391</v>
      </c>
      <c r="AJ15">
        <v>500</v>
      </c>
      <c r="AK15">
        <f t="shared" si="4"/>
        <v>109</v>
      </c>
      <c r="AL15" s="15">
        <f t="shared" ca="1" si="5"/>
        <v>77000</v>
      </c>
      <c r="AM15" s="15">
        <f t="shared" ca="1" si="6"/>
        <v>16786</v>
      </c>
      <c r="AO15" t="s">
        <v>80</v>
      </c>
      <c r="AP15" s="13">
        <f ca="1">SUM(AM3:AM57)</f>
        <v>293799</v>
      </c>
    </row>
    <row r="16" spans="1:42">
      <c r="A16" s="27"/>
      <c r="B16" t="s">
        <v>33</v>
      </c>
      <c r="C16">
        <f t="shared" ca="1" si="2"/>
        <v>7</v>
      </c>
      <c r="D16">
        <f t="shared" ca="1" si="7"/>
        <v>1</v>
      </c>
      <c r="E16">
        <f t="shared" ca="1" si="7"/>
        <v>1</v>
      </c>
      <c r="F16">
        <f t="shared" ca="1" si="7"/>
        <v>6</v>
      </c>
      <c r="G16">
        <f t="shared" ca="1" si="7"/>
        <v>9</v>
      </c>
      <c r="H16">
        <f t="shared" ca="1" si="7"/>
        <v>3</v>
      </c>
      <c r="I16">
        <f t="shared" ca="1" si="7"/>
        <v>1</v>
      </c>
      <c r="J16">
        <f t="shared" ca="1" si="7"/>
        <v>1</v>
      </c>
      <c r="K16">
        <f t="shared" ca="1" si="7"/>
        <v>9</v>
      </c>
      <c r="L16">
        <f t="shared" ca="1" si="7"/>
        <v>10</v>
      </c>
      <c r="M16">
        <f t="shared" ca="1" si="7"/>
        <v>4</v>
      </c>
      <c r="N16">
        <f t="shared" ca="1" si="7"/>
        <v>4</v>
      </c>
      <c r="O16">
        <f t="shared" ca="1" si="7"/>
        <v>8</v>
      </c>
      <c r="P16">
        <f t="shared" ca="1" si="7"/>
        <v>7</v>
      </c>
      <c r="Q16">
        <f t="shared" ca="1" si="7"/>
        <v>10</v>
      </c>
      <c r="R16">
        <f t="shared" ca="1" si="7"/>
        <v>7</v>
      </c>
      <c r="S16">
        <f t="shared" ca="1" si="7"/>
        <v>10</v>
      </c>
      <c r="T16">
        <f t="shared" ca="1" si="7"/>
        <v>8</v>
      </c>
      <c r="U16">
        <f t="shared" ca="1" si="7"/>
        <v>8</v>
      </c>
      <c r="V16">
        <f t="shared" ca="1" si="7"/>
        <v>1</v>
      </c>
      <c r="W16">
        <f t="shared" ca="1" si="7"/>
        <v>9</v>
      </c>
      <c r="X16">
        <f t="shared" ca="1" si="7"/>
        <v>5</v>
      </c>
      <c r="Y16">
        <f t="shared" ca="1" si="7"/>
        <v>1</v>
      </c>
      <c r="Z16">
        <f t="shared" ca="1" si="7"/>
        <v>10</v>
      </c>
      <c r="AA16">
        <f t="shared" ca="1" si="7"/>
        <v>3</v>
      </c>
      <c r="AB16">
        <f t="shared" ca="1" si="7"/>
        <v>1</v>
      </c>
      <c r="AC16">
        <f t="shared" ca="1" si="7"/>
        <v>9</v>
      </c>
      <c r="AD16">
        <f t="shared" ca="1" si="7"/>
        <v>6</v>
      </c>
      <c r="AE16">
        <f t="shared" ca="1" si="7"/>
        <v>7</v>
      </c>
      <c r="AF16">
        <f t="shared" ca="1" si="7"/>
        <v>8</v>
      </c>
      <c r="AG16">
        <f t="shared" ca="1" si="7"/>
        <v>9</v>
      </c>
      <c r="AH16" s="25">
        <f t="shared" ca="1" si="3"/>
        <v>183</v>
      </c>
      <c r="AI16">
        <v>261</v>
      </c>
      <c r="AJ16">
        <v>300</v>
      </c>
      <c r="AK16">
        <f t="shared" si="4"/>
        <v>39</v>
      </c>
      <c r="AL16" s="15">
        <f t="shared" ca="1" si="5"/>
        <v>54900</v>
      </c>
      <c r="AM16" s="15">
        <f t="shared" ca="1" si="6"/>
        <v>7137</v>
      </c>
      <c r="AO16" s="1" t="s">
        <v>94</v>
      </c>
      <c r="AP16" s="14">
        <f ca="1">AP15-(AP9+AP10+AP11+AP12+AP13+AP14)</f>
        <v>190232.33333333331</v>
      </c>
    </row>
    <row r="17" spans="1:39">
      <c r="A17" s="27"/>
      <c r="B17" t="s">
        <v>34</v>
      </c>
      <c r="C17">
        <f t="shared" ca="1" si="2"/>
        <v>1</v>
      </c>
      <c r="D17">
        <f t="shared" ref="D17:AG25" ca="1" si="8">RANDBETWEEN(1,10)</f>
        <v>7</v>
      </c>
      <c r="E17">
        <f t="shared" ca="1" si="8"/>
        <v>7</v>
      </c>
      <c r="F17">
        <f t="shared" ca="1" si="8"/>
        <v>6</v>
      </c>
      <c r="G17">
        <f t="shared" ca="1" si="8"/>
        <v>4</v>
      </c>
      <c r="H17">
        <f t="shared" ca="1" si="8"/>
        <v>6</v>
      </c>
      <c r="I17">
        <f t="shared" ca="1" si="8"/>
        <v>5</v>
      </c>
      <c r="J17">
        <f t="shared" ca="1" si="8"/>
        <v>4</v>
      </c>
      <c r="K17">
        <f t="shared" ca="1" si="8"/>
        <v>1</v>
      </c>
      <c r="L17">
        <f t="shared" ca="1" si="8"/>
        <v>5</v>
      </c>
      <c r="M17">
        <f t="shared" ca="1" si="8"/>
        <v>7</v>
      </c>
      <c r="N17">
        <f t="shared" ca="1" si="8"/>
        <v>2</v>
      </c>
      <c r="O17">
        <f t="shared" ca="1" si="8"/>
        <v>10</v>
      </c>
      <c r="P17">
        <f t="shared" ca="1" si="8"/>
        <v>9</v>
      </c>
      <c r="Q17">
        <f t="shared" ca="1" si="8"/>
        <v>10</v>
      </c>
      <c r="R17">
        <f t="shared" ca="1" si="8"/>
        <v>5</v>
      </c>
      <c r="S17">
        <f t="shared" ca="1" si="8"/>
        <v>1</v>
      </c>
      <c r="T17">
        <f t="shared" ca="1" si="8"/>
        <v>1</v>
      </c>
      <c r="U17">
        <f t="shared" ca="1" si="8"/>
        <v>4</v>
      </c>
      <c r="V17">
        <f t="shared" ca="1" si="8"/>
        <v>6</v>
      </c>
      <c r="W17">
        <f t="shared" ca="1" si="8"/>
        <v>7</v>
      </c>
      <c r="X17">
        <f t="shared" ca="1" si="8"/>
        <v>10</v>
      </c>
      <c r="Y17">
        <f t="shared" ca="1" si="8"/>
        <v>5</v>
      </c>
      <c r="Z17">
        <f t="shared" ca="1" si="8"/>
        <v>2</v>
      </c>
      <c r="AA17">
        <f t="shared" ca="1" si="8"/>
        <v>4</v>
      </c>
      <c r="AB17">
        <f t="shared" ca="1" si="8"/>
        <v>9</v>
      </c>
      <c r="AC17">
        <f t="shared" ca="1" si="8"/>
        <v>3</v>
      </c>
      <c r="AD17">
        <f t="shared" ca="1" si="8"/>
        <v>10</v>
      </c>
      <c r="AE17">
        <f t="shared" ca="1" si="8"/>
        <v>1</v>
      </c>
      <c r="AF17">
        <f t="shared" ca="1" si="8"/>
        <v>7</v>
      </c>
      <c r="AG17">
        <f t="shared" ca="1" si="8"/>
        <v>4</v>
      </c>
      <c r="AH17" s="25">
        <f t="shared" ca="1" si="3"/>
        <v>163</v>
      </c>
      <c r="AI17">
        <v>67</v>
      </c>
      <c r="AJ17">
        <v>99</v>
      </c>
      <c r="AK17">
        <f t="shared" si="4"/>
        <v>32</v>
      </c>
      <c r="AL17" s="15">
        <f t="shared" ca="1" si="5"/>
        <v>16137</v>
      </c>
      <c r="AM17" s="15">
        <f t="shared" ca="1" si="6"/>
        <v>5216</v>
      </c>
    </row>
    <row r="18" spans="1:39">
      <c r="A18" s="27"/>
      <c r="B18" t="s">
        <v>35</v>
      </c>
      <c r="C18">
        <f t="shared" ca="1" si="2"/>
        <v>9</v>
      </c>
      <c r="D18">
        <f t="shared" ca="1" si="8"/>
        <v>10</v>
      </c>
      <c r="E18">
        <f t="shared" ca="1" si="8"/>
        <v>1</v>
      </c>
      <c r="F18">
        <f t="shared" ca="1" si="8"/>
        <v>4</v>
      </c>
      <c r="G18">
        <f t="shared" ca="1" si="8"/>
        <v>7</v>
      </c>
      <c r="H18">
        <f t="shared" ca="1" si="8"/>
        <v>5</v>
      </c>
      <c r="I18">
        <f t="shared" ca="1" si="8"/>
        <v>9</v>
      </c>
      <c r="J18">
        <f t="shared" ca="1" si="8"/>
        <v>10</v>
      </c>
      <c r="K18">
        <f t="shared" ca="1" si="8"/>
        <v>9</v>
      </c>
      <c r="L18">
        <f t="shared" ca="1" si="8"/>
        <v>6</v>
      </c>
      <c r="M18">
        <f t="shared" ca="1" si="8"/>
        <v>3</v>
      </c>
      <c r="N18">
        <f t="shared" ca="1" si="8"/>
        <v>9</v>
      </c>
      <c r="O18">
        <f t="shared" ca="1" si="8"/>
        <v>3</v>
      </c>
      <c r="P18">
        <f t="shared" ca="1" si="8"/>
        <v>5</v>
      </c>
      <c r="Q18">
        <f t="shared" ca="1" si="8"/>
        <v>1</v>
      </c>
      <c r="R18">
        <f t="shared" ca="1" si="8"/>
        <v>7</v>
      </c>
      <c r="S18">
        <f t="shared" ca="1" si="8"/>
        <v>5</v>
      </c>
      <c r="T18">
        <f t="shared" ca="1" si="8"/>
        <v>8</v>
      </c>
      <c r="U18">
        <f t="shared" ca="1" si="8"/>
        <v>10</v>
      </c>
      <c r="V18">
        <f t="shared" ca="1" si="8"/>
        <v>5</v>
      </c>
      <c r="W18">
        <f t="shared" ca="1" si="8"/>
        <v>9</v>
      </c>
      <c r="X18">
        <f t="shared" ca="1" si="8"/>
        <v>3</v>
      </c>
      <c r="Y18">
        <f t="shared" ca="1" si="8"/>
        <v>6</v>
      </c>
      <c r="Z18">
        <f t="shared" ca="1" si="8"/>
        <v>4</v>
      </c>
      <c r="AA18">
        <f t="shared" ca="1" si="8"/>
        <v>7</v>
      </c>
      <c r="AB18">
        <f t="shared" ca="1" si="8"/>
        <v>2</v>
      </c>
      <c r="AC18">
        <f t="shared" ca="1" si="8"/>
        <v>3</v>
      </c>
      <c r="AD18">
        <f t="shared" ca="1" si="8"/>
        <v>9</v>
      </c>
      <c r="AE18">
        <f t="shared" ca="1" si="8"/>
        <v>2</v>
      </c>
      <c r="AF18">
        <f t="shared" ca="1" si="8"/>
        <v>6</v>
      </c>
      <c r="AG18">
        <f t="shared" ca="1" si="8"/>
        <v>10</v>
      </c>
      <c r="AH18" s="25">
        <f t="shared" ca="1" si="3"/>
        <v>187</v>
      </c>
      <c r="AI18">
        <v>138</v>
      </c>
      <c r="AJ18">
        <v>150</v>
      </c>
      <c r="AK18">
        <f t="shared" si="4"/>
        <v>12</v>
      </c>
      <c r="AL18" s="15">
        <f t="shared" ca="1" si="5"/>
        <v>28050</v>
      </c>
      <c r="AM18" s="15">
        <f t="shared" ca="1" si="6"/>
        <v>2244</v>
      </c>
    </row>
    <row r="19" spans="1:39">
      <c r="A19" s="27"/>
      <c r="B19" t="s">
        <v>36</v>
      </c>
      <c r="C19">
        <f t="shared" ca="1" si="2"/>
        <v>6</v>
      </c>
      <c r="D19">
        <f t="shared" ca="1" si="8"/>
        <v>2</v>
      </c>
      <c r="E19">
        <f t="shared" ca="1" si="8"/>
        <v>3</v>
      </c>
      <c r="F19">
        <f t="shared" ca="1" si="8"/>
        <v>9</v>
      </c>
      <c r="G19">
        <f t="shared" ca="1" si="8"/>
        <v>7</v>
      </c>
      <c r="H19">
        <f t="shared" ca="1" si="8"/>
        <v>8</v>
      </c>
      <c r="I19">
        <f t="shared" ca="1" si="8"/>
        <v>7</v>
      </c>
      <c r="J19">
        <f t="shared" ca="1" si="8"/>
        <v>7</v>
      </c>
      <c r="K19">
        <f t="shared" ca="1" si="8"/>
        <v>3</v>
      </c>
      <c r="L19">
        <f t="shared" ca="1" si="8"/>
        <v>3</v>
      </c>
      <c r="M19">
        <f t="shared" ca="1" si="8"/>
        <v>9</v>
      </c>
      <c r="N19">
        <f t="shared" ca="1" si="8"/>
        <v>10</v>
      </c>
      <c r="O19">
        <f t="shared" ca="1" si="8"/>
        <v>8</v>
      </c>
      <c r="P19">
        <f t="shared" ca="1" si="8"/>
        <v>7</v>
      </c>
      <c r="Q19">
        <f t="shared" ca="1" si="8"/>
        <v>4</v>
      </c>
      <c r="R19">
        <f t="shared" ca="1" si="8"/>
        <v>2</v>
      </c>
      <c r="S19">
        <f t="shared" ca="1" si="8"/>
        <v>6</v>
      </c>
      <c r="T19">
        <f t="shared" ca="1" si="8"/>
        <v>3</v>
      </c>
      <c r="U19">
        <f t="shared" ca="1" si="8"/>
        <v>9</v>
      </c>
      <c r="V19">
        <f t="shared" ca="1" si="8"/>
        <v>5</v>
      </c>
      <c r="W19">
        <f t="shared" ca="1" si="8"/>
        <v>3</v>
      </c>
      <c r="X19">
        <f t="shared" ca="1" si="8"/>
        <v>1</v>
      </c>
      <c r="Y19">
        <f t="shared" ca="1" si="8"/>
        <v>5</v>
      </c>
      <c r="Z19">
        <f t="shared" ca="1" si="8"/>
        <v>9</v>
      </c>
      <c r="AA19">
        <f t="shared" ca="1" si="8"/>
        <v>2</v>
      </c>
      <c r="AB19">
        <f t="shared" ca="1" si="8"/>
        <v>2</v>
      </c>
      <c r="AC19">
        <f t="shared" ca="1" si="8"/>
        <v>4</v>
      </c>
      <c r="AD19">
        <f t="shared" ca="1" si="8"/>
        <v>3</v>
      </c>
      <c r="AE19">
        <f t="shared" ca="1" si="8"/>
        <v>2</v>
      </c>
      <c r="AF19">
        <f t="shared" ca="1" si="8"/>
        <v>2</v>
      </c>
      <c r="AG19">
        <f t="shared" ca="1" si="8"/>
        <v>6</v>
      </c>
      <c r="AH19" s="25">
        <f t="shared" ca="1" si="3"/>
        <v>157</v>
      </c>
      <c r="AI19">
        <v>60</v>
      </c>
      <c r="AJ19">
        <v>80</v>
      </c>
      <c r="AK19">
        <f t="shared" si="4"/>
        <v>20</v>
      </c>
      <c r="AL19" s="15">
        <f t="shared" ca="1" si="5"/>
        <v>12560</v>
      </c>
      <c r="AM19" s="15">
        <f t="shared" ca="1" si="6"/>
        <v>3140</v>
      </c>
    </row>
    <row r="20" spans="1:39">
      <c r="A20" s="27"/>
      <c r="B20" t="s">
        <v>37</v>
      </c>
      <c r="C20">
        <f t="shared" ref="C20:C35" ca="1" si="9">RANDBETWEEN(1,10)</f>
        <v>10</v>
      </c>
      <c r="D20">
        <f t="shared" ca="1" si="8"/>
        <v>5</v>
      </c>
      <c r="E20">
        <f t="shared" ca="1" si="8"/>
        <v>2</v>
      </c>
      <c r="F20">
        <f t="shared" ca="1" si="8"/>
        <v>9</v>
      </c>
      <c r="G20">
        <f t="shared" ca="1" si="8"/>
        <v>2</v>
      </c>
      <c r="H20">
        <f t="shared" ca="1" si="8"/>
        <v>10</v>
      </c>
      <c r="I20">
        <f t="shared" ca="1" si="8"/>
        <v>3</v>
      </c>
      <c r="J20">
        <f t="shared" ca="1" si="8"/>
        <v>10</v>
      </c>
      <c r="K20">
        <f t="shared" ca="1" si="8"/>
        <v>7</v>
      </c>
      <c r="L20">
        <f t="shared" ca="1" si="8"/>
        <v>10</v>
      </c>
      <c r="M20">
        <f t="shared" ca="1" si="8"/>
        <v>2</v>
      </c>
      <c r="N20">
        <f t="shared" ca="1" si="8"/>
        <v>2</v>
      </c>
      <c r="O20">
        <f t="shared" ca="1" si="8"/>
        <v>9</v>
      </c>
      <c r="P20">
        <f t="shared" ca="1" si="8"/>
        <v>10</v>
      </c>
      <c r="Q20">
        <f t="shared" ca="1" si="8"/>
        <v>6</v>
      </c>
      <c r="R20">
        <f t="shared" ca="1" si="8"/>
        <v>3</v>
      </c>
      <c r="S20">
        <f t="shared" ca="1" si="8"/>
        <v>1</v>
      </c>
      <c r="T20">
        <f t="shared" ca="1" si="8"/>
        <v>5</v>
      </c>
      <c r="U20">
        <f t="shared" ca="1" si="8"/>
        <v>9</v>
      </c>
      <c r="V20">
        <f t="shared" ca="1" si="8"/>
        <v>6</v>
      </c>
      <c r="W20">
        <f t="shared" ca="1" si="8"/>
        <v>2</v>
      </c>
      <c r="X20">
        <f t="shared" ca="1" si="8"/>
        <v>8</v>
      </c>
      <c r="Y20">
        <f t="shared" ca="1" si="8"/>
        <v>9</v>
      </c>
      <c r="Z20">
        <f t="shared" ca="1" si="8"/>
        <v>4</v>
      </c>
      <c r="AA20">
        <f t="shared" ca="1" si="8"/>
        <v>4</v>
      </c>
      <c r="AB20">
        <f t="shared" ca="1" si="8"/>
        <v>5</v>
      </c>
      <c r="AC20">
        <f t="shared" ca="1" si="8"/>
        <v>1</v>
      </c>
      <c r="AD20">
        <f t="shared" ca="1" si="8"/>
        <v>4</v>
      </c>
      <c r="AE20">
        <f t="shared" ca="1" si="8"/>
        <v>7</v>
      </c>
      <c r="AF20">
        <f t="shared" ca="1" si="8"/>
        <v>9</v>
      </c>
      <c r="AG20">
        <f t="shared" ca="1" si="8"/>
        <v>7</v>
      </c>
      <c r="AH20" s="25">
        <f t="shared" ca="1" si="3"/>
        <v>181</v>
      </c>
      <c r="AI20">
        <v>44</v>
      </c>
      <c r="AJ20">
        <v>50</v>
      </c>
      <c r="AK20">
        <f t="shared" si="4"/>
        <v>6</v>
      </c>
      <c r="AL20" s="15">
        <f t="shared" ca="1" si="5"/>
        <v>9050</v>
      </c>
      <c r="AM20" s="15">
        <f t="shared" ca="1" si="6"/>
        <v>1086</v>
      </c>
    </row>
    <row r="21" spans="1:39">
      <c r="A21" s="27"/>
      <c r="B21" t="s">
        <v>38</v>
      </c>
      <c r="C21">
        <f t="shared" ca="1" si="9"/>
        <v>8</v>
      </c>
      <c r="D21">
        <f t="shared" ca="1" si="8"/>
        <v>9</v>
      </c>
      <c r="E21">
        <f t="shared" ca="1" si="8"/>
        <v>1</v>
      </c>
      <c r="F21">
        <f t="shared" ca="1" si="8"/>
        <v>1</v>
      </c>
      <c r="G21">
        <f t="shared" ca="1" si="8"/>
        <v>7</v>
      </c>
      <c r="H21">
        <f t="shared" ca="1" si="8"/>
        <v>5</v>
      </c>
      <c r="I21">
        <f t="shared" ca="1" si="8"/>
        <v>7</v>
      </c>
      <c r="J21">
        <f t="shared" ca="1" si="8"/>
        <v>9</v>
      </c>
      <c r="K21">
        <f t="shared" ca="1" si="8"/>
        <v>6</v>
      </c>
      <c r="L21">
        <f t="shared" ca="1" si="8"/>
        <v>9</v>
      </c>
      <c r="M21">
        <f t="shared" ca="1" si="8"/>
        <v>1</v>
      </c>
      <c r="N21">
        <f t="shared" ca="1" si="8"/>
        <v>9</v>
      </c>
      <c r="O21">
        <f t="shared" ca="1" si="8"/>
        <v>10</v>
      </c>
      <c r="P21">
        <f t="shared" ca="1" si="8"/>
        <v>2</v>
      </c>
      <c r="Q21">
        <f t="shared" ca="1" si="8"/>
        <v>5</v>
      </c>
      <c r="R21">
        <f t="shared" ca="1" si="8"/>
        <v>1</v>
      </c>
      <c r="S21">
        <f t="shared" ca="1" si="8"/>
        <v>6</v>
      </c>
      <c r="T21">
        <f t="shared" ca="1" si="8"/>
        <v>6</v>
      </c>
      <c r="U21">
        <f t="shared" ca="1" si="8"/>
        <v>8</v>
      </c>
      <c r="V21">
        <f t="shared" ca="1" si="8"/>
        <v>6</v>
      </c>
      <c r="W21">
        <f t="shared" ca="1" si="8"/>
        <v>4</v>
      </c>
      <c r="X21">
        <f t="shared" ca="1" si="8"/>
        <v>7</v>
      </c>
      <c r="Y21">
        <f t="shared" ca="1" si="8"/>
        <v>8</v>
      </c>
      <c r="Z21">
        <f t="shared" ca="1" si="8"/>
        <v>7</v>
      </c>
      <c r="AA21">
        <f t="shared" ca="1" si="8"/>
        <v>5</v>
      </c>
      <c r="AB21">
        <f t="shared" ca="1" si="8"/>
        <v>9</v>
      </c>
      <c r="AC21">
        <f t="shared" ca="1" si="8"/>
        <v>2</v>
      </c>
      <c r="AD21">
        <f t="shared" ca="1" si="8"/>
        <v>4</v>
      </c>
      <c r="AE21">
        <f t="shared" ca="1" si="8"/>
        <v>6</v>
      </c>
      <c r="AF21">
        <f t="shared" ca="1" si="8"/>
        <v>7</v>
      </c>
      <c r="AG21">
        <f t="shared" ca="1" si="8"/>
        <v>4</v>
      </c>
      <c r="AH21" s="25">
        <f t="shared" ca="1" si="3"/>
        <v>179</v>
      </c>
      <c r="AI21">
        <v>308</v>
      </c>
      <c r="AJ21">
        <v>320</v>
      </c>
      <c r="AK21">
        <f t="shared" si="4"/>
        <v>12</v>
      </c>
      <c r="AL21" s="15">
        <f t="shared" ca="1" si="5"/>
        <v>57280</v>
      </c>
      <c r="AM21" s="15">
        <f t="shared" ca="1" si="6"/>
        <v>2148</v>
      </c>
    </row>
    <row r="22" spans="1:39">
      <c r="A22" s="27"/>
      <c r="B22" t="s">
        <v>39</v>
      </c>
      <c r="C22">
        <f t="shared" ca="1" si="9"/>
        <v>3</v>
      </c>
      <c r="D22">
        <f t="shared" ca="1" si="8"/>
        <v>7</v>
      </c>
      <c r="E22">
        <f t="shared" ca="1" si="8"/>
        <v>2</v>
      </c>
      <c r="F22">
        <f t="shared" ca="1" si="8"/>
        <v>8</v>
      </c>
      <c r="G22">
        <f t="shared" ca="1" si="8"/>
        <v>3</v>
      </c>
      <c r="H22">
        <f t="shared" ca="1" si="8"/>
        <v>3</v>
      </c>
      <c r="I22">
        <f t="shared" ca="1" si="8"/>
        <v>5</v>
      </c>
      <c r="J22">
        <f t="shared" ca="1" si="8"/>
        <v>7</v>
      </c>
      <c r="K22">
        <f t="shared" ca="1" si="8"/>
        <v>3</v>
      </c>
      <c r="L22">
        <f t="shared" ca="1" si="8"/>
        <v>1</v>
      </c>
      <c r="M22">
        <f t="shared" ca="1" si="8"/>
        <v>8</v>
      </c>
      <c r="N22">
        <f t="shared" ca="1" si="8"/>
        <v>9</v>
      </c>
      <c r="O22">
        <f t="shared" ca="1" si="8"/>
        <v>4</v>
      </c>
      <c r="P22">
        <f t="shared" ca="1" si="8"/>
        <v>9</v>
      </c>
      <c r="Q22">
        <f t="shared" ca="1" si="8"/>
        <v>5</v>
      </c>
      <c r="R22">
        <f t="shared" ca="1" si="8"/>
        <v>1</v>
      </c>
      <c r="S22">
        <f t="shared" ca="1" si="8"/>
        <v>7</v>
      </c>
      <c r="T22">
        <f t="shared" ca="1" si="8"/>
        <v>2</v>
      </c>
      <c r="U22">
        <f t="shared" ca="1" si="8"/>
        <v>2</v>
      </c>
      <c r="V22">
        <f t="shared" ca="1" si="8"/>
        <v>4</v>
      </c>
      <c r="W22">
        <f t="shared" ca="1" si="8"/>
        <v>7</v>
      </c>
      <c r="X22">
        <f t="shared" ca="1" si="8"/>
        <v>10</v>
      </c>
      <c r="Y22">
        <f t="shared" ca="1" si="8"/>
        <v>7</v>
      </c>
      <c r="Z22">
        <f t="shared" ca="1" si="8"/>
        <v>1</v>
      </c>
      <c r="AA22">
        <f t="shared" ca="1" si="8"/>
        <v>2</v>
      </c>
      <c r="AB22">
        <f t="shared" ca="1" si="8"/>
        <v>9</v>
      </c>
      <c r="AC22">
        <f t="shared" ca="1" si="8"/>
        <v>10</v>
      </c>
      <c r="AD22">
        <f t="shared" ca="1" si="8"/>
        <v>1</v>
      </c>
      <c r="AE22">
        <f t="shared" ca="1" si="8"/>
        <v>9</v>
      </c>
      <c r="AF22">
        <f t="shared" ca="1" si="8"/>
        <v>3</v>
      </c>
      <c r="AG22">
        <f t="shared" ca="1" si="8"/>
        <v>5</v>
      </c>
      <c r="AH22" s="25">
        <f t="shared" ca="1" si="3"/>
        <v>157</v>
      </c>
      <c r="AI22">
        <v>234</v>
      </c>
      <c r="AJ22">
        <v>250</v>
      </c>
      <c r="AK22">
        <f t="shared" si="4"/>
        <v>16</v>
      </c>
      <c r="AL22" s="15">
        <f t="shared" ca="1" si="5"/>
        <v>39250</v>
      </c>
      <c r="AM22" s="15">
        <f t="shared" ca="1" si="6"/>
        <v>2512</v>
      </c>
    </row>
    <row r="23" spans="1:39">
      <c r="A23" s="27"/>
      <c r="B23" t="s">
        <v>40</v>
      </c>
      <c r="C23">
        <f t="shared" ca="1" si="9"/>
        <v>10</v>
      </c>
      <c r="D23">
        <f t="shared" ca="1" si="8"/>
        <v>5</v>
      </c>
      <c r="E23">
        <f t="shared" ca="1" si="8"/>
        <v>2</v>
      </c>
      <c r="F23">
        <f t="shared" ca="1" si="8"/>
        <v>8</v>
      </c>
      <c r="G23">
        <f t="shared" ca="1" si="8"/>
        <v>5</v>
      </c>
      <c r="H23">
        <f t="shared" ca="1" si="8"/>
        <v>6</v>
      </c>
      <c r="I23">
        <f t="shared" ca="1" si="8"/>
        <v>7</v>
      </c>
      <c r="J23">
        <f t="shared" ca="1" si="8"/>
        <v>5</v>
      </c>
      <c r="K23">
        <f t="shared" ca="1" si="8"/>
        <v>3</v>
      </c>
      <c r="L23">
        <f t="shared" ca="1" si="8"/>
        <v>5</v>
      </c>
      <c r="M23">
        <f t="shared" ca="1" si="8"/>
        <v>1</v>
      </c>
      <c r="N23">
        <f t="shared" ca="1" si="8"/>
        <v>8</v>
      </c>
      <c r="O23">
        <f t="shared" ca="1" si="8"/>
        <v>5</v>
      </c>
      <c r="P23">
        <f t="shared" ca="1" si="8"/>
        <v>1</v>
      </c>
      <c r="Q23">
        <f t="shared" ca="1" si="8"/>
        <v>9</v>
      </c>
      <c r="R23">
        <f t="shared" ca="1" si="8"/>
        <v>4</v>
      </c>
      <c r="S23">
        <f t="shared" ca="1" si="8"/>
        <v>2</v>
      </c>
      <c r="T23">
        <f t="shared" ca="1" si="8"/>
        <v>8</v>
      </c>
      <c r="U23">
        <f t="shared" ca="1" si="8"/>
        <v>3</v>
      </c>
      <c r="V23">
        <f t="shared" ca="1" si="8"/>
        <v>5</v>
      </c>
      <c r="W23">
        <f t="shared" ca="1" si="8"/>
        <v>3</v>
      </c>
      <c r="X23">
        <f t="shared" ca="1" si="8"/>
        <v>1</v>
      </c>
      <c r="Y23">
        <f t="shared" ca="1" si="8"/>
        <v>3</v>
      </c>
      <c r="Z23">
        <f t="shared" ca="1" si="8"/>
        <v>7</v>
      </c>
      <c r="AA23">
        <f t="shared" ca="1" si="8"/>
        <v>6</v>
      </c>
      <c r="AB23">
        <f t="shared" ca="1" si="8"/>
        <v>10</v>
      </c>
      <c r="AC23">
        <f t="shared" ca="1" si="8"/>
        <v>10</v>
      </c>
      <c r="AD23">
        <f t="shared" ca="1" si="8"/>
        <v>5</v>
      </c>
      <c r="AE23">
        <f t="shared" ca="1" si="8"/>
        <v>6</v>
      </c>
      <c r="AF23">
        <f t="shared" ca="1" si="8"/>
        <v>3</v>
      </c>
      <c r="AG23">
        <f t="shared" ca="1" si="8"/>
        <v>5</v>
      </c>
      <c r="AH23" s="25">
        <f t="shared" ca="1" si="3"/>
        <v>161</v>
      </c>
      <c r="AI23">
        <v>121</v>
      </c>
      <c r="AJ23">
        <v>140</v>
      </c>
      <c r="AK23">
        <f t="shared" si="4"/>
        <v>19</v>
      </c>
      <c r="AL23" s="15">
        <f t="shared" ca="1" si="5"/>
        <v>22540</v>
      </c>
      <c r="AM23" s="15">
        <f t="shared" ca="1" si="6"/>
        <v>3059</v>
      </c>
    </row>
    <row r="24" spans="1:39">
      <c r="A24" s="27"/>
      <c r="B24" t="s">
        <v>41</v>
      </c>
      <c r="C24">
        <f t="shared" ca="1" si="9"/>
        <v>4</v>
      </c>
      <c r="D24">
        <f t="shared" ca="1" si="8"/>
        <v>3</v>
      </c>
      <c r="E24">
        <f t="shared" ca="1" si="8"/>
        <v>6</v>
      </c>
      <c r="F24">
        <f t="shared" ca="1" si="8"/>
        <v>10</v>
      </c>
      <c r="G24">
        <f t="shared" ca="1" si="8"/>
        <v>9</v>
      </c>
      <c r="H24">
        <f t="shared" ca="1" si="8"/>
        <v>7</v>
      </c>
      <c r="I24">
        <f t="shared" ca="1" si="8"/>
        <v>6</v>
      </c>
      <c r="J24">
        <f t="shared" ca="1" si="8"/>
        <v>9</v>
      </c>
      <c r="K24">
        <f t="shared" ca="1" si="8"/>
        <v>1</v>
      </c>
      <c r="L24">
        <f t="shared" ca="1" si="8"/>
        <v>9</v>
      </c>
      <c r="M24">
        <f t="shared" ca="1" si="8"/>
        <v>3</v>
      </c>
      <c r="N24">
        <f t="shared" ca="1" si="8"/>
        <v>5</v>
      </c>
      <c r="O24">
        <f t="shared" ca="1" si="8"/>
        <v>2</v>
      </c>
      <c r="P24">
        <f t="shared" ca="1" si="8"/>
        <v>9</v>
      </c>
      <c r="Q24">
        <f t="shared" ca="1" si="8"/>
        <v>2</v>
      </c>
      <c r="R24">
        <f t="shared" ca="1" si="8"/>
        <v>1</v>
      </c>
      <c r="S24">
        <f t="shared" ca="1" si="8"/>
        <v>5</v>
      </c>
      <c r="T24">
        <f t="shared" ca="1" si="8"/>
        <v>4</v>
      </c>
      <c r="U24">
        <f t="shared" ca="1" si="8"/>
        <v>2</v>
      </c>
      <c r="V24">
        <f t="shared" ca="1" si="8"/>
        <v>10</v>
      </c>
      <c r="W24">
        <f t="shared" ca="1" si="8"/>
        <v>4</v>
      </c>
      <c r="X24">
        <f t="shared" ca="1" si="8"/>
        <v>7</v>
      </c>
      <c r="Y24">
        <f t="shared" ca="1" si="8"/>
        <v>4</v>
      </c>
      <c r="Z24">
        <f t="shared" ca="1" si="8"/>
        <v>2</v>
      </c>
      <c r="AA24">
        <f t="shared" ca="1" si="8"/>
        <v>1</v>
      </c>
      <c r="AB24">
        <f t="shared" ca="1" si="8"/>
        <v>9</v>
      </c>
      <c r="AC24">
        <f t="shared" ca="1" si="8"/>
        <v>6</v>
      </c>
      <c r="AD24">
        <f t="shared" ca="1" si="8"/>
        <v>2</v>
      </c>
      <c r="AE24">
        <f t="shared" ca="1" si="8"/>
        <v>7</v>
      </c>
      <c r="AF24">
        <f t="shared" ca="1" si="8"/>
        <v>8</v>
      </c>
      <c r="AG24">
        <f t="shared" ca="1" si="8"/>
        <v>2</v>
      </c>
      <c r="AH24" s="25">
        <f t="shared" ca="1" si="3"/>
        <v>159</v>
      </c>
      <c r="AI24">
        <v>350</v>
      </c>
      <c r="AJ24">
        <v>390</v>
      </c>
      <c r="AK24">
        <f t="shared" si="4"/>
        <v>40</v>
      </c>
      <c r="AL24" s="15">
        <f t="shared" ca="1" si="5"/>
        <v>62010</v>
      </c>
      <c r="AM24" s="15">
        <f t="shared" ca="1" si="6"/>
        <v>6360</v>
      </c>
    </row>
    <row r="25" spans="1:39">
      <c r="A25" s="27"/>
      <c r="B25" t="s">
        <v>42</v>
      </c>
      <c r="C25">
        <f t="shared" ca="1" si="9"/>
        <v>7</v>
      </c>
      <c r="D25">
        <f t="shared" ca="1" si="8"/>
        <v>8</v>
      </c>
      <c r="E25">
        <f t="shared" ca="1" si="8"/>
        <v>9</v>
      </c>
      <c r="F25">
        <f t="shared" ca="1" si="8"/>
        <v>6</v>
      </c>
      <c r="G25">
        <f t="shared" ca="1" si="8"/>
        <v>4</v>
      </c>
      <c r="H25">
        <f t="shared" ca="1" si="8"/>
        <v>2</v>
      </c>
      <c r="I25">
        <f t="shared" ca="1" si="8"/>
        <v>9</v>
      </c>
      <c r="J25">
        <f t="shared" ca="1" si="8"/>
        <v>5</v>
      </c>
      <c r="K25">
        <f t="shared" ca="1" si="8"/>
        <v>7</v>
      </c>
      <c r="L25">
        <f t="shared" ca="1" si="8"/>
        <v>6</v>
      </c>
      <c r="M25">
        <f t="shared" ca="1" si="8"/>
        <v>7</v>
      </c>
      <c r="N25">
        <f t="shared" ca="1" si="8"/>
        <v>2</v>
      </c>
      <c r="O25">
        <f t="shared" ca="1" si="8"/>
        <v>5</v>
      </c>
      <c r="P25">
        <f t="shared" ca="1" si="8"/>
        <v>7</v>
      </c>
      <c r="Q25">
        <f t="shared" ca="1" si="8"/>
        <v>10</v>
      </c>
      <c r="R25">
        <f t="shared" ca="1" si="8"/>
        <v>10</v>
      </c>
      <c r="S25">
        <f t="shared" ref="D25:AG33" ca="1" si="10">RANDBETWEEN(1,10)</f>
        <v>9</v>
      </c>
      <c r="T25">
        <f t="shared" ca="1" si="10"/>
        <v>1</v>
      </c>
      <c r="U25">
        <f t="shared" ca="1" si="10"/>
        <v>4</v>
      </c>
      <c r="V25">
        <f t="shared" ca="1" si="10"/>
        <v>7</v>
      </c>
      <c r="W25">
        <f t="shared" ca="1" si="10"/>
        <v>9</v>
      </c>
      <c r="X25">
        <f t="shared" ca="1" si="10"/>
        <v>10</v>
      </c>
      <c r="Y25">
        <f t="shared" ca="1" si="10"/>
        <v>6</v>
      </c>
      <c r="Z25">
        <f t="shared" ca="1" si="10"/>
        <v>5</v>
      </c>
      <c r="AA25">
        <f t="shared" ca="1" si="10"/>
        <v>9</v>
      </c>
      <c r="AB25">
        <f t="shared" ca="1" si="10"/>
        <v>9</v>
      </c>
      <c r="AC25">
        <f t="shared" ca="1" si="10"/>
        <v>1</v>
      </c>
      <c r="AD25">
        <f t="shared" ca="1" si="10"/>
        <v>1</v>
      </c>
      <c r="AE25">
        <f t="shared" ca="1" si="10"/>
        <v>8</v>
      </c>
      <c r="AF25">
        <f t="shared" ca="1" si="10"/>
        <v>6</v>
      </c>
      <c r="AG25">
        <f t="shared" ca="1" si="10"/>
        <v>2</v>
      </c>
      <c r="AH25" s="25">
        <f t="shared" ca="1" si="3"/>
        <v>191</v>
      </c>
      <c r="AI25">
        <v>211</v>
      </c>
      <c r="AJ25">
        <v>240</v>
      </c>
      <c r="AK25">
        <f t="shared" si="4"/>
        <v>29</v>
      </c>
      <c r="AL25" s="15">
        <f t="shared" ca="1" si="5"/>
        <v>45840</v>
      </c>
      <c r="AM25" s="15">
        <f t="shared" ca="1" si="6"/>
        <v>5539</v>
      </c>
    </row>
    <row r="26" spans="1:39">
      <c r="A26" s="27"/>
      <c r="B26" t="s">
        <v>43</v>
      </c>
      <c r="C26">
        <f t="shared" ca="1" si="9"/>
        <v>9</v>
      </c>
      <c r="D26">
        <f t="shared" ca="1" si="10"/>
        <v>5</v>
      </c>
      <c r="E26">
        <f t="shared" ca="1" si="10"/>
        <v>2</v>
      </c>
      <c r="F26">
        <f t="shared" ca="1" si="10"/>
        <v>6</v>
      </c>
      <c r="G26">
        <f t="shared" ca="1" si="10"/>
        <v>9</v>
      </c>
      <c r="H26">
        <f t="shared" ca="1" si="10"/>
        <v>3</v>
      </c>
      <c r="I26">
        <f t="shared" ca="1" si="10"/>
        <v>1</v>
      </c>
      <c r="J26">
        <f t="shared" ca="1" si="10"/>
        <v>10</v>
      </c>
      <c r="K26">
        <f t="shared" ca="1" si="10"/>
        <v>8</v>
      </c>
      <c r="L26">
        <f t="shared" ca="1" si="10"/>
        <v>6</v>
      </c>
      <c r="M26">
        <f t="shared" ca="1" si="10"/>
        <v>3</v>
      </c>
      <c r="N26">
        <f t="shared" ca="1" si="10"/>
        <v>5</v>
      </c>
      <c r="O26">
        <f t="shared" ca="1" si="10"/>
        <v>3</v>
      </c>
      <c r="P26">
        <f t="shared" ca="1" si="10"/>
        <v>7</v>
      </c>
      <c r="Q26">
        <f t="shared" ca="1" si="10"/>
        <v>5</v>
      </c>
      <c r="R26">
        <f t="shared" ca="1" si="10"/>
        <v>3</v>
      </c>
      <c r="S26">
        <f t="shared" ca="1" si="10"/>
        <v>7</v>
      </c>
      <c r="T26">
        <f t="shared" ca="1" si="10"/>
        <v>8</v>
      </c>
      <c r="U26">
        <f t="shared" ca="1" si="10"/>
        <v>2</v>
      </c>
      <c r="V26">
        <f t="shared" ca="1" si="10"/>
        <v>8</v>
      </c>
      <c r="W26">
        <f t="shared" ca="1" si="10"/>
        <v>10</v>
      </c>
      <c r="X26">
        <f t="shared" ca="1" si="10"/>
        <v>1</v>
      </c>
      <c r="Y26">
        <f t="shared" ca="1" si="10"/>
        <v>10</v>
      </c>
      <c r="Z26">
        <f t="shared" ca="1" si="10"/>
        <v>2</v>
      </c>
      <c r="AA26">
        <f t="shared" ca="1" si="10"/>
        <v>2</v>
      </c>
      <c r="AB26">
        <f t="shared" ca="1" si="10"/>
        <v>10</v>
      </c>
      <c r="AC26">
        <f t="shared" ca="1" si="10"/>
        <v>6</v>
      </c>
      <c r="AD26">
        <f t="shared" ca="1" si="10"/>
        <v>10</v>
      </c>
      <c r="AE26">
        <f t="shared" ca="1" si="10"/>
        <v>9</v>
      </c>
      <c r="AF26">
        <f t="shared" ca="1" si="10"/>
        <v>5</v>
      </c>
      <c r="AG26">
        <f t="shared" ca="1" si="10"/>
        <v>5</v>
      </c>
      <c r="AH26" s="25">
        <f t="shared" ca="1" si="3"/>
        <v>180</v>
      </c>
      <c r="AI26">
        <v>247</v>
      </c>
      <c r="AJ26">
        <v>280</v>
      </c>
      <c r="AK26">
        <f t="shared" si="4"/>
        <v>33</v>
      </c>
      <c r="AL26" s="15">
        <f t="shared" ca="1" si="5"/>
        <v>50400</v>
      </c>
      <c r="AM26" s="15">
        <f t="shared" ca="1" si="6"/>
        <v>5940</v>
      </c>
    </row>
    <row r="27" spans="1:39">
      <c r="A27" s="27"/>
      <c r="B27" t="s">
        <v>44</v>
      </c>
      <c r="C27">
        <f t="shared" ca="1" si="9"/>
        <v>5</v>
      </c>
      <c r="D27">
        <f t="shared" ca="1" si="10"/>
        <v>3</v>
      </c>
      <c r="E27">
        <f t="shared" ca="1" si="10"/>
        <v>10</v>
      </c>
      <c r="F27">
        <f t="shared" ca="1" si="10"/>
        <v>3</v>
      </c>
      <c r="G27">
        <f t="shared" ca="1" si="10"/>
        <v>7</v>
      </c>
      <c r="H27">
        <f t="shared" ca="1" si="10"/>
        <v>5</v>
      </c>
      <c r="I27">
        <f t="shared" ca="1" si="10"/>
        <v>4</v>
      </c>
      <c r="J27">
        <f t="shared" ca="1" si="10"/>
        <v>9</v>
      </c>
      <c r="K27">
        <f t="shared" ca="1" si="10"/>
        <v>1</v>
      </c>
      <c r="L27">
        <f t="shared" ca="1" si="10"/>
        <v>10</v>
      </c>
      <c r="M27">
        <f t="shared" ca="1" si="10"/>
        <v>9</v>
      </c>
      <c r="N27">
        <f t="shared" ca="1" si="10"/>
        <v>6</v>
      </c>
      <c r="O27">
        <f t="shared" ca="1" si="10"/>
        <v>2</v>
      </c>
      <c r="P27">
        <f t="shared" ca="1" si="10"/>
        <v>9</v>
      </c>
      <c r="Q27">
        <f t="shared" ca="1" si="10"/>
        <v>6</v>
      </c>
      <c r="R27">
        <f t="shared" ca="1" si="10"/>
        <v>3</v>
      </c>
      <c r="S27">
        <f t="shared" ca="1" si="10"/>
        <v>10</v>
      </c>
      <c r="T27">
        <f t="shared" ca="1" si="10"/>
        <v>4</v>
      </c>
      <c r="U27">
        <f t="shared" ca="1" si="10"/>
        <v>2</v>
      </c>
      <c r="V27">
        <f t="shared" ca="1" si="10"/>
        <v>2</v>
      </c>
      <c r="W27">
        <f t="shared" ca="1" si="10"/>
        <v>7</v>
      </c>
      <c r="X27">
        <f t="shared" ca="1" si="10"/>
        <v>8</v>
      </c>
      <c r="Y27">
        <f t="shared" ca="1" si="10"/>
        <v>3</v>
      </c>
      <c r="Z27">
        <f t="shared" ca="1" si="10"/>
        <v>3</v>
      </c>
      <c r="AA27">
        <f t="shared" ca="1" si="10"/>
        <v>2</v>
      </c>
      <c r="AB27">
        <f t="shared" ca="1" si="10"/>
        <v>7</v>
      </c>
      <c r="AC27">
        <f t="shared" ca="1" si="10"/>
        <v>1</v>
      </c>
      <c r="AD27">
        <f t="shared" ca="1" si="10"/>
        <v>3</v>
      </c>
      <c r="AE27">
        <f t="shared" ca="1" si="10"/>
        <v>4</v>
      </c>
      <c r="AF27">
        <f t="shared" ca="1" si="10"/>
        <v>8</v>
      </c>
      <c r="AG27">
        <f t="shared" ca="1" si="10"/>
        <v>3</v>
      </c>
      <c r="AH27" s="25">
        <f t="shared" ca="1" si="3"/>
        <v>159</v>
      </c>
      <c r="AI27">
        <v>286</v>
      </c>
      <c r="AJ27">
        <v>320</v>
      </c>
      <c r="AK27">
        <f t="shared" si="4"/>
        <v>34</v>
      </c>
      <c r="AL27" s="15">
        <f t="shared" ca="1" si="5"/>
        <v>50880</v>
      </c>
      <c r="AM27" s="15">
        <f t="shared" ca="1" si="6"/>
        <v>5406</v>
      </c>
    </row>
    <row r="28" spans="1:39">
      <c r="A28" s="27"/>
      <c r="B28" t="s">
        <v>45</v>
      </c>
      <c r="C28">
        <f t="shared" ca="1" si="9"/>
        <v>9</v>
      </c>
      <c r="D28">
        <f t="shared" ca="1" si="10"/>
        <v>6</v>
      </c>
      <c r="E28">
        <f t="shared" ca="1" si="10"/>
        <v>1</v>
      </c>
      <c r="F28">
        <f t="shared" ca="1" si="10"/>
        <v>6</v>
      </c>
      <c r="G28">
        <f t="shared" ca="1" si="10"/>
        <v>2</v>
      </c>
      <c r="H28">
        <f t="shared" ca="1" si="10"/>
        <v>1</v>
      </c>
      <c r="I28">
        <f t="shared" ca="1" si="10"/>
        <v>1</v>
      </c>
      <c r="J28">
        <f t="shared" ca="1" si="10"/>
        <v>9</v>
      </c>
      <c r="K28">
        <f t="shared" ca="1" si="10"/>
        <v>3</v>
      </c>
      <c r="L28">
        <f t="shared" ca="1" si="10"/>
        <v>6</v>
      </c>
      <c r="M28">
        <f t="shared" ca="1" si="10"/>
        <v>10</v>
      </c>
      <c r="N28">
        <f t="shared" ca="1" si="10"/>
        <v>3</v>
      </c>
      <c r="O28">
        <f t="shared" ca="1" si="10"/>
        <v>2</v>
      </c>
      <c r="P28">
        <f t="shared" ca="1" si="10"/>
        <v>7</v>
      </c>
      <c r="Q28">
        <f t="shared" ca="1" si="10"/>
        <v>5</v>
      </c>
      <c r="R28">
        <f t="shared" ca="1" si="10"/>
        <v>6</v>
      </c>
      <c r="S28">
        <f t="shared" ca="1" si="10"/>
        <v>10</v>
      </c>
      <c r="T28">
        <f t="shared" ca="1" si="10"/>
        <v>2</v>
      </c>
      <c r="U28">
        <f t="shared" ca="1" si="10"/>
        <v>9</v>
      </c>
      <c r="V28">
        <f t="shared" ca="1" si="10"/>
        <v>6</v>
      </c>
      <c r="W28">
        <f t="shared" ca="1" si="10"/>
        <v>5</v>
      </c>
      <c r="X28">
        <f t="shared" ca="1" si="10"/>
        <v>9</v>
      </c>
      <c r="Y28">
        <f t="shared" ca="1" si="10"/>
        <v>1</v>
      </c>
      <c r="Z28">
        <f t="shared" ca="1" si="10"/>
        <v>1</v>
      </c>
      <c r="AA28">
        <f t="shared" ca="1" si="10"/>
        <v>5</v>
      </c>
      <c r="AB28">
        <f t="shared" ca="1" si="10"/>
        <v>7</v>
      </c>
      <c r="AC28">
        <f t="shared" ca="1" si="10"/>
        <v>5</v>
      </c>
      <c r="AD28">
        <f t="shared" ca="1" si="10"/>
        <v>10</v>
      </c>
      <c r="AE28">
        <f t="shared" ca="1" si="10"/>
        <v>6</v>
      </c>
      <c r="AF28">
        <f t="shared" ca="1" si="10"/>
        <v>3</v>
      </c>
      <c r="AG28">
        <f t="shared" ca="1" si="10"/>
        <v>5</v>
      </c>
      <c r="AH28" s="25">
        <f t="shared" ca="1" si="3"/>
        <v>161</v>
      </c>
      <c r="AI28">
        <v>67</v>
      </c>
      <c r="AJ28">
        <v>80</v>
      </c>
      <c r="AK28">
        <f t="shared" si="4"/>
        <v>13</v>
      </c>
      <c r="AL28" s="15">
        <f t="shared" ca="1" si="5"/>
        <v>12880</v>
      </c>
      <c r="AM28" s="15">
        <f t="shared" ca="1" si="6"/>
        <v>2093</v>
      </c>
    </row>
    <row r="29" spans="1:39">
      <c r="A29" s="27"/>
      <c r="B29" t="s">
        <v>46</v>
      </c>
      <c r="C29">
        <f t="shared" ca="1" si="9"/>
        <v>3</v>
      </c>
      <c r="D29">
        <f t="shared" ca="1" si="10"/>
        <v>5</v>
      </c>
      <c r="E29">
        <f t="shared" ca="1" si="10"/>
        <v>4</v>
      </c>
      <c r="F29">
        <f t="shared" ca="1" si="10"/>
        <v>7</v>
      </c>
      <c r="G29">
        <f t="shared" ca="1" si="10"/>
        <v>4</v>
      </c>
      <c r="H29">
        <f t="shared" ca="1" si="10"/>
        <v>2</v>
      </c>
      <c r="I29">
        <f t="shared" ca="1" si="10"/>
        <v>1</v>
      </c>
      <c r="J29">
        <f t="shared" ca="1" si="10"/>
        <v>7</v>
      </c>
      <c r="K29">
        <f t="shared" ca="1" si="10"/>
        <v>7</v>
      </c>
      <c r="L29">
        <f t="shared" ca="1" si="10"/>
        <v>2</v>
      </c>
      <c r="M29">
        <f t="shared" ca="1" si="10"/>
        <v>7</v>
      </c>
      <c r="N29">
        <f t="shared" ca="1" si="10"/>
        <v>5</v>
      </c>
      <c r="O29">
        <f t="shared" ca="1" si="10"/>
        <v>2</v>
      </c>
      <c r="P29">
        <f t="shared" ca="1" si="10"/>
        <v>7</v>
      </c>
      <c r="Q29">
        <f t="shared" ca="1" si="10"/>
        <v>9</v>
      </c>
      <c r="R29">
        <f t="shared" ca="1" si="10"/>
        <v>3</v>
      </c>
      <c r="S29">
        <f t="shared" ca="1" si="10"/>
        <v>3</v>
      </c>
      <c r="T29">
        <f t="shared" ca="1" si="10"/>
        <v>2</v>
      </c>
      <c r="U29">
        <f t="shared" ca="1" si="10"/>
        <v>5</v>
      </c>
      <c r="V29">
        <f t="shared" ca="1" si="10"/>
        <v>7</v>
      </c>
      <c r="W29">
        <f t="shared" ca="1" si="10"/>
        <v>5</v>
      </c>
      <c r="X29">
        <f t="shared" ca="1" si="10"/>
        <v>10</v>
      </c>
      <c r="Y29">
        <f t="shared" ca="1" si="10"/>
        <v>6</v>
      </c>
      <c r="Z29">
        <f t="shared" ca="1" si="10"/>
        <v>4</v>
      </c>
      <c r="AA29">
        <f t="shared" ca="1" si="10"/>
        <v>1</v>
      </c>
      <c r="AB29">
        <f t="shared" ca="1" si="10"/>
        <v>8</v>
      </c>
      <c r="AC29">
        <f t="shared" ca="1" si="10"/>
        <v>7</v>
      </c>
      <c r="AD29">
        <f t="shared" ca="1" si="10"/>
        <v>1</v>
      </c>
      <c r="AE29">
        <f t="shared" ca="1" si="10"/>
        <v>7</v>
      </c>
      <c r="AF29">
        <f t="shared" ca="1" si="10"/>
        <v>5</v>
      </c>
      <c r="AG29">
        <f t="shared" ca="1" si="10"/>
        <v>10</v>
      </c>
      <c r="AH29" s="25">
        <f t="shared" ca="1" si="3"/>
        <v>156</v>
      </c>
      <c r="AI29">
        <v>335</v>
      </c>
      <c r="AJ29">
        <v>350</v>
      </c>
      <c r="AK29">
        <f t="shared" si="4"/>
        <v>15</v>
      </c>
      <c r="AL29" s="15">
        <f t="shared" ca="1" si="5"/>
        <v>54600</v>
      </c>
      <c r="AM29" s="15">
        <f t="shared" ca="1" si="6"/>
        <v>2340</v>
      </c>
    </row>
    <row r="30" spans="1:39">
      <c r="A30" s="27"/>
      <c r="B30" t="s">
        <v>47</v>
      </c>
      <c r="C30">
        <f t="shared" ca="1" si="9"/>
        <v>5</v>
      </c>
      <c r="D30">
        <f t="shared" ca="1" si="10"/>
        <v>3</v>
      </c>
      <c r="E30">
        <f t="shared" ca="1" si="10"/>
        <v>6</v>
      </c>
      <c r="F30">
        <f t="shared" ca="1" si="10"/>
        <v>4</v>
      </c>
      <c r="G30">
        <f t="shared" ca="1" si="10"/>
        <v>9</v>
      </c>
      <c r="H30">
        <f t="shared" ca="1" si="10"/>
        <v>7</v>
      </c>
      <c r="I30">
        <f t="shared" ca="1" si="10"/>
        <v>4</v>
      </c>
      <c r="J30">
        <f t="shared" ca="1" si="10"/>
        <v>7</v>
      </c>
      <c r="K30">
        <f t="shared" ca="1" si="10"/>
        <v>2</v>
      </c>
      <c r="L30">
        <f t="shared" ca="1" si="10"/>
        <v>3</v>
      </c>
      <c r="M30">
        <f t="shared" ca="1" si="10"/>
        <v>6</v>
      </c>
      <c r="N30">
        <f t="shared" ca="1" si="10"/>
        <v>9</v>
      </c>
      <c r="O30">
        <f t="shared" ca="1" si="10"/>
        <v>3</v>
      </c>
      <c r="P30">
        <f t="shared" ca="1" si="10"/>
        <v>1</v>
      </c>
      <c r="Q30">
        <f t="shared" ca="1" si="10"/>
        <v>1</v>
      </c>
      <c r="R30">
        <f t="shared" ca="1" si="10"/>
        <v>3</v>
      </c>
      <c r="S30">
        <f t="shared" ca="1" si="10"/>
        <v>6</v>
      </c>
      <c r="T30">
        <f t="shared" ca="1" si="10"/>
        <v>9</v>
      </c>
      <c r="U30">
        <f t="shared" ca="1" si="10"/>
        <v>9</v>
      </c>
      <c r="V30">
        <f t="shared" ca="1" si="10"/>
        <v>6</v>
      </c>
      <c r="W30">
        <f t="shared" ca="1" si="10"/>
        <v>3</v>
      </c>
      <c r="X30">
        <f t="shared" ca="1" si="10"/>
        <v>9</v>
      </c>
      <c r="Y30">
        <f t="shared" ca="1" si="10"/>
        <v>1</v>
      </c>
      <c r="Z30">
        <f t="shared" ca="1" si="10"/>
        <v>10</v>
      </c>
      <c r="AA30">
        <f t="shared" ca="1" si="10"/>
        <v>10</v>
      </c>
      <c r="AB30">
        <f t="shared" ca="1" si="10"/>
        <v>9</v>
      </c>
      <c r="AC30">
        <f t="shared" ca="1" si="10"/>
        <v>4</v>
      </c>
      <c r="AD30">
        <f t="shared" ca="1" si="10"/>
        <v>8</v>
      </c>
      <c r="AE30">
        <f t="shared" ca="1" si="10"/>
        <v>9</v>
      </c>
      <c r="AF30">
        <f t="shared" ca="1" si="10"/>
        <v>7</v>
      </c>
      <c r="AG30">
        <f t="shared" ca="1" si="10"/>
        <v>7</v>
      </c>
      <c r="AH30" s="25">
        <f t="shared" ca="1" si="3"/>
        <v>180</v>
      </c>
      <c r="AI30">
        <v>366</v>
      </c>
      <c r="AJ30">
        <v>400</v>
      </c>
      <c r="AK30">
        <f t="shared" si="4"/>
        <v>34</v>
      </c>
      <c r="AL30" s="15">
        <f t="shared" ca="1" si="5"/>
        <v>72000</v>
      </c>
      <c r="AM30" s="15">
        <f t="shared" ca="1" si="6"/>
        <v>6120</v>
      </c>
    </row>
    <row r="31" spans="1:39">
      <c r="A31" s="27"/>
      <c r="B31" t="s">
        <v>48</v>
      </c>
      <c r="C31">
        <f t="shared" ca="1" si="9"/>
        <v>4</v>
      </c>
      <c r="D31">
        <f t="shared" ca="1" si="10"/>
        <v>7</v>
      </c>
      <c r="E31">
        <f t="shared" ca="1" si="10"/>
        <v>10</v>
      </c>
      <c r="F31">
        <f t="shared" ca="1" si="10"/>
        <v>1</v>
      </c>
      <c r="G31">
        <f t="shared" ca="1" si="10"/>
        <v>7</v>
      </c>
      <c r="H31">
        <f t="shared" ca="1" si="10"/>
        <v>5</v>
      </c>
      <c r="I31">
        <f t="shared" ca="1" si="10"/>
        <v>1</v>
      </c>
      <c r="J31">
        <f t="shared" ca="1" si="10"/>
        <v>7</v>
      </c>
      <c r="K31">
        <f t="shared" ca="1" si="10"/>
        <v>6</v>
      </c>
      <c r="L31">
        <f t="shared" ca="1" si="10"/>
        <v>10</v>
      </c>
      <c r="M31">
        <f t="shared" ca="1" si="10"/>
        <v>3</v>
      </c>
      <c r="N31">
        <f t="shared" ca="1" si="10"/>
        <v>1</v>
      </c>
      <c r="O31">
        <f t="shared" ca="1" si="10"/>
        <v>2</v>
      </c>
      <c r="P31">
        <f t="shared" ca="1" si="10"/>
        <v>9</v>
      </c>
      <c r="Q31">
        <f t="shared" ca="1" si="10"/>
        <v>4</v>
      </c>
      <c r="R31">
        <f t="shared" ca="1" si="10"/>
        <v>10</v>
      </c>
      <c r="S31">
        <f t="shared" ca="1" si="10"/>
        <v>7</v>
      </c>
      <c r="T31">
        <f t="shared" ca="1" si="10"/>
        <v>8</v>
      </c>
      <c r="U31">
        <f t="shared" ca="1" si="10"/>
        <v>5</v>
      </c>
      <c r="V31">
        <f t="shared" ca="1" si="10"/>
        <v>9</v>
      </c>
      <c r="W31">
        <f t="shared" ca="1" si="10"/>
        <v>6</v>
      </c>
      <c r="X31">
        <f t="shared" ca="1" si="10"/>
        <v>10</v>
      </c>
      <c r="Y31">
        <f t="shared" ca="1" si="10"/>
        <v>2</v>
      </c>
      <c r="Z31">
        <f t="shared" ca="1" si="10"/>
        <v>6</v>
      </c>
      <c r="AA31">
        <f t="shared" ca="1" si="10"/>
        <v>10</v>
      </c>
      <c r="AB31">
        <f t="shared" ca="1" si="10"/>
        <v>5</v>
      </c>
      <c r="AC31">
        <f t="shared" ca="1" si="10"/>
        <v>9</v>
      </c>
      <c r="AD31">
        <f t="shared" ca="1" si="10"/>
        <v>1</v>
      </c>
      <c r="AE31">
        <f t="shared" ca="1" si="10"/>
        <v>3</v>
      </c>
      <c r="AF31">
        <f t="shared" ca="1" si="10"/>
        <v>6</v>
      </c>
      <c r="AG31">
        <f t="shared" ca="1" si="10"/>
        <v>6</v>
      </c>
      <c r="AH31" s="25">
        <f t="shared" ca="1" si="3"/>
        <v>180</v>
      </c>
      <c r="AI31">
        <v>167</v>
      </c>
      <c r="AJ31">
        <v>200</v>
      </c>
      <c r="AK31">
        <f t="shared" si="4"/>
        <v>33</v>
      </c>
      <c r="AL31" s="15">
        <f t="shared" ca="1" si="5"/>
        <v>36000</v>
      </c>
      <c r="AM31" s="15">
        <f t="shared" ca="1" si="6"/>
        <v>5940</v>
      </c>
    </row>
    <row r="32" spans="1:39">
      <c r="A32" s="27"/>
      <c r="B32" t="s">
        <v>49</v>
      </c>
      <c r="C32">
        <f t="shared" ca="1" si="9"/>
        <v>9</v>
      </c>
      <c r="D32">
        <f t="shared" ca="1" si="10"/>
        <v>4</v>
      </c>
      <c r="E32">
        <f t="shared" ca="1" si="10"/>
        <v>9</v>
      </c>
      <c r="F32">
        <f t="shared" ca="1" si="10"/>
        <v>10</v>
      </c>
      <c r="G32">
        <f t="shared" ca="1" si="10"/>
        <v>3</v>
      </c>
      <c r="H32">
        <f t="shared" ca="1" si="10"/>
        <v>7</v>
      </c>
      <c r="I32">
        <f t="shared" ca="1" si="10"/>
        <v>4</v>
      </c>
      <c r="J32">
        <f t="shared" ca="1" si="10"/>
        <v>9</v>
      </c>
      <c r="K32">
        <f t="shared" ca="1" si="10"/>
        <v>7</v>
      </c>
      <c r="L32">
        <f t="shared" ca="1" si="10"/>
        <v>5</v>
      </c>
      <c r="M32">
        <f t="shared" ca="1" si="10"/>
        <v>10</v>
      </c>
      <c r="N32">
        <f t="shared" ca="1" si="10"/>
        <v>1</v>
      </c>
      <c r="O32">
        <f t="shared" ca="1" si="10"/>
        <v>10</v>
      </c>
      <c r="P32">
        <f t="shared" ca="1" si="10"/>
        <v>8</v>
      </c>
      <c r="Q32">
        <f t="shared" ca="1" si="10"/>
        <v>4</v>
      </c>
      <c r="R32">
        <f t="shared" ca="1" si="10"/>
        <v>6</v>
      </c>
      <c r="S32">
        <f t="shared" ca="1" si="10"/>
        <v>4</v>
      </c>
      <c r="T32">
        <f t="shared" ca="1" si="10"/>
        <v>7</v>
      </c>
      <c r="U32">
        <f t="shared" ca="1" si="10"/>
        <v>7</v>
      </c>
      <c r="V32">
        <f t="shared" ca="1" si="10"/>
        <v>9</v>
      </c>
      <c r="W32">
        <f t="shared" ca="1" si="10"/>
        <v>4</v>
      </c>
      <c r="X32">
        <f t="shared" ca="1" si="10"/>
        <v>9</v>
      </c>
      <c r="Y32">
        <f t="shared" ca="1" si="10"/>
        <v>9</v>
      </c>
      <c r="Z32">
        <f t="shared" ca="1" si="10"/>
        <v>9</v>
      </c>
      <c r="AA32">
        <f t="shared" ca="1" si="10"/>
        <v>8</v>
      </c>
      <c r="AB32">
        <f t="shared" ca="1" si="10"/>
        <v>9</v>
      </c>
      <c r="AC32">
        <f t="shared" ca="1" si="10"/>
        <v>4</v>
      </c>
      <c r="AD32">
        <f t="shared" ca="1" si="10"/>
        <v>6</v>
      </c>
      <c r="AE32">
        <f t="shared" ca="1" si="10"/>
        <v>8</v>
      </c>
      <c r="AF32">
        <f t="shared" ca="1" si="10"/>
        <v>8</v>
      </c>
      <c r="AG32">
        <f t="shared" ca="1" si="10"/>
        <v>1</v>
      </c>
      <c r="AH32" s="25">
        <f t="shared" ca="1" si="3"/>
        <v>208</v>
      </c>
      <c r="AI32">
        <v>73</v>
      </c>
      <c r="AJ32">
        <v>100</v>
      </c>
      <c r="AK32">
        <f t="shared" si="4"/>
        <v>27</v>
      </c>
      <c r="AL32" s="15">
        <f t="shared" ca="1" si="5"/>
        <v>20800</v>
      </c>
      <c r="AM32" s="15">
        <f t="shared" ca="1" si="6"/>
        <v>5616</v>
      </c>
    </row>
    <row r="33" spans="1:39">
      <c r="A33" s="27"/>
      <c r="B33" t="s">
        <v>50</v>
      </c>
      <c r="C33">
        <f t="shared" ca="1" si="9"/>
        <v>6</v>
      </c>
      <c r="D33">
        <f t="shared" ca="1" si="10"/>
        <v>2</v>
      </c>
      <c r="E33">
        <f t="shared" ca="1" si="10"/>
        <v>2</v>
      </c>
      <c r="F33">
        <f t="shared" ca="1" si="10"/>
        <v>7</v>
      </c>
      <c r="G33">
        <f t="shared" ca="1" si="10"/>
        <v>4</v>
      </c>
      <c r="H33">
        <f t="shared" ca="1" si="10"/>
        <v>7</v>
      </c>
      <c r="I33">
        <f t="shared" ca="1" si="10"/>
        <v>5</v>
      </c>
      <c r="J33">
        <f t="shared" ca="1" si="10"/>
        <v>10</v>
      </c>
      <c r="K33">
        <f t="shared" ca="1" si="10"/>
        <v>7</v>
      </c>
      <c r="L33">
        <f t="shared" ca="1" si="10"/>
        <v>5</v>
      </c>
      <c r="M33">
        <f t="shared" ca="1" si="10"/>
        <v>4</v>
      </c>
      <c r="N33">
        <f t="shared" ca="1" si="10"/>
        <v>8</v>
      </c>
      <c r="O33">
        <f t="shared" ca="1" si="10"/>
        <v>5</v>
      </c>
      <c r="P33">
        <f t="shared" ca="1" si="10"/>
        <v>4</v>
      </c>
      <c r="Q33">
        <f t="shared" ca="1" si="10"/>
        <v>4</v>
      </c>
      <c r="R33">
        <f t="shared" ca="1" si="10"/>
        <v>4</v>
      </c>
      <c r="S33">
        <f t="shared" ca="1" si="10"/>
        <v>10</v>
      </c>
      <c r="T33">
        <f t="shared" ca="1" si="10"/>
        <v>3</v>
      </c>
      <c r="U33">
        <f t="shared" ca="1" si="10"/>
        <v>2</v>
      </c>
      <c r="V33">
        <f t="shared" ca="1" si="10"/>
        <v>6</v>
      </c>
      <c r="W33">
        <f t="shared" ca="1" si="10"/>
        <v>1</v>
      </c>
      <c r="X33">
        <f t="shared" ca="1" si="10"/>
        <v>2</v>
      </c>
      <c r="Y33">
        <f t="shared" ca="1" si="10"/>
        <v>1</v>
      </c>
      <c r="Z33">
        <f t="shared" ca="1" si="10"/>
        <v>2</v>
      </c>
      <c r="AA33">
        <f t="shared" ca="1" si="10"/>
        <v>4</v>
      </c>
      <c r="AB33">
        <f t="shared" ca="1" si="10"/>
        <v>7</v>
      </c>
      <c r="AC33">
        <f t="shared" ca="1" si="10"/>
        <v>10</v>
      </c>
      <c r="AD33">
        <f t="shared" ca="1" si="10"/>
        <v>6</v>
      </c>
      <c r="AE33">
        <f t="shared" ca="1" si="10"/>
        <v>9</v>
      </c>
      <c r="AF33">
        <f t="shared" ca="1" si="10"/>
        <v>10</v>
      </c>
      <c r="AG33">
        <f t="shared" ca="1" si="10"/>
        <v>7</v>
      </c>
      <c r="AH33" s="25">
        <f t="shared" ca="1" si="3"/>
        <v>164</v>
      </c>
      <c r="AI33">
        <v>367</v>
      </c>
      <c r="AJ33">
        <v>450</v>
      </c>
      <c r="AK33">
        <f t="shared" si="4"/>
        <v>83</v>
      </c>
      <c r="AL33" s="15">
        <f t="shared" ca="1" si="5"/>
        <v>73800</v>
      </c>
      <c r="AM33" s="15">
        <f t="shared" ca="1" si="6"/>
        <v>13612</v>
      </c>
    </row>
    <row r="34" spans="1:39">
      <c r="A34" s="27"/>
      <c r="B34" t="s">
        <v>51</v>
      </c>
      <c r="C34">
        <f t="shared" ca="1" si="9"/>
        <v>1</v>
      </c>
      <c r="D34">
        <f t="shared" ref="D34:AG42" ca="1" si="11">RANDBETWEEN(1,10)</f>
        <v>9</v>
      </c>
      <c r="E34">
        <f t="shared" ca="1" si="11"/>
        <v>9</v>
      </c>
      <c r="F34">
        <f t="shared" ca="1" si="11"/>
        <v>1</v>
      </c>
      <c r="G34">
        <f t="shared" ca="1" si="11"/>
        <v>7</v>
      </c>
      <c r="H34">
        <f t="shared" ca="1" si="11"/>
        <v>6</v>
      </c>
      <c r="I34">
        <f t="shared" ca="1" si="11"/>
        <v>7</v>
      </c>
      <c r="J34">
        <f t="shared" ca="1" si="11"/>
        <v>7</v>
      </c>
      <c r="K34">
        <f t="shared" ca="1" si="11"/>
        <v>7</v>
      </c>
      <c r="L34">
        <f t="shared" ca="1" si="11"/>
        <v>10</v>
      </c>
      <c r="M34">
        <f t="shared" ca="1" si="11"/>
        <v>8</v>
      </c>
      <c r="N34">
        <f t="shared" ca="1" si="11"/>
        <v>8</v>
      </c>
      <c r="O34">
        <f t="shared" ca="1" si="11"/>
        <v>4</v>
      </c>
      <c r="P34">
        <f t="shared" ca="1" si="11"/>
        <v>7</v>
      </c>
      <c r="Q34">
        <f t="shared" ca="1" si="11"/>
        <v>8</v>
      </c>
      <c r="R34">
        <f t="shared" ca="1" si="11"/>
        <v>6</v>
      </c>
      <c r="S34">
        <f t="shared" ca="1" si="11"/>
        <v>7</v>
      </c>
      <c r="T34">
        <f t="shared" ca="1" si="11"/>
        <v>2</v>
      </c>
      <c r="U34">
        <f t="shared" ca="1" si="11"/>
        <v>2</v>
      </c>
      <c r="V34">
        <f t="shared" ca="1" si="11"/>
        <v>5</v>
      </c>
      <c r="W34">
        <f t="shared" ca="1" si="11"/>
        <v>5</v>
      </c>
      <c r="X34">
        <f t="shared" ca="1" si="11"/>
        <v>4</v>
      </c>
      <c r="Y34">
        <f t="shared" ca="1" si="11"/>
        <v>4</v>
      </c>
      <c r="Z34">
        <f t="shared" ca="1" si="11"/>
        <v>4</v>
      </c>
      <c r="AA34">
        <f t="shared" ca="1" si="11"/>
        <v>6</v>
      </c>
      <c r="AB34">
        <f t="shared" ca="1" si="11"/>
        <v>3</v>
      </c>
      <c r="AC34">
        <f t="shared" ca="1" si="11"/>
        <v>7</v>
      </c>
      <c r="AD34">
        <f t="shared" ca="1" si="11"/>
        <v>4</v>
      </c>
      <c r="AE34">
        <f t="shared" ca="1" si="11"/>
        <v>7</v>
      </c>
      <c r="AF34">
        <f t="shared" ca="1" si="11"/>
        <v>2</v>
      </c>
      <c r="AG34">
        <f t="shared" ca="1" si="11"/>
        <v>10</v>
      </c>
      <c r="AH34" s="25">
        <f t="shared" ca="1" si="3"/>
        <v>177</v>
      </c>
      <c r="AI34">
        <v>342</v>
      </c>
      <c r="AJ34">
        <v>390</v>
      </c>
      <c r="AK34">
        <f t="shared" si="4"/>
        <v>48</v>
      </c>
      <c r="AL34" s="15">
        <f t="shared" ca="1" si="5"/>
        <v>69030</v>
      </c>
      <c r="AM34" s="15">
        <f t="shared" ca="1" si="6"/>
        <v>8496</v>
      </c>
    </row>
    <row r="35" spans="1:39">
      <c r="A35" s="27"/>
      <c r="B35" t="s">
        <v>52</v>
      </c>
      <c r="C35">
        <f t="shared" ca="1" si="9"/>
        <v>4</v>
      </c>
      <c r="D35">
        <f t="shared" ca="1" si="11"/>
        <v>10</v>
      </c>
      <c r="E35">
        <f t="shared" ca="1" si="11"/>
        <v>3</v>
      </c>
      <c r="F35">
        <f t="shared" ca="1" si="11"/>
        <v>4</v>
      </c>
      <c r="G35">
        <f t="shared" ca="1" si="11"/>
        <v>7</v>
      </c>
      <c r="H35">
        <f t="shared" ca="1" si="11"/>
        <v>9</v>
      </c>
      <c r="I35">
        <f t="shared" ca="1" si="11"/>
        <v>7</v>
      </c>
      <c r="J35">
        <f t="shared" ca="1" si="11"/>
        <v>7</v>
      </c>
      <c r="K35">
        <f t="shared" ca="1" si="11"/>
        <v>2</v>
      </c>
      <c r="L35">
        <f t="shared" ca="1" si="11"/>
        <v>2</v>
      </c>
      <c r="M35">
        <f t="shared" ca="1" si="11"/>
        <v>10</v>
      </c>
      <c r="N35">
        <f t="shared" ca="1" si="11"/>
        <v>9</v>
      </c>
      <c r="O35">
        <f t="shared" ca="1" si="11"/>
        <v>5</v>
      </c>
      <c r="P35">
        <f t="shared" ca="1" si="11"/>
        <v>1</v>
      </c>
      <c r="Q35">
        <f t="shared" ca="1" si="11"/>
        <v>5</v>
      </c>
      <c r="R35">
        <f t="shared" ca="1" si="11"/>
        <v>3</v>
      </c>
      <c r="S35">
        <f t="shared" ca="1" si="11"/>
        <v>7</v>
      </c>
      <c r="T35">
        <f t="shared" ca="1" si="11"/>
        <v>7</v>
      </c>
      <c r="U35">
        <f t="shared" ca="1" si="11"/>
        <v>1</v>
      </c>
      <c r="V35">
        <f t="shared" ca="1" si="11"/>
        <v>6</v>
      </c>
      <c r="W35">
        <f t="shared" ca="1" si="11"/>
        <v>4</v>
      </c>
      <c r="X35">
        <f t="shared" ca="1" si="11"/>
        <v>10</v>
      </c>
      <c r="Y35">
        <f t="shared" ca="1" si="11"/>
        <v>2</v>
      </c>
      <c r="Z35">
        <f t="shared" ca="1" si="11"/>
        <v>4</v>
      </c>
      <c r="AA35">
        <f t="shared" ca="1" si="11"/>
        <v>4</v>
      </c>
      <c r="AB35">
        <f t="shared" ca="1" si="11"/>
        <v>10</v>
      </c>
      <c r="AC35">
        <f t="shared" ca="1" si="11"/>
        <v>8</v>
      </c>
      <c r="AD35">
        <f t="shared" ca="1" si="11"/>
        <v>1</v>
      </c>
      <c r="AE35">
        <f t="shared" ca="1" si="11"/>
        <v>10</v>
      </c>
      <c r="AF35">
        <f t="shared" ca="1" si="11"/>
        <v>6</v>
      </c>
      <c r="AG35">
        <f t="shared" ca="1" si="11"/>
        <v>6</v>
      </c>
      <c r="AH35" s="25">
        <f t="shared" ca="1" si="3"/>
        <v>174</v>
      </c>
      <c r="AI35">
        <v>363</v>
      </c>
      <c r="AJ35">
        <v>420</v>
      </c>
      <c r="AK35">
        <f t="shared" si="4"/>
        <v>57</v>
      </c>
      <c r="AL35" s="15">
        <f t="shared" ca="1" si="5"/>
        <v>73080</v>
      </c>
      <c r="AM35" s="15">
        <f t="shared" ca="1" si="6"/>
        <v>9918</v>
      </c>
    </row>
    <row r="36" spans="1:39">
      <c r="A36" s="27"/>
      <c r="B36" t="s">
        <v>53</v>
      </c>
      <c r="C36">
        <f t="shared" ref="C36:C51" ca="1" si="12">RANDBETWEEN(1,10)</f>
        <v>7</v>
      </c>
      <c r="D36">
        <f t="shared" ca="1" si="11"/>
        <v>9</v>
      </c>
      <c r="E36">
        <f t="shared" ca="1" si="11"/>
        <v>10</v>
      </c>
      <c r="F36">
        <f t="shared" ca="1" si="11"/>
        <v>3</v>
      </c>
      <c r="G36">
        <f t="shared" ca="1" si="11"/>
        <v>4</v>
      </c>
      <c r="H36">
        <f t="shared" ca="1" si="11"/>
        <v>10</v>
      </c>
      <c r="I36">
        <f t="shared" ca="1" si="11"/>
        <v>10</v>
      </c>
      <c r="J36">
        <f t="shared" ca="1" si="11"/>
        <v>3</v>
      </c>
      <c r="K36">
        <f t="shared" ca="1" si="11"/>
        <v>10</v>
      </c>
      <c r="L36">
        <f t="shared" ca="1" si="11"/>
        <v>1</v>
      </c>
      <c r="M36">
        <f t="shared" ca="1" si="11"/>
        <v>8</v>
      </c>
      <c r="N36">
        <f t="shared" ca="1" si="11"/>
        <v>10</v>
      </c>
      <c r="O36">
        <f t="shared" ca="1" si="11"/>
        <v>8</v>
      </c>
      <c r="P36">
        <f t="shared" ca="1" si="11"/>
        <v>4</v>
      </c>
      <c r="Q36">
        <f t="shared" ca="1" si="11"/>
        <v>6</v>
      </c>
      <c r="R36">
        <f t="shared" ca="1" si="11"/>
        <v>4</v>
      </c>
      <c r="S36">
        <f t="shared" ca="1" si="11"/>
        <v>5</v>
      </c>
      <c r="T36">
        <f t="shared" ca="1" si="11"/>
        <v>3</v>
      </c>
      <c r="U36">
        <f t="shared" ca="1" si="11"/>
        <v>9</v>
      </c>
      <c r="V36">
        <f t="shared" ca="1" si="11"/>
        <v>9</v>
      </c>
      <c r="W36">
        <f t="shared" ca="1" si="11"/>
        <v>1</v>
      </c>
      <c r="X36">
        <f t="shared" ca="1" si="11"/>
        <v>2</v>
      </c>
      <c r="Y36">
        <f t="shared" ca="1" si="11"/>
        <v>6</v>
      </c>
      <c r="Z36">
        <f t="shared" ca="1" si="11"/>
        <v>2</v>
      </c>
      <c r="AA36">
        <f t="shared" ca="1" si="11"/>
        <v>5</v>
      </c>
      <c r="AB36">
        <f t="shared" ca="1" si="11"/>
        <v>3</v>
      </c>
      <c r="AC36">
        <f t="shared" ca="1" si="11"/>
        <v>1</v>
      </c>
      <c r="AD36">
        <f t="shared" ca="1" si="11"/>
        <v>4</v>
      </c>
      <c r="AE36">
        <f t="shared" ca="1" si="11"/>
        <v>6</v>
      </c>
      <c r="AF36">
        <f t="shared" ca="1" si="11"/>
        <v>8</v>
      </c>
      <c r="AG36">
        <f t="shared" ca="1" si="11"/>
        <v>4</v>
      </c>
      <c r="AH36" s="25">
        <f t="shared" ca="1" si="3"/>
        <v>175</v>
      </c>
      <c r="AI36">
        <v>263</v>
      </c>
      <c r="AJ36">
        <v>300</v>
      </c>
      <c r="AK36">
        <f t="shared" si="4"/>
        <v>37</v>
      </c>
      <c r="AL36" s="15">
        <f t="shared" ca="1" si="5"/>
        <v>52500</v>
      </c>
      <c r="AM36" s="15">
        <f t="shared" ca="1" si="6"/>
        <v>6475</v>
      </c>
    </row>
    <row r="37" spans="1:39">
      <c r="A37" s="27"/>
      <c r="B37" t="s">
        <v>54</v>
      </c>
      <c r="C37">
        <f t="shared" ca="1" si="12"/>
        <v>8</v>
      </c>
      <c r="D37">
        <f t="shared" ca="1" si="11"/>
        <v>2</v>
      </c>
      <c r="E37">
        <f t="shared" ca="1" si="11"/>
        <v>1</v>
      </c>
      <c r="F37">
        <f t="shared" ca="1" si="11"/>
        <v>9</v>
      </c>
      <c r="G37">
        <f t="shared" ca="1" si="11"/>
        <v>1</v>
      </c>
      <c r="H37">
        <f t="shared" ca="1" si="11"/>
        <v>2</v>
      </c>
      <c r="I37">
        <f t="shared" ca="1" si="11"/>
        <v>6</v>
      </c>
      <c r="J37">
        <f t="shared" ca="1" si="11"/>
        <v>8</v>
      </c>
      <c r="K37">
        <f t="shared" ca="1" si="11"/>
        <v>7</v>
      </c>
      <c r="L37">
        <f t="shared" ca="1" si="11"/>
        <v>3</v>
      </c>
      <c r="M37">
        <f t="shared" ca="1" si="11"/>
        <v>8</v>
      </c>
      <c r="N37">
        <f t="shared" ca="1" si="11"/>
        <v>4</v>
      </c>
      <c r="O37">
        <f t="shared" ca="1" si="11"/>
        <v>7</v>
      </c>
      <c r="P37">
        <f t="shared" ca="1" si="11"/>
        <v>5</v>
      </c>
      <c r="Q37">
        <f t="shared" ca="1" si="11"/>
        <v>1</v>
      </c>
      <c r="R37">
        <f t="shared" ca="1" si="11"/>
        <v>8</v>
      </c>
      <c r="S37">
        <f t="shared" ca="1" si="11"/>
        <v>4</v>
      </c>
      <c r="T37">
        <f t="shared" ca="1" si="11"/>
        <v>3</v>
      </c>
      <c r="U37">
        <f t="shared" ca="1" si="11"/>
        <v>6</v>
      </c>
      <c r="V37">
        <f t="shared" ca="1" si="11"/>
        <v>2</v>
      </c>
      <c r="W37">
        <f t="shared" ca="1" si="11"/>
        <v>10</v>
      </c>
      <c r="X37">
        <f t="shared" ca="1" si="11"/>
        <v>1</v>
      </c>
      <c r="Y37">
        <f t="shared" ca="1" si="11"/>
        <v>10</v>
      </c>
      <c r="Z37">
        <f t="shared" ca="1" si="11"/>
        <v>8</v>
      </c>
      <c r="AA37">
        <f t="shared" ca="1" si="11"/>
        <v>9</v>
      </c>
      <c r="AB37">
        <f t="shared" ca="1" si="11"/>
        <v>10</v>
      </c>
      <c r="AC37">
        <f t="shared" ca="1" si="11"/>
        <v>7</v>
      </c>
      <c r="AD37">
        <f t="shared" ca="1" si="11"/>
        <v>9</v>
      </c>
      <c r="AE37">
        <f t="shared" ca="1" si="11"/>
        <v>6</v>
      </c>
      <c r="AF37">
        <f t="shared" ca="1" si="11"/>
        <v>10</v>
      </c>
      <c r="AG37">
        <f t="shared" ca="1" si="11"/>
        <v>3</v>
      </c>
      <c r="AH37" s="25">
        <f t="shared" ca="1" si="3"/>
        <v>178</v>
      </c>
      <c r="AI37">
        <v>96</v>
      </c>
      <c r="AJ37">
        <v>120</v>
      </c>
      <c r="AK37">
        <f t="shared" si="4"/>
        <v>24</v>
      </c>
      <c r="AL37" s="15">
        <f t="shared" ca="1" si="5"/>
        <v>21360</v>
      </c>
      <c r="AM37" s="15">
        <f t="shared" ca="1" si="6"/>
        <v>4272</v>
      </c>
    </row>
    <row r="38" spans="1:39">
      <c r="A38" s="27"/>
      <c r="B38" t="s">
        <v>55</v>
      </c>
      <c r="C38">
        <f t="shared" ca="1" si="12"/>
        <v>4</v>
      </c>
      <c r="D38">
        <f t="shared" ca="1" si="11"/>
        <v>7</v>
      </c>
      <c r="E38">
        <f t="shared" ca="1" si="11"/>
        <v>6</v>
      </c>
      <c r="F38">
        <f t="shared" ca="1" si="11"/>
        <v>5</v>
      </c>
      <c r="G38">
        <f t="shared" ca="1" si="11"/>
        <v>7</v>
      </c>
      <c r="H38">
        <f t="shared" ca="1" si="11"/>
        <v>8</v>
      </c>
      <c r="I38">
        <f t="shared" ca="1" si="11"/>
        <v>6</v>
      </c>
      <c r="J38">
        <f t="shared" ca="1" si="11"/>
        <v>7</v>
      </c>
      <c r="K38">
        <f t="shared" ca="1" si="11"/>
        <v>3</v>
      </c>
      <c r="L38">
        <f t="shared" ca="1" si="11"/>
        <v>1</v>
      </c>
      <c r="M38">
        <f t="shared" ca="1" si="11"/>
        <v>2</v>
      </c>
      <c r="N38">
        <f t="shared" ca="1" si="11"/>
        <v>6</v>
      </c>
      <c r="O38">
        <f t="shared" ca="1" si="11"/>
        <v>9</v>
      </c>
      <c r="P38">
        <f t="shared" ca="1" si="11"/>
        <v>3</v>
      </c>
      <c r="Q38">
        <f t="shared" ca="1" si="11"/>
        <v>8</v>
      </c>
      <c r="R38">
        <f t="shared" ca="1" si="11"/>
        <v>5</v>
      </c>
      <c r="S38">
        <f t="shared" ca="1" si="11"/>
        <v>1</v>
      </c>
      <c r="T38">
        <f t="shared" ca="1" si="11"/>
        <v>4</v>
      </c>
      <c r="U38">
        <f t="shared" ca="1" si="11"/>
        <v>6</v>
      </c>
      <c r="V38">
        <f t="shared" ca="1" si="11"/>
        <v>8</v>
      </c>
      <c r="W38">
        <f t="shared" ca="1" si="11"/>
        <v>1</v>
      </c>
      <c r="X38">
        <f t="shared" ca="1" si="11"/>
        <v>8</v>
      </c>
      <c r="Y38">
        <f t="shared" ca="1" si="11"/>
        <v>9</v>
      </c>
      <c r="Z38">
        <f t="shared" ca="1" si="11"/>
        <v>10</v>
      </c>
      <c r="AA38">
        <f t="shared" ca="1" si="11"/>
        <v>8</v>
      </c>
      <c r="AB38">
        <f t="shared" ca="1" si="11"/>
        <v>10</v>
      </c>
      <c r="AC38">
        <f t="shared" ca="1" si="11"/>
        <v>1</v>
      </c>
      <c r="AD38">
        <f t="shared" ca="1" si="11"/>
        <v>10</v>
      </c>
      <c r="AE38">
        <f t="shared" ca="1" si="11"/>
        <v>9</v>
      </c>
      <c r="AF38">
        <f t="shared" ca="1" si="11"/>
        <v>3</v>
      </c>
      <c r="AG38">
        <f t="shared" ca="1" si="11"/>
        <v>10</v>
      </c>
      <c r="AH38" s="25">
        <f t="shared" ca="1" si="3"/>
        <v>185</v>
      </c>
      <c r="AI38">
        <v>196</v>
      </c>
      <c r="AJ38">
        <v>230</v>
      </c>
      <c r="AK38">
        <f t="shared" si="4"/>
        <v>34</v>
      </c>
      <c r="AL38" s="15">
        <f t="shared" ca="1" si="5"/>
        <v>42550</v>
      </c>
      <c r="AM38" s="15">
        <f t="shared" ca="1" si="6"/>
        <v>6290</v>
      </c>
    </row>
    <row r="39" spans="1:39">
      <c r="A39" s="27"/>
      <c r="B39" t="s">
        <v>56</v>
      </c>
      <c r="C39">
        <f t="shared" ca="1" si="12"/>
        <v>2</v>
      </c>
      <c r="D39">
        <f t="shared" ca="1" si="11"/>
        <v>6</v>
      </c>
      <c r="E39">
        <f t="shared" ca="1" si="11"/>
        <v>4</v>
      </c>
      <c r="F39">
        <f t="shared" ca="1" si="11"/>
        <v>2</v>
      </c>
      <c r="G39">
        <f t="shared" ca="1" si="11"/>
        <v>1</v>
      </c>
      <c r="H39">
        <f t="shared" ca="1" si="11"/>
        <v>4</v>
      </c>
      <c r="I39">
        <f t="shared" ca="1" si="11"/>
        <v>5</v>
      </c>
      <c r="J39">
        <f t="shared" ca="1" si="11"/>
        <v>2</v>
      </c>
      <c r="K39">
        <f t="shared" ca="1" si="11"/>
        <v>4</v>
      </c>
      <c r="L39">
        <f t="shared" ca="1" si="11"/>
        <v>7</v>
      </c>
      <c r="M39">
        <f t="shared" ca="1" si="11"/>
        <v>4</v>
      </c>
      <c r="N39">
        <f t="shared" ca="1" si="11"/>
        <v>10</v>
      </c>
      <c r="O39">
        <f t="shared" ca="1" si="11"/>
        <v>10</v>
      </c>
      <c r="P39">
        <f t="shared" ca="1" si="11"/>
        <v>4</v>
      </c>
      <c r="Q39">
        <f t="shared" ca="1" si="11"/>
        <v>6</v>
      </c>
      <c r="R39">
        <f t="shared" ca="1" si="11"/>
        <v>1</v>
      </c>
      <c r="S39">
        <f t="shared" ca="1" si="11"/>
        <v>6</v>
      </c>
      <c r="T39">
        <f t="shared" ca="1" si="11"/>
        <v>8</v>
      </c>
      <c r="U39">
        <f t="shared" ca="1" si="11"/>
        <v>4</v>
      </c>
      <c r="V39">
        <f t="shared" ca="1" si="11"/>
        <v>10</v>
      </c>
      <c r="W39">
        <f t="shared" ca="1" si="11"/>
        <v>5</v>
      </c>
      <c r="X39">
        <f t="shared" ca="1" si="11"/>
        <v>4</v>
      </c>
      <c r="Y39">
        <f t="shared" ca="1" si="11"/>
        <v>7</v>
      </c>
      <c r="Z39">
        <f t="shared" ca="1" si="11"/>
        <v>1</v>
      </c>
      <c r="AA39">
        <f t="shared" ca="1" si="11"/>
        <v>9</v>
      </c>
      <c r="AB39">
        <f t="shared" ca="1" si="11"/>
        <v>3</v>
      </c>
      <c r="AC39">
        <f t="shared" ca="1" si="11"/>
        <v>4</v>
      </c>
      <c r="AD39">
        <f t="shared" ca="1" si="11"/>
        <v>2</v>
      </c>
      <c r="AE39">
        <f t="shared" ca="1" si="11"/>
        <v>4</v>
      </c>
      <c r="AF39">
        <f t="shared" ca="1" si="11"/>
        <v>4</v>
      </c>
      <c r="AG39">
        <f t="shared" ca="1" si="11"/>
        <v>8</v>
      </c>
      <c r="AH39" s="25">
        <f t="shared" ca="1" si="3"/>
        <v>151</v>
      </c>
      <c r="AI39">
        <v>98</v>
      </c>
      <c r="AJ39">
        <v>115</v>
      </c>
      <c r="AK39">
        <f t="shared" si="4"/>
        <v>17</v>
      </c>
      <c r="AL39" s="15">
        <f t="shared" ca="1" si="5"/>
        <v>17365</v>
      </c>
      <c r="AM39" s="15">
        <f t="shared" ca="1" si="6"/>
        <v>2567</v>
      </c>
    </row>
    <row r="40" spans="1:39">
      <c r="A40" s="27"/>
      <c r="B40" t="s">
        <v>57</v>
      </c>
      <c r="C40">
        <f t="shared" ca="1" si="12"/>
        <v>9</v>
      </c>
      <c r="D40">
        <f t="shared" ca="1" si="11"/>
        <v>3</v>
      </c>
      <c r="E40">
        <f t="shared" ca="1" si="11"/>
        <v>9</v>
      </c>
      <c r="F40">
        <f t="shared" ca="1" si="11"/>
        <v>1</v>
      </c>
      <c r="G40">
        <f t="shared" ca="1" si="11"/>
        <v>10</v>
      </c>
      <c r="H40">
        <f t="shared" ca="1" si="11"/>
        <v>7</v>
      </c>
      <c r="I40">
        <f t="shared" ca="1" si="11"/>
        <v>6</v>
      </c>
      <c r="J40">
        <f t="shared" ca="1" si="11"/>
        <v>7</v>
      </c>
      <c r="K40">
        <f t="shared" ca="1" si="11"/>
        <v>6</v>
      </c>
      <c r="L40">
        <f t="shared" ca="1" si="11"/>
        <v>8</v>
      </c>
      <c r="M40">
        <f t="shared" ca="1" si="11"/>
        <v>3</v>
      </c>
      <c r="N40">
        <f t="shared" ca="1" si="11"/>
        <v>8</v>
      </c>
      <c r="O40">
        <f t="shared" ca="1" si="11"/>
        <v>10</v>
      </c>
      <c r="P40">
        <f t="shared" ca="1" si="11"/>
        <v>3</v>
      </c>
      <c r="Q40">
        <f t="shared" ca="1" si="11"/>
        <v>9</v>
      </c>
      <c r="R40">
        <f t="shared" ca="1" si="11"/>
        <v>4</v>
      </c>
      <c r="S40">
        <f t="shared" ca="1" si="11"/>
        <v>3</v>
      </c>
      <c r="T40">
        <f t="shared" ca="1" si="11"/>
        <v>7</v>
      </c>
      <c r="U40">
        <f t="shared" ca="1" si="11"/>
        <v>6</v>
      </c>
      <c r="V40">
        <f t="shared" ca="1" si="11"/>
        <v>2</v>
      </c>
      <c r="W40">
        <f t="shared" ca="1" si="11"/>
        <v>5</v>
      </c>
      <c r="X40">
        <f t="shared" ca="1" si="11"/>
        <v>10</v>
      </c>
      <c r="Y40">
        <f t="shared" ca="1" si="11"/>
        <v>9</v>
      </c>
      <c r="Z40">
        <f t="shared" ca="1" si="11"/>
        <v>9</v>
      </c>
      <c r="AA40">
        <f t="shared" ca="1" si="11"/>
        <v>8</v>
      </c>
      <c r="AB40">
        <f t="shared" ca="1" si="11"/>
        <v>2</v>
      </c>
      <c r="AC40">
        <f t="shared" ca="1" si="11"/>
        <v>10</v>
      </c>
      <c r="AD40">
        <f t="shared" ca="1" si="11"/>
        <v>3</v>
      </c>
      <c r="AE40">
        <f t="shared" ca="1" si="11"/>
        <v>2</v>
      </c>
      <c r="AF40">
        <f t="shared" ca="1" si="11"/>
        <v>3</v>
      </c>
      <c r="AG40">
        <f t="shared" ca="1" si="11"/>
        <v>3</v>
      </c>
      <c r="AH40" s="25">
        <f t="shared" ca="1" si="3"/>
        <v>185</v>
      </c>
      <c r="AI40">
        <v>75</v>
      </c>
      <c r="AJ40">
        <v>99</v>
      </c>
      <c r="AK40">
        <f t="shared" si="4"/>
        <v>24</v>
      </c>
      <c r="AL40" s="15">
        <f t="shared" ca="1" si="5"/>
        <v>18315</v>
      </c>
      <c r="AM40" s="15">
        <f t="shared" ca="1" si="6"/>
        <v>4440</v>
      </c>
    </row>
    <row r="41" spans="1:39">
      <c r="A41" s="27"/>
      <c r="B41" t="s">
        <v>58</v>
      </c>
      <c r="C41">
        <f t="shared" ca="1" si="12"/>
        <v>4</v>
      </c>
      <c r="D41">
        <f t="shared" ca="1" si="11"/>
        <v>6</v>
      </c>
      <c r="E41">
        <f t="shared" ca="1" si="11"/>
        <v>10</v>
      </c>
      <c r="F41">
        <f t="shared" ca="1" si="11"/>
        <v>5</v>
      </c>
      <c r="G41">
        <f t="shared" ca="1" si="11"/>
        <v>1</v>
      </c>
      <c r="H41">
        <f t="shared" ca="1" si="11"/>
        <v>6</v>
      </c>
      <c r="I41">
        <f t="shared" ca="1" si="11"/>
        <v>6</v>
      </c>
      <c r="J41">
        <f t="shared" ca="1" si="11"/>
        <v>2</v>
      </c>
      <c r="K41">
        <f t="shared" ca="1" si="11"/>
        <v>2</v>
      </c>
      <c r="L41">
        <f t="shared" ca="1" si="11"/>
        <v>10</v>
      </c>
      <c r="M41">
        <f t="shared" ca="1" si="11"/>
        <v>9</v>
      </c>
      <c r="N41">
        <f t="shared" ca="1" si="11"/>
        <v>3</v>
      </c>
      <c r="O41">
        <f t="shared" ca="1" si="11"/>
        <v>3</v>
      </c>
      <c r="P41">
        <f t="shared" ca="1" si="11"/>
        <v>8</v>
      </c>
      <c r="Q41">
        <f t="shared" ca="1" si="11"/>
        <v>3</v>
      </c>
      <c r="R41">
        <f t="shared" ca="1" si="11"/>
        <v>8</v>
      </c>
      <c r="S41">
        <f t="shared" ca="1" si="11"/>
        <v>9</v>
      </c>
      <c r="T41">
        <f t="shared" ca="1" si="11"/>
        <v>1</v>
      </c>
      <c r="U41">
        <f t="shared" ca="1" si="11"/>
        <v>6</v>
      </c>
      <c r="V41">
        <f t="shared" ca="1" si="11"/>
        <v>7</v>
      </c>
      <c r="W41">
        <f t="shared" ca="1" si="11"/>
        <v>6</v>
      </c>
      <c r="X41">
        <f t="shared" ca="1" si="11"/>
        <v>3</v>
      </c>
      <c r="Y41">
        <f t="shared" ca="1" si="11"/>
        <v>4</v>
      </c>
      <c r="Z41">
        <f t="shared" ca="1" si="11"/>
        <v>9</v>
      </c>
      <c r="AA41">
        <f t="shared" ca="1" si="11"/>
        <v>6</v>
      </c>
      <c r="AB41">
        <f t="shared" ca="1" si="11"/>
        <v>6</v>
      </c>
      <c r="AC41">
        <f t="shared" ca="1" si="11"/>
        <v>3</v>
      </c>
      <c r="AD41">
        <f t="shared" ca="1" si="11"/>
        <v>2</v>
      </c>
      <c r="AE41">
        <f t="shared" ca="1" si="11"/>
        <v>6</v>
      </c>
      <c r="AF41">
        <f t="shared" ca="1" si="11"/>
        <v>3</v>
      </c>
      <c r="AG41">
        <f t="shared" ca="1" si="11"/>
        <v>9</v>
      </c>
      <c r="AH41" s="25">
        <f t="shared" ca="1" si="3"/>
        <v>166</v>
      </c>
      <c r="AI41">
        <v>105</v>
      </c>
      <c r="AJ41">
        <v>140</v>
      </c>
      <c r="AK41">
        <f t="shared" si="4"/>
        <v>35</v>
      </c>
      <c r="AL41" s="15">
        <f t="shared" ca="1" si="5"/>
        <v>23240</v>
      </c>
      <c r="AM41" s="15">
        <f t="shared" ca="1" si="6"/>
        <v>5810</v>
      </c>
    </row>
    <row r="42" spans="1:39">
      <c r="A42" s="27"/>
      <c r="B42" t="s">
        <v>59</v>
      </c>
      <c r="C42">
        <f t="shared" ca="1" si="12"/>
        <v>9</v>
      </c>
      <c r="D42">
        <f t="shared" ca="1" si="11"/>
        <v>9</v>
      </c>
      <c r="E42">
        <f t="shared" ca="1" si="11"/>
        <v>7</v>
      </c>
      <c r="F42">
        <f t="shared" ca="1" si="11"/>
        <v>1</v>
      </c>
      <c r="G42">
        <f t="shared" ca="1" si="11"/>
        <v>6</v>
      </c>
      <c r="H42">
        <f t="shared" ca="1" si="11"/>
        <v>4</v>
      </c>
      <c r="I42">
        <f t="shared" ca="1" si="11"/>
        <v>10</v>
      </c>
      <c r="J42">
        <f t="shared" ca="1" si="11"/>
        <v>1</v>
      </c>
      <c r="K42">
        <f t="shared" ca="1" si="11"/>
        <v>8</v>
      </c>
      <c r="L42">
        <f t="shared" ca="1" si="11"/>
        <v>3</v>
      </c>
      <c r="M42">
        <f t="shared" ca="1" si="11"/>
        <v>4</v>
      </c>
      <c r="N42">
        <f t="shared" ca="1" si="11"/>
        <v>5</v>
      </c>
      <c r="O42">
        <f t="shared" ca="1" si="11"/>
        <v>1</v>
      </c>
      <c r="P42">
        <f t="shared" ca="1" si="11"/>
        <v>6</v>
      </c>
      <c r="Q42">
        <f t="shared" ca="1" si="11"/>
        <v>8</v>
      </c>
      <c r="R42">
        <f t="shared" ca="1" si="11"/>
        <v>2</v>
      </c>
      <c r="S42">
        <f t="shared" ref="D42:AG50" ca="1" si="13">RANDBETWEEN(1,10)</f>
        <v>3</v>
      </c>
      <c r="T42">
        <f t="shared" ca="1" si="13"/>
        <v>2</v>
      </c>
      <c r="U42">
        <f t="shared" ca="1" si="13"/>
        <v>1</v>
      </c>
      <c r="V42">
        <f t="shared" ca="1" si="13"/>
        <v>10</v>
      </c>
      <c r="W42">
        <f t="shared" ca="1" si="13"/>
        <v>7</v>
      </c>
      <c r="X42">
        <f t="shared" ca="1" si="13"/>
        <v>7</v>
      </c>
      <c r="Y42">
        <f t="shared" ca="1" si="13"/>
        <v>3</v>
      </c>
      <c r="Z42">
        <f t="shared" ca="1" si="13"/>
        <v>10</v>
      </c>
      <c r="AA42">
        <f t="shared" ca="1" si="13"/>
        <v>5</v>
      </c>
      <c r="AB42">
        <f t="shared" ca="1" si="13"/>
        <v>6</v>
      </c>
      <c r="AC42">
        <f t="shared" ca="1" si="13"/>
        <v>5</v>
      </c>
      <c r="AD42">
        <f t="shared" ca="1" si="13"/>
        <v>1</v>
      </c>
      <c r="AE42">
        <f t="shared" ca="1" si="13"/>
        <v>8</v>
      </c>
      <c r="AF42">
        <f t="shared" ca="1" si="13"/>
        <v>2</v>
      </c>
      <c r="AG42">
        <f t="shared" ca="1" si="13"/>
        <v>4</v>
      </c>
      <c r="AH42" s="25">
        <f t="shared" ca="1" si="3"/>
        <v>158</v>
      </c>
      <c r="AI42">
        <v>37</v>
      </c>
      <c r="AJ42">
        <v>50</v>
      </c>
      <c r="AK42">
        <f t="shared" si="4"/>
        <v>13</v>
      </c>
      <c r="AL42" s="15">
        <f t="shared" ca="1" si="5"/>
        <v>7900</v>
      </c>
      <c r="AM42" s="15">
        <f t="shared" ca="1" si="6"/>
        <v>2054</v>
      </c>
    </row>
    <row r="43" spans="1:39">
      <c r="A43" s="27"/>
      <c r="B43" t="s">
        <v>60</v>
      </c>
      <c r="C43">
        <f t="shared" ca="1" si="12"/>
        <v>2</v>
      </c>
      <c r="D43">
        <f t="shared" ca="1" si="13"/>
        <v>4</v>
      </c>
      <c r="E43">
        <f t="shared" ca="1" si="13"/>
        <v>2</v>
      </c>
      <c r="F43">
        <f t="shared" ca="1" si="13"/>
        <v>2</v>
      </c>
      <c r="G43">
        <f t="shared" ca="1" si="13"/>
        <v>2</v>
      </c>
      <c r="H43">
        <f t="shared" ca="1" si="13"/>
        <v>1</v>
      </c>
      <c r="I43">
        <f t="shared" ca="1" si="13"/>
        <v>1</v>
      </c>
      <c r="J43">
        <f t="shared" ca="1" si="13"/>
        <v>7</v>
      </c>
      <c r="K43">
        <f t="shared" ca="1" si="13"/>
        <v>10</v>
      </c>
      <c r="L43">
        <f t="shared" ca="1" si="13"/>
        <v>5</v>
      </c>
      <c r="M43">
        <f t="shared" ca="1" si="13"/>
        <v>4</v>
      </c>
      <c r="N43">
        <f t="shared" ca="1" si="13"/>
        <v>1</v>
      </c>
      <c r="O43">
        <f t="shared" ca="1" si="13"/>
        <v>6</v>
      </c>
      <c r="P43">
        <f t="shared" ca="1" si="13"/>
        <v>9</v>
      </c>
      <c r="Q43">
        <f t="shared" ca="1" si="13"/>
        <v>6</v>
      </c>
      <c r="R43">
        <f t="shared" ca="1" si="13"/>
        <v>4</v>
      </c>
      <c r="S43">
        <f t="shared" ca="1" si="13"/>
        <v>4</v>
      </c>
      <c r="T43">
        <f t="shared" ca="1" si="13"/>
        <v>8</v>
      </c>
      <c r="U43">
        <f t="shared" ca="1" si="13"/>
        <v>1</v>
      </c>
      <c r="V43">
        <f t="shared" ca="1" si="13"/>
        <v>8</v>
      </c>
      <c r="W43">
        <f t="shared" ca="1" si="13"/>
        <v>9</v>
      </c>
      <c r="X43">
        <f t="shared" ca="1" si="13"/>
        <v>10</v>
      </c>
      <c r="Y43">
        <f t="shared" ca="1" si="13"/>
        <v>7</v>
      </c>
      <c r="Z43">
        <f t="shared" ca="1" si="13"/>
        <v>4</v>
      </c>
      <c r="AA43">
        <f t="shared" ca="1" si="13"/>
        <v>4</v>
      </c>
      <c r="AB43">
        <f t="shared" ca="1" si="13"/>
        <v>4</v>
      </c>
      <c r="AC43">
        <f t="shared" ca="1" si="13"/>
        <v>3</v>
      </c>
      <c r="AD43">
        <f t="shared" ca="1" si="13"/>
        <v>8</v>
      </c>
      <c r="AE43">
        <f t="shared" ca="1" si="13"/>
        <v>6</v>
      </c>
      <c r="AF43">
        <f t="shared" ca="1" si="13"/>
        <v>10</v>
      </c>
      <c r="AG43">
        <f t="shared" ca="1" si="13"/>
        <v>1</v>
      </c>
      <c r="AH43" s="25">
        <f t="shared" ca="1" si="3"/>
        <v>153</v>
      </c>
      <c r="AI43">
        <v>221</v>
      </c>
      <c r="AJ43">
        <v>250</v>
      </c>
      <c r="AK43">
        <f t="shared" si="4"/>
        <v>29</v>
      </c>
      <c r="AL43" s="15">
        <f t="shared" ca="1" si="5"/>
        <v>38250</v>
      </c>
      <c r="AM43" s="15">
        <f t="shared" ca="1" si="6"/>
        <v>4437</v>
      </c>
    </row>
    <row r="44" spans="1:39">
      <c r="A44" s="27"/>
      <c r="B44" t="s">
        <v>61</v>
      </c>
      <c r="C44">
        <f t="shared" ca="1" si="12"/>
        <v>3</v>
      </c>
      <c r="D44">
        <f t="shared" ca="1" si="13"/>
        <v>8</v>
      </c>
      <c r="E44">
        <f t="shared" ca="1" si="13"/>
        <v>6</v>
      </c>
      <c r="F44">
        <f t="shared" ca="1" si="13"/>
        <v>3</v>
      </c>
      <c r="G44">
        <f t="shared" ca="1" si="13"/>
        <v>4</v>
      </c>
      <c r="H44">
        <f t="shared" ca="1" si="13"/>
        <v>1</v>
      </c>
      <c r="I44">
        <f t="shared" ca="1" si="13"/>
        <v>1</v>
      </c>
      <c r="J44">
        <f t="shared" ca="1" si="13"/>
        <v>5</v>
      </c>
      <c r="K44">
        <f t="shared" ca="1" si="13"/>
        <v>10</v>
      </c>
      <c r="L44">
        <f t="shared" ca="1" si="13"/>
        <v>1</v>
      </c>
      <c r="M44">
        <f t="shared" ca="1" si="13"/>
        <v>10</v>
      </c>
      <c r="N44">
        <f t="shared" ca="1" si="13"/>
        <v>4</v>
      </c>
      <c r="O44">
        <f t="shared" ca="1" si="13"/>
        <v>8</v>
      </c>
      <c r="P44">
        <f t="shared" ca="1" si="13"/>
        <v>8</v>
      </c>
      <c r="Q44">
        <f t="shared" ca="1" si="13"/>
        <v>6</v>
      </c>
      <c r="R44">
        <f t="shared" ca="1" si="13"/>
        <v>3</v>
      </c>
      <c r="S44">
        <f t="shared" ca="1" si="13"/>
        <v>2</v>
      </c>
      <c r="T44">
        <f t="shared" ca="1" si="13"/>
        <v>10</v>
      </c>
      <c r="U44">
        <f t="shared" ca="1" si="13"/>
        <v>4</v>
      </c>
      <c r="V44">
        <f t="shared" ca="1" si="13"/>
        <v>8</v>
      </c>
      <c r="W44">
        <f t="shared" ca="1" si="13"/>
        <v>7</v>
      </c>
      <c r="X44">
        <f t="shared" ca="1" si="13"/>
        <v>1</v>
      </c>
      <c r="Y44">
        <f t="shared" ca="1" si="13"/>
        <v>4</v>
      </c>
      <c r="Z44">
        <f t="shared" ca="1" si="13"/>
        <v>4</v>
      </c>
      <c r="AA44">
        <f t="shared" ca="1" si="13"/>
        <v>2</v>
      </c>
      <c r="AB44">
        <f t="shared" ca="1" si="13"/>
        <v>2</v>
      </c>
      <c r="AC44">
        <f t="shared" ca="1" si="13"/>
        <v>5</v>
      </c>
      <c r="AD44">
        <f t="shared" ca="1" si="13"/>
        <v>5</v>
      </c>
      <c r="AE44">
        <f t="shared" ca="1" si="13"/>
        <v>1</v>
      </c>
      <c r="AF44">
        <f t="shared" ca="1" si="13"/>
        <v>9</v>
      </c>
      <c r="AG44">
        <f t="shared" ca="1" si="13"/>
        <v>4</v>
      </c>
      <c r="AH44" s="25">
        <f t="shared" ca="1" si="3"/>
        <v>149</v>
      </c>
      <c r="AI44">
        <v>140</v>
      </c>
      <c r="AJ44">
        <v>150</v>
      </c>
      <c r="AK44">
        <f t="shared" si="4"/>
        <v>10</v>
      </c>
      <c r="AL44" s="15">
        <f t="shared" ca="1" si="5"/>
        <v>22350</v>
      </c>
      <c r="AM44" s="15">
        <f t="shared" ca="1" si="6"/>
        <v>1490</v>
      </c>
    </row>
    <row r="45" spans="1:39">
      <c r="A45" s="27"/>
      <c r="B45" t="s">
        <v>62</v>
      </c>
      <c r="C45">
        <f t="shared" ca="1" si="12"/>
        <v>2</v>
      </c>
      <c r="D45">
        <f t="shared" ca="1" si="13"/>
        <v>7</v>
      </c>
      <c r="E45">
        <f t="shared" ca="1" si="13"/>
        <v>2</v>
      </c>
      <c r="F45">
        <f t="shared" ca="1" si="13"/>
        <v>7</v>
      </c>
      <c r="G45">
        <f t="shared" ca="1" si="13"/>
        <v>3</v>
      </c>
      <c r="H45">
        <f t="shared" ca="1" si="13"/>
        <v>2</v>
      </c>
      <c r="I45">
        <f t="shared" ca="1" si="13"/>
        <v>1</v>
      </c>
      <c r="J45">
        <f t="shared" ca="1" si="13"/>
        <v>10</v>
      </c>
      <c r="K45">
        <f t="shared" ca="1" si="13"/>
        <v>3</v>
      </c>
      <c r="L45">
        <f t="shared" ca="1" si="13"/>
        <v>10</v>
      </c>
      <c r="M45">
        <f t="shared" ca="1" si="13"/>
        <v>9</v>
      </c>
      <c r="N45">
        <f t="shared" ca="1" si="13"/>
        <v>5</v>
      </c>
      <c r="O45">
        <f t="shared" ca="1" si="13"/>
        <v>6</v>
      </c>
      <c r="P45">
        <f t="shared" ca="1" si="13"/>
        <v>10</v>
      </c>
      <c r="Q45">
        <f t="shared" ca="1" si="13"/>
        <v>2</v>
      </c>
      <c r="R45">
        <f t="shared" ca="1" si="13"/>
        <v>1</v>
      </c>
      <c r="S45">
        <f t="shared" ca="1" si="13"/>
        <v>7</v>
      </c>
      <c r="T45">
        <f t="shared" ca="1" si="13"/>
        <v>2</v>
      </c>
      <c r="U45">
        <f t="shared" ca="1" si="13"/>
        <v>10</v>
      </c>
      <c r="V45">
        <f t="shared" ca="1" si="13"/>
        <v>7</v>
      </c>
      <c r="W45">
        <f t="shared" ca="1" si="13"/>
        <v>5</v>
      </c>
      <c r="X45">
        <f t="shared" ca="1" si="13"/>
        <v>6</v>
      </c>
      <c r="Y45">
        <f t="shared" ca="1" si="13"/>
        <v>10</v>
      </c>
      <c r="Z45">
        <f t="shared" ca="1" si="13"/>
        <v>10</v>
      </c>
      <c r="AA45">
        <f t="shared" ca="1" si="13"/>
        <v>5</v>
      </c>
      <c r="AB45">
        <f t="shared" ca="1" si="13"/>
        <v>1</v>
      </c>
      <c r="AC45">
        <f t="shared" ca="1" si="13"/>
        <v>4</v>
      </c>
      <c r="AD45">
        <f t="shared" ca="1" si="13"/>
        <v>3</v>
      </c>
      <c r="AE45">
        <f t="shared" ca="1" si="13"/>
        <v>4</v>
      </c>
      <c r="AF45">
        <f t="shared" ca="1" si="13"/>
        <v>3</v>
      </c>
      <c r="AG45">
        <f t="shared" ca="1" si="13"/>
        <v>8</v>
      </c>
      <c r="AH45" s="25">
        <f t="shared" ca="1" si="3"/>
        <v>165</v>
      </c>
      <c r="AI45">
        <v>154</v>
      </c>
      <c r="AJ45">
        <v>170</v>
      </c>
      <c r="AK45">
        <f t="shared" si="4"/>
        <v>16</v>
      </c>
      <c r="AL45" s="15">
        <f t="shared" ca="1" si="5"/>
        <v>28050</v>
      </c>
      <c r="AM45" s="15">
        <f t="shared" ca="1" si="6"/>
        <v>2640</v>
      </c>
    </row>
    <row r="46" spans="1:39">
      <c r="A46" s="27"/>
      <c r="B46" t="s">
        <v>63</v>
      </c>
      <c r="C46">
        <f t="shared" ca="1" si="12"/>
        <v>1</v>
      </c>
      <c r="D46">
        <f t="shared" ca="1" si="13"/>
        <v>7</v>
      </c>
      <c r="E46">
        <f t="shared" ca="1" si="13"/>
        <v>2</v>
      </c>
      <c r="F46">
        <f t="shared" ca="1" si="13"/>
        <v>5</v>
      </c>
      <c r="G46">
        <f t="shared" ca="1" si="13"/>
        <v>1</v>
      </c>
      <c r="H46">
        <f t="shared" ca="1" si="13"/>
        <v>1</v>
      </c>
      <c r="I46">
        <f t="shared" ca="1" si="13"/>
        <v>10</v>
      </c>
      <c r="J46">
        <f t="shared" ca="1" si="13"/>
        <v>9</v>
      </c>
      <c r="K46">
        <f t="shared" ca="1" si="13"/>
        <v>7</v>
      </c>
      <c r="L46">
        <f t="shared" ca="1" si="13"/>
        <v>3</v>
      </c>
      <c r="M46">
        <f t="shared" ca="1" si="13"/>
        <v>9</v>
      </c>
      <c r="N46">
        <f t="shared" ca="1" si="13"/>
        <v>9</v>
      </c>
      <c r="O46">
        <f t="shared" ca="1" si="13"/>
        <v>1</v>
      </c>
      <c r="P46">
        <f t="shared" ca="1" si="13"/>
        <v>7</v>
      </c>
      <c r="Q46">
        <f t="shared" ca="1" si="13"/>
        <v>7</v>
      </c>
      <c r="R46">
        <f t="shared" ca="1" si="13"/>
        <v>10</v>
      </c>
      <c r="S46">
        <f t="shared" ca="1" si="13"/>
        <v>9</v>
      </c>
      <c r="T46">
        <f t="shared" ca="1" si="13"/>
        <v>7</v>
      </c>
      <c r="U46">
        <f t="shared" ca="1" si="13"/>
        <v>10</v>
      </c>
      <c r="V46">
        <f t="shared" ca="1" si="13"/>
        <v>3</v>
      </c>
      <c r="W46">
        <f t="shared" ca="1" si="13"/>
        <v>5</v>
      </c>
      <c r="X46">
        <f t="shared" ca="1" si="13"/>
        <v>6</v>
      </c>
      <c r="Y46">
        <f t="shared" ca="1" si="13"/>
        <v>2</v>
      </c>
      <c r="Z46">
        <f t="shared" ca="1" si="13"/>
        <v>6</v>
      </c>
      <c r="AA46">
        <f t="shared" ca="1" si="13"/>
        <v>8</v>
      </c>
      <c r="AB46">
        <f t="shared" ca="1" si="13"/>
        <v>1</v>
      </c>
      <c r="AC46">
        <f t="shared" ca="1" si="13"/>
        <v>3</v>
      </c>
      <c r="AD46">
        <f t="shared" ca="1" si="13"/>
        <v>4</v>
      </c>
      <c r="AE46">
        <f t="shared" ca="1" si="13"/>
        <v>10</v>
      </c>
      <c r="AF46">
        <f t="shared" ca="1" si="13"/>
        <v>6</v>
      </c>
      <c r="AG46">
        <f t="shared" ca="1" si="13"/>
        <v>5</v>
      </c>
      <c r="AH46" s="25">
        <f t="shared" ca="1" si="3"/>
        <v>174</v>
      </c>
      <c r="AI46">
        <v>322</v>
      </c>
      <c r="AJ46">
        <v>345</v>
      </c>
      <c r="AK46">
        <f t="shared" si="4"/>
        <v>23</v>
      </c>
      <c r="AL46" s="15">
        <f t="shared" ca="1" si="5"/>
        <v>60030</v>
      </c>
      <c r="AM46" s="15">
        <f t="shared" ca="1" si="6"/>
        <v>4002</v>
      </c>
    </row>
    <row r="47" spans="1:39">
      <c r="A47" s="27"/>
      <c r="B47" t="s">
        <v>64</v>
      </c>
      <c r="C47">
        <f t="shared" ca="1" si="12"/>
        <v>2</v>
      </c>
      <c r="D47">
        <f t="shared" ca="1" si="13"/>
        <v>10</v>
      </c>
      <c r="E47">
        <f t="shared" ca="1" si="13"/>
        <v>2</v>
      </c>
      <c r="F47">
        <f t="shared" ca="1" si="13"/>
        <v>3</v>
      </c>
      <c r="G47">
        <f t="shared" ca="1" si="13"/>
        <v>2</v>
      </c>
      <c r="H47">
        <f t="shared" ca="1" si="13"/>
        <v>9</v>
      </c>
      <c r="I47">
        <f t="shared" ca="1" si="13"/>
        <v>8</v>
      </c>
      <c r="J47">
        <f t="shared" ca="1" si="13"/>
        <v>8</v>
      </c>
      <c r="K47">
        <f t="shared" ca="1" si="13"/>
        <v>3</v>
      </c>
      <c r="L47">
        <f t="shared" ca="1" si="13"/>
        <v>1</v>
      </c>
      <c r="M47">
        <f t="shared" ca="1" si="13"/>
        <v>1</v>
      </c>
      <c r="N47">
        <f t="shared" ca="1" si="13"/>
        <v>10</v>
      </c>
      <c r="O47">
        <f t="shared" ca="1" si="13"/>
        <v>5</v>
      </c>
      <c r="P47">
        <f t="shared" ca="1" si="13"/>
        <v>1</v>
      </c>
      <c r="Q47">
        <f t="shared" ca="1" si="13"/>
        <v>8</v>
      </c>
      <c r="R47">
        <f t="shared" ca="1" si="13"/>
        <v>6</v>
      </c>
      <c r="S47">
        <f t="shared" ca="1" si="13"/>
        <v>7</v>
      </c>
      <c r="T47">
        <f t="shared" ca="1" si="13"/>
        <v>7</v>
      </c>
      <c r="U47">
        <f t="shared" ca="1" si="13"/>
        <v>5</v>
      </c>
      <c r="V47">
        <f t="shared" ca="1" si="13"/>
        <v>9</v>
      </c>
      <c r="W47">
        <f t="shared" ca="1" si="13"/>
        <v>1</v>
      </c>
      <c r="X47">
        <f t="shared" ca="1" si="13"/>
        <v>7</v>
      </c>
      <c r="Y47">
        <f t="shared" ca="1" si="13"/>
        <v>5</v>
      </c>
      <c r="Z47">
        <f t="shared" ca="1" si="13"/>
        <v>9</v>
      </c>
      <c r="AA47">
        <f t="shared" ca="1" si="13"/>
        <v>9</v>
      </c>
      <c r="AB47">
        <f t="shared" ca="1" si="13"/>
        <v>2</v>
      </c>
      <c r="AC47">
        <f t="shared" ca="1" si="13"/>
        <v>9</v>
      </c>
      <c r="AD47">
        <f t="shared" ca="1" si="13"/>
        <v>8</v>
      </c>
      <c r="AE47">
        <f t="shared" ca="1" si="13"/>
        <v>4</v>
      </c>
      <c r="AF47">
        <f t="shared" ca="1" si="13"/>
        <v>7</v>
      </c>
      <c r="AG47">
        <f t="shared" ca="1" si="13"/>
        <v>2</v>
      </c>
      <c r="AH47" s="25">
        <f t="shared" ca="1" si="3"/>
        <v>170</v>
      </c>
      <c r="AI47">
        <v>380</v>
      </c>
      <c r="AJ47">
        <v>456</v>
      </c>
      <c r="AK47">
        <f t="shared" si="4"/>
        <v>76</v>
      </c>
      <c r="AL47" s="15">
        <f t="shared" ca="1" si="5"/>
        <v>77520</v>
      </c>
      <c r="AM47" s="15">
        <f t="shared" ca="1" si="6"/>
        <v>12920</v>
      </c>
    </row>
    <row r="48" spans="1:39">
      <c r="A48" s="27"/>
      <c r="B48" t="s">
        <v>65</v>
      </c>
      <c r="C48">
        <f t="shared" ca="1" si="12"/>
        <v>10</v>
      </c>
      <c r="D48">
        <f t="shared" ca="1" si="13"/>
        <v>1</v>
      </c>
      <c r="E48">
        <f t="shared" ca="1" si="13"/>
        <v>10</v>
      </c>
      <c r="F48">
        <f t="shared" ca="1" si="13"/>
        <v>1</v>
      </c>
      <c r="G48">
        <f t="shared" ca="1" si="13"/>
        <v>9</v>
      </c>
      <c r="H48">
        <f t="shared" ca="1" si="13"/>
        <v>1</v>
      </c>
      <c r="I48">
        <f t="shared" ca="1" si="13"/>
        <v>6</v>
      </c>
      <c r="J48">
        <f t="shared" ca="1" si="13"/>
        <v>8</v>
      </c>
      <c r="K48">
        <f t="shared" ca="1" si="13"/>
        <v>6</v>
      </c>
      <c r="L48">
        <f t="shared" ca="1" si="13"/>
        <v>1</v>
      </c>
      <c r="M48">
        <f t="shared" ca="1" si="13"/>
        <v>10</v>
      </c>
      <c r="N48">
        <f t="shared" ca="1" si="13"/>
        <v>9</v>
      </c>
      <c r="O48">
        <f t="shared" ca="1" si="13"/>
        <v>1</v>
      </c>
      <c r="P48">
        <f t="shared" ca="1" si="13"/>
        <v>6</v>
      </c>
      <c r="Q48">
        <f t="shared" ca="1" si="13"/>
        <v>2</v>
      </c>
      <c r="R48">
        <f t="shared" ca="1" si="13"/>
        <v>4</v>
      </c>
      <c r="S48">
        <f t="shared" ca="1" si="13"/>
        <v>3</v>
      </c>
      <c r="T48">
        <f t="shared" ca="1" si="13"/>
        <v>10</v>
      </c>
      <c r="U48">
        <f t="shared" ca="1" si="13"/>
        <v>10</v>
      </c>
      <c r="V48">
        <f t="shared" ca="1" si="13"/>
        <v>5</v>
      </c>
      <c r="W48">
        <f t="shared" ca="1" si="13"/>
        <v>1</v>
      </c>
      <c r="X48">
        <f t="shared" ca="1" si="13"/>
        <v>8</v>
      </c>
      <c r="Y48">
        <f t="shared" ca="1" si="13"/>
        <v>5</v>
      </c>
      <c r="Z48">
        <f t="shared" ca="1" si="13"/>
        <v>6</v>
      </c>
      <c r="AA48">
        <f t="shared" ca="1" si="13"/>
        <v>10</v>
      </c>
      <c r="AB48">
        <f t="shared" ca="1" si="13"/>
        <v>5</v>
      </c>
      <c r="AC48">
        <f t="shared" ca="1" si="13"/>
        <v>8</v>
      </c>
      <c r="AD48">
        <f t="shared" ca="1" si="13"/>
        <v>1</v>
      </c>
      <c r="AE48">
        <f t="shared" ca="1" si="13"/>
        <v>8</v>
      </c>
      <c r="AF48">
        <f t="shared" ca="1" si="13"/>
        <v>7</v>
      </c>
      <c r="AG48">
        <f t="shared" ca="1" si="13"/>
        <v>6</v>
      </c>
      <c r="AH48" s="25">
        <f t="shared" ca="1" si="3"/>
        <v>178</v>
      </c>
      <c r="AI48">
        <v>133</v>
      </c>
      <c r="AJ48">
        <v>158</v>
      </c>
      <c r="AK48">
        <f t="shared" si="4"/>
        <v>25</v>
      </c>
      <c r="AL48" s="15">
        <f t="shared" ca="1" si="5"/>
        <v>28124</v>
      </c>
      <c r="AM48" s="15">
        <f t="shared" ca="1" si="6"/>
        <v>4450</v>
      </c>
    </row>
    <row r="49" spans="1:39">
      <c r="A49" s="27"/>
      <c r="B49" t="s">
        <v>66</v>
      </c>
      <c r="C49">
        <f t="shared" ca="1" si="12"/>
        <v>9</v>
      </c>
      <c r="D49">
        <f t="shared" ca="1" si="13"/>
        <v>10</v>
      </c>
      <c r="E49">
        <f t="shared" ca="1" si="13"/>
        <v>2</v>
      </c>
      <c r="F49">
        <f t="shared" ca="1" si="13"/>
        <v>6</v>
      </c>
      <c r="G49">
        <f t="shared" ca="1" si="13"/>
        <v>7</v>
      </c>
      <c r="H49">
        <f t="shared" ca="1" si="13"/>
        <v>9</v>
      </c>
      <c r="I49">
        <f t="shared" ca="1" si="13"/>
        <v>2</v>
      </c>
      <c r="J49">
        <f t="shared" ca="1" si="13"/>
        <v>10</v>
      </c>
      <c r="K49">
        <f t="shared" ca="1" si="13"/>
        <v>9</v>
      </c>
      <c r="L49">
        <f t="shared" ca="1" si="13"/>
        <v>2</v>
      </c>
      <c r="M49">
        <f t="shared" ca="1" si="13"/>
        <v>3</v>
      </c>
      <c r="N49">
        <f t="shared" ca="1" si="13"/>
        <v>7</v>
      </c>
      <c r="O49">
        <f t="shared" ca="1" si="13"/>
        <v>3</v>
      </c>
      <c r="P49">
        <f t="shared" ca="1" si="13"/>
        <v>3</v>
      </c>
      <c r="Q49">
        <f t="shared" ca="1" si="13"/>
        <v>9</v>
      </c>
      <c r="R49">
        <f t="shared" ca="1" si="13"/>
        <v>7</v>
      </c>
      <c r="S49">
        <f t="shared" ca="1" si="13"/>
        <v>6</v>
      </c>
      <c r="T49">
        <f t="shared" ca="1" si="13"/>
        <v>7</v>
      </c>
      <c r="U49">
        <f t="shared" ca="1" si="13"/>
        <v>6</v>
      </c>
      <c r="V49">
        <f t="shared" ca="1" si="13"/>
        <v>7</v>
      </c>
      <c r="W49">
        <f t="shared" ca="1" si="13"/>
        <v>5</v>
      </c>
      <c r="X49">
        <f t="shared" ca="1" si="13"/>
        <v>6</v>
      </c>
      <c r="Y49">
        <f t="shared" ca="1" si="13"/>
        <v>4</v>
      </c>
      <c r="Z49">
        <f t="shared" ca="1" si="13"/>
        <v>5</v>
      </c>
      <c r="AA49">
        <f t="shared" ca="1" si="13"/>
        <v>1</v>
      </c>
      <c r="AB49">
        <f t="shared" ca="1" si="13"/>
        <v>10</v>
      </c>
      <c r="AC49">
        <f t="shared" ca="1" si="13"/>
        <v>3</v>
      </c>
      <c r="AD49">
        <f t="shared" ca="1" si="13"/>
        <v>10</v>
      </c>
      <c r="AE49">
        <f t="shared" ca="1" si="13"/>
        <v>4</v>
      </c>
      <c r="AF49">
        <f t="shared" ca="1" si="13"/>
        <v>10</v>
      </c>
      <c r="AG49">
        <f t="shared" ca="1" si="13"/>
        <v>1</v>
      </c>
      <c r="AH49" s="25">
        <f t="shared" ca="1" si="3"/>
        <v>183</v>
      </c>
      <c r="AI49">
        <v>40</v>
      </c>
      <c r="AJ49">
        <v>65</v>
      </c>
      <c r="AK49">
        <f t="shared" si="4"/>
        <v>25</v>
      </c>
      <c r="AL49" s="15">
        <f t="shared" ca="1" si="5"/>
        <v>11895</v>
      </c>
      <c r="AM49" s="15">
        <f t="shared" ca="1" si="6"/>
        <v>4575</v>
      </c>
    </row>
    <row r="50" spans="1:39">
      <c r="A50" s="27"/>
      <c r="B50" t="s">
        <v>67</v>
      </c>
      <c r="C50">
        <f t="shared" ca="1" si="12"/>
        <v>9</v>
      </c>
      <c r="D50">
        <f t="shared" ca="1" si="13"/>
        <v>10</v>
      </c>
      <c r="E50">
        <f t="shared" ca="1" si="13"/>
        <v>3</v>
      </c>
      <c r="F50">
        <f t="shared" ca="1" si="13"/>
        <v>4</v>
      </c>
      <c r="G50">
        <f t="shared" ca="1" si="13"/>
        <v>2</v>
      </c>
      <c r="H50">
        <f t="shared" ca="1" si="13"/>
        <v>4</v>
      </c>
      <c r="I50">
        <f t="shared" ca="1" si="13"/>
        <v>3</v>
      </c>
      <c r="J50">
        <f t="shared" ca="1" si="13"/>
        <v>9</v>
      </c>
      <c r="K50">
        <f t="shared" ca="1" si="13"/>
        <v>5</v>
      </c>
      <c r="L50">
        <f t="shared" ca="1" si="13"/>
        <v>9</v>
      </c>
      <c r="M50">
        <f t="shared" ca="1" si="13"/>
        <v>1</v>
      </c>
      <c r="N50">
        <f t="shared" ca="1" si="13"/>
        <v>7</v>
      </c>
      <c r="O50">
        <f t="shared" ca="1" si="13"/>
        <v>4</v>
      </c>
      <c r="P50">
        <f t="shared" ca="1" si="13"/>
        <v>6</v>
      </c>
      <c r="Q50">
        <f t="shared" ca="1" si="13"/>
        <v>7</v>
      </c>
      <c r="R50">
        <f t="shared" ca="1" si="13"/>
        <v>2</v>
      </c>
      <c r="S50">
        <f t="shared" ca="1" si="13"/>
        <v>4</v>
      </c>
      <c r="T50">
        <f t="shared" ca="1" si="13"/>
        <v>6</v>
      </c>
      <c r="U50">
        <f t="shared" ca="1" si="13"/>
        <v>1</v>
      </c>
      <c r="V50">
        <f t="shared" ca="1" si="13"/>
        <v>9</v>
      </c>
      <c r="W50">
        <f t="shared" ca="1" si="13"/>
        <v>3</v>
      </c>
      <c r="X50">
        <f t="shared" ca="1" si="13"/>
        <v>2</v>
      </c>
      <c r="Y50">
        <f t="shared" ca="1" si="13"/>
        <v>3</v>
      </c>
      <c r="Z50">
        <f t="shared" ca="1" si="13"/>
        <v>2</v>
      </c>
      <c r="AA50">
        <f t="shared" ca="1" si="13"/>
        <v>9</v>
      </c>
      <c r="AB50">
        <f t="shared" ca="1" si="13"/>
        <v>7</v>
      </c>
      <c r="AC50">
        <f t="shared" ca="1" si="13"/>
        <v>3</v>
      </c>
      <c r="AD50">
        <f t="shared" ca="1" si="13"/>
        <v>10</v>
      </c>
      <c r="AE50">
        <f t="shared" ca="1" si="13"/>
        <v>7</v>
      </c>
      <c r="AF50">
        <f t="shared" ca="1" si="13"/>
        <v>4</v>
      </c>
      <c r="AG50">
        <f t="shared" ca="1" si="13"/>
        <v>5</v>
      </c>
      <c r="AH50" s="25">
        <f t="shared" ca="1" si="3"/>
        <v>160</v>
      </c>
      <c r="AI50">
        <v>72</v>
      </c>
      <c r="AJ50">
        <v>89</v>
      </c>
      <c r="AK50">
        <f t="shared" si="4"/>
        <v>17</v>
      </c>
      <c r="AL50" s="15">
        <f t="shared" ca="1" si="5"/>
        <v>14240</v>
      </c>
      <c r="AM50" s="15">
        <f t="shared" ca="1" si="6"/>
        <v>2720</v>
      </c>
    </row>
    <row r="51" spans="1:39">
      <c r="A51" s="27"/>
      <c r="B51" t="s">
        <v>68</v>
      </c>
      <c r="C51">
        <f t="shared" ca="1" si="12"/>
        <v>8</v>
      </c>
      <c r="D51">
        <f t="shared" ref="D51:AG57" ca="1" si="14">RANDBETWEEN(1,10)</f>
        <v>6</v>
      </c>
      <c r="E51">
        <f t="shared" ca="1" si="14"/>
        <v>3</v>
      </c>
      <c r="F51">
        <f t="shared" ca="1" si="14"/>
        <v>3</v>
      </c>
      <c r="G51">
        <f t="shared" ca="1" si="14"/>
        <v>10</v>
      </c>
      <c r="H51">
        <f t="shared" ca="1" si="14"/>
        <v>6</v>
      </c>
      <c r="I51">
        <f t="shared" ca="1" si="14"/>
        <v>3</v>
      </c>
      <c r="J51">
        <f t="shared" ca="1" si="14"/>
        <v>5</v>
      </c>
      <c r="K51">
        <f t="shared" ca="1" si="14"/>
        <v>1</v>
      </c>
      <c r="L51">
        <f t="shared" ca="1" si="14"/>
        <v>4</v>
      </c>
      <c r="M51">
        <f t="shared" ca="1" si="14"/>
        <v>2</v>
      </c>
      <c r="N51">
        <f t="shared" ca="1" si="14"/>
        <v>10</v>
      </c>
      <c r="O51">
        <f t="shared" ca="1" si="14"/>
        <v>9</v>
      </c>
      <c r="P51">
        <f t="shared" ca="1" si="14"/>
        <v>4</v>
      </c>
      <c r="Q51">
        <f t="shared" ca="1" si="14"/>
        <v>3</v>
      </c>
      <c r="R51">
        <f t="shared" ca="1" si="14"/>
        <v>2</v>
      </c>
      <c r="S51">
        <f t="shared" ca="1" si="14"/>
        <v>4</v>
      </c>
      <c r="T51">
        <f t="shared" ca="1" si="14"/>
        <v>5</v>
      </c>
      <c r="U51">
        <f t="shared" ca="1" si="14"/>
        <v>6</v>
      </c>
      <c r="V51">
        <f t="shared" ca="1" si="14"/>
        <v>1</v>
      </c>
      <c r="W51">
        <f t="shared" ca="1" si="14"/>
        <v>7</v>
      </c>
      <c r="X51">
        <f t="shared" ca="1" si="14"/>
        <v>6</v>
      </c>
      <c r="Y51">
        <f t="shared" ca="1" si="14"/>
        <v>2</v>
      </c>
      <c r="Z51">
        <f t="shared" ca="1" si="14"/>
        <v>1</v>
      </c>
      <c r="AA51">
        <f t="shared" ca="1" si="14"/>
        <v>6</v>
      </c>
      <c r="AB51">
        <f t="shared" ca="1" si="14"/>
        <v>4</v>
      </c>
      <c r="AC51">
        <f t="shared" ca="1" si="14"/>
        <v>9</v>
      </c>
      <c r="AD51">
        <f t="shared" ca="1" si="14"/>
        <v>9</v>
      </c>
      <c r="AE51">
        <f t="shared" ca="1" si="14"/>
        <v>4</v>
      </c>
      <c r="AF51">
        <f t="shared" ca="1" si="14"/>
        <v>6</v>
      </c>
      <c r="AG51">
        <f t="shared" ca="1" si="14"/>
        <v>4</v>
      </c>
      <c r="AH51" s="25">
        <f t="shared" ca="1" si="3"/>
        <v>153</v>
      </c>
      <c r="AI51">
        <v>236</v>
      </c>
      <c r="AJ51">
        <v>268</v>
      </c>
      <c r="AK51">
        <f t="shared" si="4"/>
        <v>32</v>
      </c>
      <c r="AL51" s="15">
        <f t="shared" ca="1" si="5"/>
        <v>41004</v>
      </c>
      <c r="AM51" s="15">
        <f t="shared" ca="1" si="6"/>
        <v>4896</v>
      </c>
    </row>
    <row r="52" spans="1:39">
      <c r="A52" s="27"/>
      <c r="B52" t="s">
        <v>69</v>
      </c>
      <c r="C52">
        <f t="shared" ref="C52:R57" ca="1" si="15">RANDBETWEEN(1,10)</f>
        <v>6</v>
      </c>
      <c r="D52">
        <f t="shared" ca="1" si="15"/>
        <v>7</v>
      </c>
      <c r="E52">
        <f t="shared" ca="1" si="15"/>
        <v>7</v>
      </c>
      <c r="F52">
        <f t="shared" ca="1" si="15"/>
        <v>7</v>
      </c>
      <c r="G52">
        <f t="shared" ca="1" si="15"/>
        <v>1</v>
      </c>
      <c r="H52">
        <f t="shared" ca="1" si="15"/>
        <v>3</v>
      </c>
      <c r="I52">
        <f t="shared" ca="1" si="15"/>
        <v>6</v>
      </c>
      <c r="J52">
        <f t="shared" ca="1" si="15"/>
        <v>9</v>
      </c>
      <c r="K52">
        <f t="shared" ca="1" si="15"/>
        <v>7</v>
      </c>
      <c r="L52">
        <f t="shared" ca="1" si="15"/>
        <v>8</v>
      </c>
      <c r="M52">
        <f t="shared" ca="1" si="15"/>
        <v>6</v>
      </c>
      <c r="N52">
        <f t="shared" ca="1" si="15"/>
        <v>6</v>
      </c>
      <c r="O52">
        <f t="shared" ca="1" si="15"/>
        <v>8</v>
      </c>
      <c r="P52">
        <f t="shared" ca="1" si="15"/>
        <v>2</v>
      </c>
      <c r="Q52">
        <f t="shared" ca="1" si="15"/>
        <v>4</v>
      </c>
      <c r="R52">
        <f t="shared" ca="1" si="15"/>
        <v>6</v>
      </c>
      <c r="S52">
        <f t="shared" ca="1" si="14"/>
        <v>7</v>
      </c>
      <c r="T52">
        <f t="shared" ca="1" si="14"/>
        <v>10</v>
      </c>
      <c r="U52">
        <f t="shared" ca="1" si="14"/>
        <v>5</v>
      </c>
      <c r="V52">
        <f t="shared" ca="1" si="14"/>
        <v>1</v>
      </c>
      <c r="W52">
        <f t="shared" ca="1" si="14"/>
        <v>1</v>
      </c>
      <c r="X52">
        <f t="shared" ca="1" si="14"/>
        <v>8</v>
      </c>
      <c r="Y52">
        <f t="shared" ca="1" si="14"/>
        <v>8</v>
      </c>
      <c r="Z52">
        <f t="shared" ca="1" si="14"/>
        <v>10</v>
      </c>
      <c r="AA52">
        <f t="shared" ca="1" si="14"/>
        <v>4</v>
      </c>
      <c r="AB52">
        <f t="shared" ca="1" si="14"/>
        <v>7</v>
      </c>
      <c r="AC52">
        <f t="shared" ca="1" si="14"/>
        <v>3</v>
      </c>
      <c r="AD52">
        <f t="shared" ca="1" si="14"/>
        <v>3</v>
      </c>
      <c r="AE52">
        <f t="shared" ca="1" si="14"/>
        <v>6</v>
      </c>
      <c r="AF52">
        <f t="shared" ca="1" si="14"/>
        <v>2</v>
      </c>
      <c r="AG52">
        <f t="shared" ca="1" si="14"/>
        <v>2</v>
      </c>
      <c r="AH52" s="25">
        <f t="shared" ca="1" si="3"/>
        <v>170</v>
      </c>
      <c r="AI52">
        <v>156</v>
      </c>
      <c r="AJ52">
        <v>178</v>
      </c>
      <c r="AK52">
        <f t="shared" si="4"/>
        <v>22</v>
      </c>
      <c r="AL52" s="15">
        <f t="shared" ca="1" si="5"/>
        <v>30260</v>
      </c>
      <c r="AM52" s="15">
        <f t="shared" ca="1" si="6"/>
        <v>3740</v>
      </c>
    </row>
    <row r="53" spans="1:39">
      <c r="A53" s="27"/>
      <c r="B53" t="s">
        <v>70</v>
      </c>
      <c r="C53">
        <f t="shared" ca="1" si="15"/>
        <v>5</v>
      </c>
      <c r="D53">
        <f t="shared" ca="1" si="14"/>
        <v>4</v>
      </c>
      <c r="E53">
        <f t="shared" ca="1" si="14"/>
        <v>1</v>
      </c>
      <c r="F53">
        <f t="shared" ca="1" si="14"/>
        <v>2</v>
      </c>
      <c r="G53">
        <f t="shared" ca="1" si="14"/>
        <v>9</v>
      </c>
      <c r="H53">
        <f t="shared" ca="1" si="14"/>
        <v>1</v>
      </c>
      <c r="I53">
        <f t="shared" ca="1" si="14"/>
        <v>1</v>
      </c>
      <c r="J53">
        <f t="shared" ca="1" si="14"/>
        <v>9</v>
      </c>
      <c r="K53">
        <f t="shared" ca="1" si="14"/>
        <v>10</v>
      </c>
      <c r="L53">
        <f t="shared" ca="1" si="14"/>
        <v>3</v>
      </c>
      <c r="M53">
        <f t="shared" ca="1" si="14"/>
        <v>2</v>
      </c>
      <c r="N53">
        <f t="shared" ca="1" si="14"/>
        <v>7</v>
      </c>
      <c r="O53">
        <f t="shared" ca="1" si="14"/>
        <v>9</v>
      </c>
      <c r="P53">
        <f t="shared" ca="1" si="14"/>
        <v>5</v>
      </c>
      <c r="Q53">
        <f t="shared" ca="1" si="14"/>
        <v>5</v>
      </c>
      <c r="R53">
        <f t="shared" ca="1" si="14"/>
        <v>2</v>
      </c>
      <c r="S53">
        <f t="shared" ca="1" si="14"/>
        <v>5</v>
      </c>
      <c r="T53">
        <f t="shared" ca="1" si="14"/>
        <v>6</v>
      </c>
      <c r="U53">
        <f t="shared" ca="1" si="14"/>
        <v>6</v>
      </c>
      <c r="V53">
        <f t="shared" ca="1" si="14"/>
        <v>1</v>
      </c>
      <c r="W53">
        <f t="shared" ca="1" si="14"/>
        <v>8</v>
      </c>
      <c r="X53">
        <f t="shared" ca="1" si="14"/>
        <v>9</v>
      </c>
      <c r="Y53">
        <f t="shared" ca="1" si="14"/>
        <v>6</v>
      </c>
      <c r="Z53">
        <f t="shared" ca="1" si="14"/>
        <v>5</v>
      </c>
      <c r="AA53">
        <f t="shared" ca="1" si="14"/>
        <v>1</v>
      </c>
      <c r="AB53">
        <f t="shared" ca="1" si="14"/>
        <v>2</v>
      </c>
      <c r="AC53">
        <f t="shared" ca="1" si="14"/>
        <v>5</v>
      </c>
      <c r="AD53">
        <f t="shared" ca="1" si="14"/>
        <v>4</v>
      </c>
      <c r="AE53">
        <f t="shared" ca="1" si="14"/>
        <v>10</v>
      </c>
      <c r="AF53">
        <f t="shared" ca="1" si="14"/>
        <v>3</v>
      </c>
      <c r="AG53">
        <f t="shared" ca="1" si="14"/>
        <v>7</v>
      </c>
      <c r="AH53" s="25">
        <f t="shared" ca="1" si="3"/>
        <v>153</v>
      </c>
      <c r="AI53">
        <v>182</v>
      </c>
      <c r="AJ53">
        <v>225</v>
      </c>
      <c r="AK53">
        <f t="shared" si="4"/>
        <v>43</v>
      </c>
      <c r="AL53" s="15">
        <f t="shared" ca="1" si="5"/>
        <v>34425</v>
      </c>
      <c r="AM53" s="15">
        <f t="shared" ca="1" si="6"/>
        <v>6579</v>
      </c>
    </row>
    <row r="54" spans="1:39">
      <c r="A54" s="27"/>
      <c r="B54" t="s">
        <v>71</v>
      </c>
      <c r="C54">
        <f t="shared" ca="1" si="15"/>
        <v>2</v>
      </c>
      <c r="D54">
        <f t="shared" ca="1" si="14"/>
        <v>10</v>
      </c>
      <c r="E54">
        <f t="shared" ca="1" si="14"/>
        <v>9</v>
      </c>
      <c r="F54">
        <f t="shared" ca="1" si="14"/>
        <v>9</v>
      </c>
      <c r="G54">
        <f t="shared" ca="1" si="14"/>
        <v>7</v>
      </c>
      <c r="H54">
        <f t="shared" ca="1" si="14"/>
        <v>2</v>
      </c>
      <c r="I54">
        <f t="shared" ca="1" si="14"/>
        <v>7</v>
      </c>
      <c r="J54">
        <f t="shared" ca="1" si="14"/>
        <v>5</v>
      </c>
      <c r="K54">
        <f t="shared" ca="1" si="14"/>
        <v>2</v>
      </c>
      <c r="L54">
        <f t="shared" ca="1" si="14"/>
        <v>9</v>
      </c>
      <c r="M54">
        <f t="shared" ca="1" si="14"/>
        <v>9</v>
      </c>
      <c r="N54">
        <f t="shared" ca="1" si="14"/>
        <v>6</v>
      </c>
      <c r="O54">
        <f t="shared" ca="1" si="14"/>
        <v>5</v>
      </c>
      <c r="P54">
        <f t="shared" ca="1" si="14"/>
        <v>10</v>
      </c>
      <c r="Q54">
        <f t="shared" ca="1" si="14"/>
        <v>7</v>
      </c>
      <c r="R54">
        <f t="shared" ca="1" si="14"/>
        <v>6</v>
      </c>
      <c r="S54">
        <f t="shared" ca="1" si="14"/>
        <v>9</v>
      </c>
      <c r="T54">
        <f t="shared" ca="1" si="14"/>
        <v>1</v>
      </c>
      <c r="U54">
        <f t="shared" ca="1" si="14"/>
        <v>8</v>
      </c>
      <c r="V54">
        <f t="shared" ca="1" si="14"/>
        <v>6</v>
      </c>
      <c r="W54">
        <f t="shared" ca="1" si="14"/>
        <v>3</v>
      </c>
      <c r="X54">
        <f t="shared" ca="1" si="14"/>
        <v>2</v>
      </c>
      <c r="Y54">
        <f t="shared" ca="1" si="14"/>
        <v>5</v>
      </c>
      <c r="Z54">
        <f t="shared" ca="1" si="14"/>
        <v>6</v>
      </c>
      <c r="AA54">
        <f t="shared" ca="1" si="14"/>
        <v>4</v>
      </c>
      <c r="AB54">
        <f t="shared" ca="1" si="14"/>
        <v>9</v>
      </c>
      <c r="AC54">
        <f t="shared" ca="1" si="14"/>
        <v>2</v>
      </c>
      <c r="AD54">
        <f t="shared" ca="1" si="14"/>
        <v>6</v>
      </c>
      <c r="AE54">
        <f t="shared" ca="1" si="14"/>
        <v>8</v>
      </c>
      <c r="AF54">
        <f t="shared" ca="1" si="14"/>
        <v>7</v>
      </c>
      <c r="AG54">
        <f t="shared" ca="1" si="14"/>
        <v>2</v>
      </c>
      <c r="AH54" s="25">
        <f t="shared" ca="1" si="3"/>
        <v>183</v>
      </c>
      <c r="AI54">
        <v>23</v>
      </c>
      <c r="AJ54">
        <v>35</v>
      </c>
      <c r="AK54">
        <f t="shared" si="4"/>
        <v>12</v>
      </c>
      <c r="AL54" s="15">
        <f t="shared" ca="1" si="5"/>
        <v>6405</v>
      </c>
      <c r="AM54" s="15">
        <f t="shared" ca="1" si="6"/>
        <v>2196</v>
      </c>
    </row>
    <row r="55" spans="1:39">
      <c r="A55" s="27"/>
      <c r="B55" t="s">
        <v>72</v>
      </c>
      <c r="C55">
        <f t="shared" ca="1" si="15"/>
        <v>3</v>
      </c>
      <c r="D55">
        <f t="shared" ca="1" si="14"/>
        <v>10</v>
      </c>
      <c r="E55">
        <f t="shared" ca="1" si="14"/>
        <v>4</v>
      </c>
      <c r="F55">
        <f t="shared" ca="1" si="14"/>
        <v>10</v>
      </c>
      <c r="G55">
        <f t="shared" ca="1" si="14"/>
        <v>5</v>
      </c>
      <c r="H55">
        <f t="shared" ca="1" si="14"/>
        <v>8</v>
      </c>
      <c r="I55">
        <f t="shared" ca="1" si="14"/>
        <v>9</v>
      </c>
      <c r="J55">
        <f t="shared" ca="1" si="14"/>
        <v>9</v>
      </c>
      <c r="K55">
        <f t="shared" ca="1" si="14"/>
        <v>4</v>
      </c>
      <c r="L55">
        <f t="shared" ca="1" si="14"/>
        <v>4</v>
      </c>
      <c r="M55">
        <f t="shared" ca="1" si="14"/>
        <v>6</v>
      </c>
      <c r="N55">
        <f t="shared" ca="1" si="14"/>
        <v>6</v>
      </c>
      <c r="O55">
        <f t="shared" ca="1" si="14"/>
        <v>10</v>
      </c>
      <c r="P55">
        <f t="shared" ca="1" si="14"/>
        <v>9</v>
      </c>
      <c r="Q55">
        <f t="shared" ca="1" si="14"/>
        <v>1</v>
      </c>
      <c r="R55">
        <f t="shared" ca="1" si="14"/>
        <v>8</v>
      </c>
      <c r="S55">
        <f t="shared" ca="1" si="14"/>
        <v>2</v>
      </c>
      <c r="T55">
        <f t="shared" ca="1" si="14"/>
        <v>6</v>
      </c>
      <c r="U55">
        <f t="shared" ca="1" si="14"/>
        <v>8</v>
      </c>
      <c r="V55">
        <f t="shared" ca="1" si="14"/>
        <v>2</v>
      </c>
      <c r="W55">
        <f t="shared" ca="1" si="14"/>
        <v>9</v>
      </c>
      <c r="X55">
        <f t="shared" ca="1" si="14"/>
        <v>1</v>
      </c>
      <c r="Y55">
        <f t="shared" ca="1" si="14"/>
        <v>10</v>
      </c>
      <c r="Z55">
        <f t="shared" ca="1" si="14"/>
        <v>3</v>
      </c>
      <c r="AA55">
        <f t="shared" ca="1" si="14"/>
        <v>10</v>
      </c>
      <c r="AB55">
        <f t="shared" ca="1" si="14"/>
        <v>1</v>
      </c>
      <c r="AC55">
        <f t="shared" ca="1" si="14"/>
        <v>1</v>
      </c>
      <c r="AD55">
        <f t="shared" ca="1" si="14"/>
        <v>1</v>
      </c>
      <c r="AE55">
        <f t="shared" ca="1" si="14"/>
        <v>5</v>
      </c>
      <c r="AF55">
        <f t="shared" ca="1" si="14"/>
        <v>8</v>
      </c>
      <c r="AG55">
        <f t="shared" ca="1" si="14"/>
        <v>6</v>
      </c>
      <c r="AH55" s="25">
        <f t="shared" ca="1" si="3"/>
        <v>179</v>
      </c>
      <c r="AI55">
        <v>205</v>
      </c>
      <c r="AJ55">
        <v>260</v>
      </c>
      <c r="AK55">
        <f t="shared" si="4"/>
        <v>55</v>
      </c>
      <c r="AL55" s="15">
        <f t="shared" ca="1" si="5"/>
        <v>46540</v>
      </c>
      <c r="AM55" s="15">
        <f t="shared" ca="1" si="6"/>
        <v>9845</v>
      </c>
    </row>
    <row r="56" spans="1:39">
      <c r="A56" s="27"/>
      <c r="B56" t="s">
        <v>73</v>
      </c>
      <c r="C56">
        <f t="shared" ca="1" si="15"/>
        <v>7</v>
      </c>
      <c r="D56">
        <f t="shared" ca="1" si="14"/>
        <v>8</v>
      </c>
      <c r="E56">
        <f t="shared" ca="1" si="14"/>
        <v>8</v>
      </c>
      <c r="F56">
        <f t="shared" ca="1" si="14"/>
        <v>3</v>
      </c>
      <c r="G56">
        <f t="shared" ca="1" si="14"/>
        <v>1</v>
      </c>
      <c r="H56">
        <f t="shared" ca="1" si="14"/>
        <v>4</v>
      </c>
      <c r="I56">
        <f t="shared" ca="1" si="14"/>
        <v>5</v>
      </c>
      <c r="J56">
        <f t="shared" ca="1" si="14"/>
        <v>2</v>
      </c>
      <c r="K56">
        <f t="shared" ca="1" si="14"/>
        <v>7</v>
      </c>
      <c r="L56">
        <f t="shared" ca="1" si="14"/>
        <v>2</v>
      </c>
      <c r="M56">
        <f t="shared" ca="1" si="14"/>
        <v>7</v>
      </c>
      <c r="N56">
        <f t="shared" ca="1" si="14"/>
        <v>8</v>
      </c>
      <c r="O56">
        <f t="shared" ca="1" si="14"/>
        <v>9</v>
      </c>
      <c r="P56">
        <f t="shared" ca="1" si="14"/>
        <v>9</v>
      </c>
      <c r="Q56">
        <f t="shared" ca="1" si="14"/>
        <v>3</v>
      </c>
      <c r="R56">
        <f t="shared" ca="1" si="14"/>
        <v>5</v>
      </c>
      <c r="S56">
        <f t="shared" ca="1" si="14"/>
        <v>10</v>
      </c>
      <c r="T56">
        <f t="shared" ca="1" si="14"/>
        <v>5</v>
      </c>
      <c r="U56">
        <f t="shared" ca="1" si="14"/>
        <v>7</v>
      </c>
      <c r="V56">
        <f t="shared" ca="1" si="14"/>
        <v>1</v>
      </c>
      <c r="W56">
        <f t="shared" ca="1" si="14"/>
        <v>3</v>
      </c>
      <c r="X56">
        <f t="shared" ca="1" si="14"/>
        <v>5</v>
      </c>
      <c r="Y56">
        <f t="shared" ca="1" si="14"/>
        <v>3</v>
      </c>
      <c r="Z56">
        <f t="shared" ca="1" si="14"/>
        <v>6</v>
      </c>
      <c r="AA56">
        <f t="shared" ca="1" si="14"/>
        <v>5</v>
      </c>
      <c r="AB56">
        <f t="shared" ca="1" si="14"/>
        <v>7</v>
      </c>
      <c r="AC56">
        <f t="shared" ca="1" si="14"/>
        <v>8</v>
      </c>
      <c r="AD56">
        <f t="shared" ca="1" si="14"/>
        <v>9</v>
      </c>
      <c r="AE56">
        <f t="shared" ca="1" si="14"/>
        <v>5</v>
      </c>
      <c r="AF56">
        <f t="shared" ca="1" si="14"/>
        <v>8</v>
      </c>
      <c r="AG56">
        <f t="shared" ca="1" si="14"/>
        <v>6</v>
      </c>
      <c r="AH56" s="25">
        <f t="shared" ca="1" si="3"/>
        <v>176</v>
      </c>
      <c r="AI56">
        <v>325</v>
      </c>
      <c r="AJ56">
        <v>358</v>
      </c>
      <c r="AK56">
        <f t="shared" si="4"/>
        <v>33</v>
      </c>
      <c r="AL56" s="15">
        <f t="shared" ca="1" si="5"/>
        <v>63008</v>
      </c>
      <c r="AM56" s="15">
        <f t="shared" ca="1" si="6"/>
        <v>5808</v>
      </c>
    </row>
    <row r="57" spans="1:39">
      <c r="A57" s="27"/>
      <c r="B57" t="s">
        <v>74</v>
      </c>
      <c r="C57">
        <f t="shared" ca="1" si="15"/>
        <v>9</v>
      </c>
      <c r="D57">
        <f t="shared" ca="1" si="14"/>
        <v>8</v>
      </c>
      <c r="E57">
        <f t="shared" ca="1" si="14"/>
        <v>1</v>
      </c>
      <c r="F57">
        <f t="shared" ca="1" si="14"/>
        <v>6</v>
      </c>
      <c r="G57">
        <f t="shared" ca="1" si="14"/>
        <v>2</v>
      </c>
      <c r="H57">
        <f t="shared" ca="1" si="14"/>
        <v>10</v>
      </c>
      <c r="I57">
        <f t="shared" ca="1" si="14"/>
        <v>5</v>
      </c>
      <c r="J57">
        <f t="shared" ca="1" si="14"/>
        <v>6</v>
      </c>
      <c r="K57">
        <f t="shared" ca="1" si="14"/>
        <v>9</v>
      </c>
      <c r="L57">
        <f t="shared" ca="1" si="14"/>
        <v>5</v>
      </c>
      <c r="M57">
        <f t="shared" ca="1" si="14"/>
        <v>6</v>
      </c>
      <c r="N57">
        <f t="shared" ca="1" si="14"/>
        <v>4</v>
      </c>
      <c r="O57">
        <f t="shared" ca="1" si="14"/>
        <v>9</v>
      </c>
      <c r="P57">
        <f t="shared" ca="1" si="14"/>
        <v>6</v>
      </c>
      <c r="Q57">
        <f t="shared" ca="1" si="14"/>
        <v>7</v>
      </c>
      <c r="R57">
        <f t="shared" ca="1" si="14"/>
        <v>4</v>
      </c>
      <c r="S57">
        <f t="shared" ca="1" si="14"/>
        <v>4</v>
      </c>
      <c r="T57">
        <f t="shared" ca="1" si="14"/>
        <v>3</v>
      </c>
      <c r="U57">
        <f t="shared" ca="1" si="14"/>
        <v>3</v>
      </c>
      <c r="V57">
        <f t="shared" ca="1" si="14"/>
        <v>6</v>
      </c>
      <c r="W57">
        <f t="shared" ca="1" si="14"/>
        <v>9</v>
      </c>
      <c r="X57">
        <f t="shared" ca="1" si="14"/>
        <v>5</v>
      </c>
      <c r="Y57">
        <f t="shared" ca="1" si="14"/>
        <v>8</v>
      </c>
      <c r="Z57">
        <f t="shared" ca="1" si="14"/>
        <v>6</v>
      </c>
      <c r="AA57">
        <f t="shared" ca="1" si="14"/>
        <v>3</v>
      </c>
      <c r="AB57">
        <f t="shared" ca="1" si="14"/>
        <v>8</v>
      </c>
      <c r="AC57">
        <f t="shared" ca="1" si="14"/>
        <v>7</v>
      </c>
      <c r="AD57">
        <f t="shared" ca="1" si="14"/>
        <v>9</v>
      </c>
      <c r="AE57">
        <f t="shared" ca="1" si="14"/>
        <v>4</v>
      </c>
      <c r="AF57">
        <f t="shared" ca="1" si="14"/>
        <v>6</v>
      </c>
      <c r="AG57">
        <f t="shared" ca="1" si="14"/>
        <v>4</v>
      </c>
      <c r="AH57" s="25">
        <f t="shared" ca="1" si="3"/>
        <v>182</v>
      </c>
      <c r="AI57">
        <v>340</v>
      </c>
      <c r="AJ57">
        <v>380</v>
      </c>
      <c r="AK57">
        <f t="shared" si="4"/>
        <v>40</v>
      </c>
      <c r="AL57" s="15">
        <f t="shared" ca="1" si="5"/>
        <v>69160</v>
      </c>
      <c r="AM57" s="15">
        <f t="shared" ca="1" si="6"/>
        <v>7280</v>
      </c>
    </row>
    <row r="58" spans="1:39">
      <c r="A58" s="27"/>
    </row>
    <row r="59" spans="1:39">
      <c r="A59" s="27"/>
    </row>
    <row r="60" spans="1:39">
      <c r="A60" s="27"/>
    </row>
    <row r="61" spans="1:39">
      <c r="A61" s="27"/>
    </row>
    <row r="62" spans="1:39">
      <c r="A62" s="27"/>
    </row>
    <row r="63" spans="1:39">
      <c r="A63" s="27"/>
    </row>
    <row r="64" spans="1:39">
      <c r="A64" s="27"/>
    </row>
    <row r="65" spans="1:1">
      <c r="A65" s="27"/>
    </row>
    <row r="66" spans="1:1">
      <c r="A66" s="27"/>
    </row>
    <row r="67" spans="1:1">
      <c r="A67" s="27"/>
    </row>
    <row r="68" spans="1:1">
      <c r="A68" s="27"/>
    </row>
    <row r="69" spans="1:1">
      <c r="A69" s="27"/>
    </row>
    <row r="70" spans="1:1">
      <c r="A70" s="27"/>
    </row>
    <row r="71" spans="1:1">
      <c r="A71" s="27"/>
    </row>
    <row r="72" spans="1:1">
      <c r="A72" s="27"/>
    </row>
    <row r="73" spans="1:1">
      <c r="A73" s="27"/>
    </row>
    <row r="74" spans="1:1">
      <c r="A74" s="27"/>
    </row>
    <row r="75" spans="1:1">
      <c r="A75" s="27"/>
    </row>
    <row r="76" spans="1:1">
      <c r="A76" s="27"/>
    </row>
    <row r="77" spans="1:1">
      <c r="A77" s="27"/>
    </row>
    <row r="78" spans="1:1">
      <c r="A78" s="27"/>
    </row>
    <row r="79" spans="1:1">
      <c r="A79" s="27"/>
    </row>
    <row r="80" spans="1:1">
      <c r="A80" s="27"/>
    </row>
    <row r="81" spans="1:1">
      <c r="A81" s="27"/>
    </row>
    <row r="82" spans="1:1">
      <c r="A82" s="27"/>
    </row>
    <row r="83" spans="1:1">
      <c r="A83" s="27"/>
    </row>
    <row r="84" spans="1:1">
      <c r="A84" s="27"/>
    </row>
    <row r="85" spans="1:1">
      <c r="A85" s="27"/>
    </row>
    <row r="86" spans="1:1">
      <c r="A86" s="27"/>
    </row>
    <row r="87" spans="1:1">
      <c r="A87" s="27"/>
    </row>
  </sheetData>
  <mergeCells count="9">
    <mergeCell ref="A30:A58"/>
    <mergeCell ref="A59:A87"/>
    <mergeCell ref="A1:A29"/>
    <mergeCell ref="AH1:AH2"/>
    <mergeCell ref="AM1:AM2"/>
    <mergeCell ref="AI1:AI2"/>
    <mergeCell ref="AK1:AK2"/>
    <mergeCell ref="AL1:AL2"/>
    <mergeCell ref="AJ1:AJ2"/>
  </mergeCells>
  <dataValidations count="2">
    <dataValidation type="list" allowBlank="1" showInputMessage="1" showErrorMessage="1" sqref="AP1" xr:uid="{00000000-0002-0000-0200-000000000000}">
      <formula1>"January,February,March,Aprail,May,June,July,August,September,October,November,December"</formula1>
    </dataValidation>
    <dataValidation type="list" allowBlank="1" showInputMessage="1" showErrorMessage="1" sqref="AP2" xr:uid="{00000000-0002-0000-0200-000001000000}">
      <formula1>"2020,2021,2022,2023,2024,2025,2026,2027,2028,2029,2030"</formula1>
    </dataValidation>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P87"/>
  <sheetViews>
    <sheetView zoomScaleNormal="100" workbookViewId="0">
      <pane xSplit="1" topLeftCell="U1" activePane="topRight" state="frozenSplit"/>
      <selection pane="topRight" activeCell="AP17" sqref="AP17"/>
    </sheetView>
  </sheetViews>
  <sheetFormatPr defaultRowHeight="15"/>
  <cols>
    <col min="1" max="1" width="16.85546875" bestFit="1" customWidth="1"/>
    <col min="2" max="2" width="13.7109375" customWidth="1"/>
    <col min="3" max="3" width="4.28515625" customWidth="1"/>
    <col min="4" max="4" width="5.28515625" customWidth="1"/>
    <col min="5" max="5" width="4.28515625" customWidth="1"/>
    <col min="6" max="6" width="3.28515625" customWidth="1"/>
    <col min="7" max="7" width="3.7109375" customWidth="1"/>
    <col min="8" max="8" width="4.28515625" customWidth="1"/>
    <col min="9" max="9" width="5.140625" customWidth="1"/>
    <col min="10" max="10" width="4.28515625" customWidth="1"/>
    <col min="11" max="11" width="5.28515625" customWidth="1"/>
    <col min="12" max="12" width="4.28515625" customWidth="1"/>
    <col min="13" max="13" width="3.28515625" customWidth="1"/>
    <col min="14" max="14" width="3.7109375" customWidth="1"/>
    <col min="15" max="15" width="4.28515625" customWidth="1"/>
    <col min="16" max="16" width="5.140625" customWidth="1"/>
    <col min="17" max="17" width="4.28515625" customWidth="1"/>
    <col min="18" max="18" width="5.28515625" customWidth="1"/>
    <col min="19" max="19" width="4.28515625" customWidth="1"/>
    <col min="20" max="20" width="3.28515625" customWidth="1"/>
    <col min="21" max="21" width="3.7109375" customWidth="1"/>
    <col min="22" max="22" width="4.28515625" customWidth="1"/>
    <col min="23" max="23" width="5.140625" customWidth="1"/>
    <col min="24" max="24" width="4.28515625" customWidth="1"/>
    <col min="25" max="25" width="5.28515625" customWidth="1"/>
    <col min="26" max="26" width="4.28515625" customWidth="1"/>
    <col min="27" max="27" width="3.28515625" customWidth="1"/>
    <col min="28" max="28" width="3.7109375" customWidth="1"/>
    <col min="29" max="29" width="4.28515625" customWidth="1"/>
    <col min="30" max="30" width="5.140625" customWidth="1"/>
    <col min="31" max="31" width="4.28515625" customWidth="1"/>
    <col min="32" max="32" width="5.28515625" customWidth="1"/>
    <col min="33" max="33" width="4.28515625" customWidth="1"/>
    <col min="34" max="34" width="6.5703125" customWidth="1"/>
    <col min="35" max="35" width="12.42578125" customWidth="1"/>
    <col min="36" max="36" width="10.7109375" customWidth="1"/>
    <col min="38" max="38" width="9.85546875" customWidth="1"/>
    <col min="39" max="39" width="10" customWidth="1"/>
    <col min="41" max="41" width="13.5703125" customWidth="1"/>
    <col min="42" max="42" width="15.42578125" customWidth="1"/>
  </cols>
  <sheetData>
    <row r="1" spans="1:42" ht="15" customHeight="1">
      <c r="A1" s="27"/>
      <c r="C1" s="8" t="str">
        <f>TEXT(C2,"DDD")</f>
        <v>Thu</v>
      </c>
      <c r="D1" s="8" t="str">
        <f t="shared" ref="D1:AG1" si="0">TEXT(D2,"DDD")</f>
        <v>Fri</v>
      </c>
      <c r="E1" s="8" t="str">
        <f t="shared" si="0"/>
        <v>Sat</v>
      </c>
      <c r="F1" s="8" t="str">
        <f t="shared" si="0"/>
        <v>Sun</v>
      </c>
      <c r="G1" s="8" t="str">
        <f t="shared" si="0"/>
        <v>Mon</v>
      </c>
      <c r="H1" s="8" t="str">
        <f t="shared" si="0"/>
        <v>Tue</v>
      </c>
      <c r="I1" s="8" t="str">
        <f t="shared" si="0"/>
        <v>Wed</v>
      </c>
      <c r="J1" s="8" t="str">
        <f t="shared" si="0"/>
        <v>Thu</v>
      </c>
      <c r="K1" s="8" t="str">
        <f t="shared" si="0"/>
        <v>Fri</v>
      </c>
      <c r="L1" s="8" t="str">
        <f t="shared" si="0"/>
        <v>Sat</v>
      </c>
      <c r="M1" s="8" t="str">
        <f t="shared" si="0"/>
        <v>Sun</v>
      </c>
      <c r="N1" s="8" t="str">
        <f t="shared" si="0"/>
        <v>Mon</v>
      </c>
      <c r="O1" s="8" t="str">
        <f t="shared" si="0"/>
        <v>Tue</v>
      </c>
      <c r="P1" s="8" t="str">
        <f t="shared" si="0"/>
        <v>Wed</v>
      </c>
      <c r="Q1" s="8" t="str">
        <f t="shared" si="0"/>
        <v>Thu</v>
      </c>
      <c r="R1" s="8" t="str">
        <f t="shared" si="0"/>
        <v>Fri</v>
      </c>
      <c r="S1" s="8" t="str">
        <f t="shared" si="0"/>
        <v>Sat</v>
      </c>
      <c r="T1" s="8" t="str">
        <f t="shared" si="0"/>
        <v>Sun</v>
      </c>
      <c r="U1" s="8" t="str">
        <f t="shared" si="0"/>
        <v>Mon</v>
      </c>
      <c r="V1" s="8" t="str">
        <f t="shared" si="0"/>
        <v>Tue</v>
      </c>
      <c r="W1" s="8" t="str">
        <f t="shared" si="0"/>
        <v>Wed</v>
      </c>
      <c r="X1" s="8" t="str">
        <f t="shared" si="0"/>
        <v>Thu</v>
      </c>
      <c r="Y1" s="8" t="str">
        <f t="shared" si="0"/>
        <v>Fri</v>
      </c>
      <c r="Z1" s="8" t="str">
        <f t="shared" si="0"/>
        <v>Sat</v>
      </c>
      <c r="AA1" s="8" t="str">
        <f t="shared" si="0"/>
        <v>Sun</v>
      </c>
      <c r="AB1" s="8" t="str">
        <f t="shared" si="0"/>
        <v>Mon</v>
      </c>
      <c r="AC1" s="8" t="str">
        <f t="shared" si="0"/>
        <v>Tue</v>
      </c>
      <c r="AD1" s="8" t="str">
        <f t="shared" si="0"/>
        <v>Wed</v>
      </c>
      <c r="AE1" s="8" t="str">
        <f t="shared" si="0"/>
        <v>Thu</v>
      </c>
      <c r="AF1" s="8" t="str">
        <f t="shared" si="0"/>
        <v/>
      </c>
      <c r="AG1" s="8" t="str">
        <f t="shared" si="0"/>
        <v/>
      </c>
      <c r="AH1" s="28" t="s">
        <v>75</v>
      </c>
      <c r="AI1" s="28" t="s">
        <v>76</v>
      </c>
      <c r="AJ1" s="30" t="s">
        <v>77</v>
      </c>
      <c r="AK1" s="28" t="s">
        <v>78</v>
      </c>
      <c r="AL1" s="29" t="s">
        <v>79</v>
      </c>
      <c r="AM1" s="29" t="s">
        <v>80</v>
      </c>
      <c r="AO1" s="5" t="s">
        <v>81</v>
      </c>
      <c r="AP1" s="10" t="s">
        <v>95</v>
      </c>
    </row>
    <row r="2" spans="1:42">
      <c r="A2" s="27"/>
      <c r="B2" s="1" t="s">
        <v>0</v>
      </c>
      <c r="C2" s="9">
        <f>IF(COLUMNS($C$2:C2)&gt;DAY($AP$4),"",$AP$3+COLUMNS($C$2:C2)-1)</f>
        <v>45323</v>
      </c>
      <c r="D2" s="9">
        <f>IF(COLUMNS($C$2:D2)&gt;DAY($AP$4),"",$AP$3+COLUMNS($C$2:D2)-1)</f>
        <v>45324</v>
      </c>
      <c r="E2" s="9">
        <f>IF(COLUMNS($C$2:E2)&gt;DAY($AP$4),"",$AP$3+COLUMNS($C$2:E2)-1)</f>
        <v>45325</v>
      </c>
      <c r="F2" s="9">
        <f>IF(COLUMNS($C$2:F2)&gt;DAY($AP$4),"",$AP$3+COLUMNS($C$2:F2)-1)</f>
        <v>45326</v>
      </c>
      <c r="G2" s="9">
        <f>IF(COLUMNS($C$2:G2)&gt;DAY($AP$4),"",$AP$3+COLUMNS($C$2:G2)-1)</f>
        <v>45327</v>
      </c>
      <c r="H2" s="9">
        <f>IF(COLUMNS($C$2:H2)&gt;DAY($AP$4),"",$AP$3+COLUMNS($C$2:H2)-1)</f>
        <v>45328</v>
      </c>
      <c r="I2" s="9">
        <f>IF(COLUMNS($C$2:I2)&gt;DAY($AP$4),"",$AP$3+COLUMNS($C$2:I2)-1)</f>
        <v>45329</v>
      </c>
      <c r="J2" s="9">
        <f>IF(COLUMNS($C$2:J2)&gt;DAY($AP$4),"",$AP$3+COLUMNS($C$2:J2)-1)</f>
        <v>45330</v>
      </c>
      <c r="K2" s="9">
        <f>IF(COLUMNS($C$2:K2)&gt;DAY($AP$4),"",$AP$3+COLUMNS($C$2:K2)-1)</f>
        <v>45331</v>
      </c>
      <c r="L2" s="9">
        <f>IF(COLUMNS($C$2:L2)&gt;DAY($AP$4),"",$AP$3+COLUMNS($C$2:L2)-1)</f>
        <v>45332</v>
      </c>
      <c r="M2" s="9">
        <f>IF(COLUMNS($C$2:M2)&gt;DAY($AP$4),"",$AP$3+COLUMNS($C$2:M2)-1)</f>
        <v>45333</v>
      </c>
      <c r="N2" s="9">
        <f>IF(COLUMNS($C$2:N2)&gt;DAY($AP$4),"",$AP$3+COLUMNS($C$2:N2)-1)</f>
        <v>45334</v>
      </c>
      <c r="O2" s="9">
        <f>IF(COLUMNS($C$2:O2)&gt;DAY($AP$4),"",$AP$3+COLUMNS($C$2:O2)-1)</f>
        <v>45335</v>
      </c>
      <c r="P2" s="9">
        <f>IF(COLUMNS($C$2:P2)&gt;DAY($AP$4),"",$AP$3+COLUMNS($C$2:P2)-1)</f>
        <v>45336</v>
      </c>
      <c r="Q2" s="9">
        <f>IF(COLUMNS($C$2:Q2)&gt;DAY($AP$4),"",$AP$3+COLUMNS($C$2:Q2)-1)</f>
        <v>45337</v>
      </c>
      <c r="R2" s="9">
        <f>IF(COLUMNS($C$2:R2)&gt;DAY($AP$4),"",$AP$3+COLUMNS($C$2:R2)-1)</f>
        <v>45338</v>
      </c>
      <c r="S2" s="9">
        <f>IF(COLUMNS($C$2:S2)&gt;DAY($AP$4),"",$AP$3+COLUMNS($C$2:S2)-1)</f>
        <v>45339</v>
      </c>
      <c r="T2" s="9">
        <f>IF(COLUMNS($C$2:T2)&gt;DAY($AP$4),"",$AP$3+COLUMNS($C$2:T2)-1)</f>
        <v>45340</v>
      </c>
      <c r="U2" s="9">
        <f>IF(COLUMNS($C$2:U2)&gt;DAY($AP$4),"",$AP$3+COLUMNS($C$2:U2)-1)</f>
        <v>45341</v>
      </c>
      <c r="V2" s="9">
        <f>IF(COLUMNS($C$2:V2)&gt;DAY($AP$4),"",$AP$3+COLUMNS($C$2:V2)-1)</f>
        <v>45342</v>
      </c>
      <c r="W2" s="9">
        <f>IF(COLUMNS($C$2:W2)&gt;DAY($AP$4),"",$AP$3+COLUMNS($C$2:W2)-1)</f>
        <v>45343</v>
      </c>
      <c r="X2" s="9">
        <f>IF(COLUMNS($C$2:X2)&gt;DAY($AP$4),"",$AP$3+COLUMNS($C$2:X2)-1)</f>
        <v>45344</v>
      </c>
      <c r="Y2" s="9">
        <f>IF(COLUMNS($C$2:Y2)&gt;DAY($AP$4),"",$AP$3+COLUMNS($C$2:Y2)-1)</f>
        <v>45345</v>
      </c>
      <c r="Z2" s="9">
        <f>IF(COLUMNS($C$2:Z2)&gt;DAY($AP$4),"",$AP$3+COLUMNS($C$2:Z2)-1)</f>
        <v>45346</v>
      </c>
      <c r="AA2" s="9">
        <f>IF(COLUMNS($C$2:AA2)&gt;DAY($AP$4),"",$AP$3+COLUMNS($C$2:AA2)-1)</f>
        <v>45347</v>
      </c>
      <c r="AB2" s="9">
        <f>IF(COLUMNS($C$2:AB2)&gt;DAY($AP$4),"",$AP$3+COLUMNS($C$2:AB2)-1)</f>
        <v>45348</v>
      </c>
      <c r="AC2" s="9">
        <f>IF(COLUMNS($C$2:AC2)&gt;DAY($AP$4),"",$AP$3+COLUMNS($C$2:AC2)-1)</f>
        <v>45349</v>
      </c>
      <c r="AD2" s="9">
        <f>IF(COLUMNS($C$2:AD2)&gt;DAY($AP$4),"",$AP$3+COLUMNS($C$2:AD2)-1)</f>
        <v>45350</v>
      </c>
      <c r="AE2" s="9">
        <f>IF(COLUMNS($C$2:AE2)&gt;DAY($AP$4),"",$AP$3+COLUMNS($C$2:AE2)-1)</f>
        <v>45351</v>
      </c>
      <c r="AF2" s="9" t="str">
        <f>IF(COLUMNS($C$2:AF2)&gt;DAY($AP$4),"",$AP$3+COLUMNS($C$2:AF2)-1)</f>
        <v/>
      </c>
      <c r="AG2" s="9" t="str">
        <f>IF(COLUMNS($C$2:AG2)&gt;DAY($AP$4),"",$AP$3+COLUMNS($C$2:AG2)-1)</f>
        <v/>
      </c>
      <c r="AH2" s="28"/>
      <c r="AI2" s="28"/>
      <c r="AJ2" s="30"/>
      <c r="AK2" s="28"/>
      <c r="AL2" s="29"/>
      <c r="AM2" s="29"/>
      <c r="AO2" s="6" t="s">
        <v>83</v>
      </c>
      <c r="AP2" s="11">
        <v>2024</v>
      </c>
    </row>
    <row r="3" spans="1:42">
      <c r="A3" s="27"/>
      <c r="B3" t="s">
        <v>18</v>
      </c>
      <c r="C3">
        <f ca="1">RANDBETWEEN(1,10)</f>
        <v>3</v>
      </c>
      <c r="D3">
        <f t="shared" ref="D3:AE12" ca="1" si="1">RANDBETWEEN(1,10)</f>
        <v>9</v>
      </c>
      <c r="E3">
        <f t="shared" ca="1" si="1"/>
        <v>7</v>
      </c>
      <c r="F3">
        <f t="shared" ca="1" si="1"/>
        <v>10</v>
      </c>
      <c r="G3">
        <f t="shared" ca="1" si="1"/>
        <v>9</v>
      </c>
      <c r="H3">
        <f t="shared" ca="1" si="1"/>
        <v>5</v>
      </c>
      <c r="I3">
        <f t="shared" ca="1" si="1"/>
        <v>3</v>
      </c>
      <c r="J3">
        <f t="shared" ca="1" si="1"/>
        <v>2</v>
      </c>
      <c r="K3">
        <f t="shared" ca="1" si="1"/>
        <v>10</v>
      </c>
      <c r="L3">
        <f t="shared" ca="1" si="1"/>
        <v>6</v>
      </c>
      <c r="M3">
        <f t="shared" ca="1" si="1"/>
        <v>9</v>
      </c>
      <c r="N3">
        <f t="shared" ca="1" si="1"/>
        <v>6</v>
      </c>
      <c r="O3">
        <f t="shared" ca="1" si="1"/>
        <v>5</v>
      </c>
      <c r="P3">
        <f t="shared" ca="1" si="1"/>
        <v>5</v>
      </c>
      <c r="Q3">
        <f t="shared" ca="1" si="1"/>
        <v>1</v>
      </c>
      <c r="R3">
        <f t="shared" ca="1" si="1"/>
        <v>9</v>
      </c>
      <c r="S3">
        <f t="shared" ca="1" si="1"/>
        <v>9</v>
      </c>
      <c r="T3">
        <f t="shared" ca="1" si="1"/>
        <v>7</v>
      </c>
      <c r="U3">
        <f t="shared" ca="1" si="1"/>
        <v>7</v>
      </c>
      <c r="V3">
        <f t="shared" ca="1" si="1"/>
        <v>4</v>
      </c>
      <c r="W3">
        <f t="shared" ca="1" si="1"/>
        <v>10</v>
      </c>
      <c r="X3">
        <f t="shared" ca="1" si="1"/>
        <v>4</v>
      </c>
      <c r="Y3">
        <f t="shared" ca="1" si="1"/>
        <v>8</v>
      </c>
      <c r="Z3">
        <f t="shared" ca="1" si="1"/>
        <v>3</v>
      </c>
      <c r="AA3">
        <f t="shared" ca="1" si="1"/>
        <v>9</v>
      </c>
      <c r="AB3">
        <f t="shared" ca="1" si="1"/>
        <v>6</v>
      </c>
      <c r="AC3">
        <f t="shared" ca="1" si="1"/>
        <v>1</v>
      </c>
      <c r="AD3">
        <f t="shared" ca="1" si="1"/>
        <v>4</v>
      </c>
      <c r="AE3">
        <f t="shared" ca="1" si="1"/>
        <v>6</v>
      </c>
      <c r="AH3" s="25">
        <f ca="1">SUM($C3:$AG3)</f>
        <v>177</v>
      </c>
      <c r="AI3">
        <v>40</v>
      </c>
      <c r="AJ3">
        <v>80</v>
      </c>
      <c r="AK3">
        <f>AJ3-AI3</f>
        <v>40</v>
      </c>
      <c r="AL3" s="15">
        <f ca="1">AJ3*AH3</f>
        <v>14160</v>
      </c>
      <c r="AM3" s="15">
        <f ca="1">AK3*AH3</f>
        <v>7080</v>
      </c>
      <c r="AO3" s="7" t="s">
        <v>84</v>
      </c>
      <c r="AP3" s="4">
        <f>DATE(AP2,MONTH(AP1&amp;1),1)</f>
        <v>45323</v>
      </c>
    </row>
    <row r="4" spans="1:42">
      <c r="A4" s="27"/>
      <c r="B4" t="s">
        <v>20</v>
      </c>
      <c r="C4">
        <f t="shared" ref="C4:R19" ca="1" si="2">RANDBETWEEN(1,10)</f>
        <v>3</v>
      </c>
      <c r="D4">
        <f t="shared" ca="1" si="2"/>
        <v>4</v>
      </c>
      <c r="E4">
        <f t="shared" ca="1" si="2"/>
        <v>8</v>
      </c>
      <c r="F4">
        <f t="shared" ca="1" si="2"/>
        <v>8</v>
      </c>
      <c r="G4">
        <f t="shared" ca="1" si="2"/>
        <v>4</v>
      </c>
      <c r="H4">
        <f t="shared" ca="1" si="2"/>
        <v>8</v>
      </c>
      <c r="I4">
        <f t="shared" ca="1" si="2"/>
        <v>4</v>
      </c>
      <c r="J4">
        <f t="shared" ca="1" si="2"/>
        <v>8</v>
      </c>
      <c r="K4">
        <f t="shared" ca="1" si="2"/>
        <v>6</v>
      </c>
      <c r="L4">
        <f t="shared" ca="1" si="2"/>
        <v>10</v>
      </c>
      <c r="M4">
        <f t="shared" ca="1" si="2"/>
        <v>10</v>
      </c>
      <c r="N4">
        <f t="shared" ca="1" si="2"/>
        <v>5</v>
      </c>
      <c r="O4">
        <f t="shared" ca="1" si="2"/>
        <v>8</v>
      </c>
      <c r="P4">
        <f t="shared" ca="1" si="2"/>
        <v>7</v>
      </c>
      <c r="Q4">
        <f t="shared" ca="1" si="2"/>
        <v>7</v>
      </c>
      <c r="R4">
        <f t="shared" ca="1" si="2"/>
        <v>6</v>
      </c>
      <c r="S4">
        <f t="shared" ca="1" si="1"/>
        <v>7</v>
      </c>
      <c r="T4">
        <f t="shared" ca="1" si="1"/>
        <v>5</v>
      </c>
      <c r="U4">
        <f t="shared" ca="1" si="1"/>
        <v>7</v>
      </c>
      <c r="V4">
        <f t="shared" ca="1" si="1"/>
        <v>4</v>
      </c>
      <c r="W4">
        <f t="shared" ca="1" si="1"/>
        <v>9</v>
      </c>
      <c r="X4">
        <f t="shared" ca="1" si="1"/>
        <v>8</v>
      </c>
      <c r="Y4">
        <f t="shared" ca="1" si="1"/>
        <v>9</v>
      </c>
      <c r="Z4">
        <f t="shared" ca="1" si="1"/>
        <v>10</v>
      </c>
      <c r="AA4">
        <f t="shared" ca="1" si="1"/>
        <v>9</v>
      </c>
      <c r="AB4">
        <f t="shared" ca="1" si="1"/>
        <v>5</v>
      </c>
      <c r="AC4">
        <f t="shared" ca="1" si="1"/>
        <v>8</v>
      </c>
      <c r="AD4">
        <f t="shared" ca="1" si="1"/>
        <v>10</v>
      </c>
      <c r="AE4">
        <f t="shared" ca="1" si="1"/>
        <v>6</v>
      </c>
      <c r="AH4" s="25">
        <f t="shared" ref="AH4:AH57" ca="1" si="3">SUM($C4:$AG4)</f>
        <v>203</v>
      </c>
      <c r="AI4">
        <v>7</v>
      </c>
      <c r="AJ4">
        <v>15</v>
      </c>
      <c r="AK4">
        <f t="shared" ref="AK4:AK57" si="4">AJ4-AI4</f>
        <v>8</v>
      </c>
      <c r="AL4" s="15">
        <f t="shared" ref="AL4:AL57" ca="1" si="5">AJ4*AH4</f>
        <v>3045</v>
      </c>
      <c r="AM4" s="15">
        <f t="shared" ref="AM4:AM57" ca="1" si="6">AK4*AH4</f>
        <v>1624</v>
      </c>
      <c r="AO4" s="7" t="s">
        <v>85</v>
      </c>
      <c r="AP4" s="4">
        <f>EOMONTH(AP3,0)</f>
        <v>45351</v>
      </c>
    </row>
    <row r="5" spans="1:42">
      <c r="A5" s="27"/>
      <c r="B5" t="s">
        <v>21</v>
      </c>
      <c r="C5">
        <f t="shared" ca="1" si="2"/>
        <v>2</v>
      </c>
      <c r="D5">
        <f t="shared" ca="1" si="1"/>
        <v>3</v>
      </c>
      <c r="E5">
        <f t="shared" ca="1" si="1"/>
        <v>3</v>
      </c>
      <c r="F5">
        <f t="shared" ca="1" si="1"/>
        <v>10</v>
      </c>
      <c r="G5">
        <f t="shared" ca="1" si="1"/>
        <v>1</v>
      </c>
      <c r="H5">
        <f t="shared" ca="1" si="1"/>
        <v>3</v>
      </c>
      <c r="I5">
        <f t="shared" ca="1" si="1"/>
        <v>6</v>
      </c>
      <c r="J5">
        <f t="shared" ca="1" si="1"/>
        <v>1</v>
      </c>
      <c r="K5">
        <f t="shared" ca="1" si="1"/>
        <v>10</v>
      </c>
      <c r="L5">
        <f t="shared" ca="1" si="1"/>
        <v>8</v>
      </c>
      <c r="M5">
        <f t="shared" ca="1" si="1"/>
        <v>6</v>
      </c>
      <c r="N5">
        <f t="shared" ca="1" si="1"/>
        <v>2</v>
      </c>
      <c r="O5">
        <f t="shared" ca="1" si="1"/>
        <v>8</v>
      </c>
      <c r="P5">
        <f t="shared" ca="1" si="1"/>
        <v>3</v>
      </c>
      <c r="Q5">
        <f t="shared" ca="1" si="1"/>
        <v>6</v>
      </c>
      <c r="R5">
        <f t="shared" ca="1" si="1"/>
        <v>1</v>
      </c>
      <c r="S5">
        <f t="shared" ca="1" si="1"/>
        <v>6</v>
      </c>
      <c r="T5">
        <f t="shared" ca="1" si="1"/>
        <v>10</v>
      </c>
      <c r="U5">
        <f t="shared" ca="1" si="1"/>
        <v>5</v>
      </c>
      <c r="V5">
        <f t="shared" ca="1" si="1"/>
        <v>9</v>
      </c>
      <c r="W5">
        <f t="shared" ca="1" si="1"/>
        <v>9</v>
      </c>
      <c r="X5">
        <f t="shared" ca="1" si="1"/>
        <v>9</v>
      </c>
      <c r="Y5">
        <f t="shared" ca="1" si="1"/>
        <v>8</v>
      </c>
      <c r="Z5">
        <f t="shared" ca="1" si="1"/>
        <v>5</v>
      </c>
      <c r="AA5">
        <f t="shared" ca="1" si="1"/>
        <v>5</v>
      </c>
      <c r="AB5">
        <f t="shared" ca="1" si="1"/>
        <v>9</v>
      </c>
      <c r="AC5">
        <f t="shared" ca="1" si="1"/>
        <v>3</v>
      </c>
      <c r="AD5">
        <f t="shared" ca="1" si="1"/>
        <v>6</v>
      </c>
      <c r="AE5">
        <f t="shared" ca="1" si="1"/>
        <v>4</v>
      </c>
      <c r="AH5" s="25">
        <f t="shared" ca="1" si="3"/>
        <v>161</v>
      </c>
      <c r="AI5">
        <v>5</v>
      </c>
      <c r="AJ5">
        <v>10</v>
      </c>
      <c r="AK5">
        <f t="shared" si="4"/>
        <v>5</v>
      </c>
      <c r="AL5" s="15">
        <f t="shared" ca="1" si="5"/>
        <v>1610</v>
      </c>
      <c r="AM5" s="15">
        <f t="shared" ca="1" si="6"/>
        <v>805</v>
      </c>
    </row>
    <row r="6" spans="1:42">
      <c r="A6" s="27"/>
      <c r="B6" t="s">
        <v>23</v>
      </c>
      <c r="C6">
        <f t="shared" ca="1" si="2"/>
        <v>5</v>
      </c>
      <c r="D6">
        <f t="shared" ca="1" si="1"/>
        <v>2</v>
      </c>
      <c r="E6">
        <f t="shared" ca="1" si="1"/>
        <v>1</v>
      </c>
      <c r="F6">
        <f t="shared" ca="1" si="1"/>
        <v>3</v>
      </c>
      <c r="G6">
        <f t="shared" ca="1" si="1"/>
        <v>3</v>
      </c>
      <c r="H6">
        <f t="shared" ca="1" si="1"/>
        <v>5</v>
      </c>
      <c r="I6">
        <f t="shared" ca="1" si="1"/>
        <v>8</v>
      </c>
      <c r="J6">
        <f t="shared" ca="1" si="1"/>
        <v>6</v>
      </c>
      <c r="K6">
        <f t="shared" ca="1" si="1"/>
        <v>2</v>
      </c>
      <c r="L6">
        <f t="shared" ca="1" si="1"/>
        <v>1</v>
      </c>
      <c r="M6">
        <f t="shared" ca="1" si="1"/>
        <v>3</v>
      </c>
      <c r="N6">
        <f t="shared" ca="1" si="1"/>
        <v>10</v>
      </c>
      <c r="O6">
        <f t="shared" ca="1" si="1"/>
        <v>8</v>
      </c>
      <c r="P6">
        <f t="shared" ca="1" si="1"/>
        <v>9</v>
      </c>
      <c r="Q6">
        <f t="shared" ca="1" si="1"/>
        <v>7</v>
      </c>
      <c r="R6">
        <f t="shared" ca="1" si="1"/>
        <v>2</v>
      </c>
      <c r="S6">
        <f t="shared" ca="1" si="1"/>
        <v>1</v>
      </c>
      <c r="T6">
        <f t="shared" ca="1" si="1"/>
        <v>2</v>
      </c>
      <c r="U6">
        <f t="shared" ca="1" si="1"/>
        <v>3</v>
      </c>
      <c r="V6">
        <f t="shared" ca="1" si="1"/>
        <v>10</v>
      </c>
      <c r="W6">
        <f t="shared" ca="1" si="1"/>
        <v>8</v>
      </c>
      <c r="X6">
        <f t="shared" ca="1" si="1"/>
        <v>9</v>
      </c>
      <c r="Y6">
        <f t="shared" ca="1" si="1"/>
        <v>6</v>
      </c>
      <c r="Z6">
        <f t="shared" ca="1" si="1"/>
        <v>6</v>
      </c>
      <c r="AA6">
        <f t="shared" ca="1" si="1"/>
        <v>5</v>
      </c>
      <c r="AB6">
        <f t="shared" ca="1" si="1"/>
        <v>3</v>
      </c>
      <c r="AC6">
        <f t="shared" ca="1" si="1"/>
        <v>4</v>
      </c>
      <c r="AD6">
        <f t="shared" ca="1" si="1"/>
        <v>1</v>
      </c>
      <c r="AE6">
        <f t="shared" ca="1" si="1"/>
        <v>9</v>
      </c>
      <c r="AH6" s="25">
        <f t="shared" ca="1" si="3"/>
        <v>142</v>
      </c>
      <c r="AI6">
        <v>45</v>
      </c>
      <c r="AJ6">
        <v>80</v>
      </c>
      <c r="AK6">
        <f t="shared" si="4"/>
        <v>35</v>
      </c>
      <c r="AL6" s="15">
        <f t="shared" ca="1" si="5"/>
        <v>11360</v>
      </c>
      <c r="AM6" s="15">
        <f t="shared" ca="1" si="6"/>
        <v>4970</v>
      </c>
    </row>
    <row r="7" spans="1:42">
      <c r="A7" s="27"/>
      <c r="B7" t="s">
        <v>24</v>
      </c>
      <c r="C7">
        <f t="shared" ca="1" si="2"/>
        <v>3</v>
      </c>
      <c r="D7">
        <f t="shared" ca="1" si="1"/>
        <v>2</v>
      </c>
      <c r="E7">
        <f t="shared" ca="1" si="1"/>
        <v>6</v>
      </c>
      <c r="F7">
        <f t="shared" ca="1" si="1"/>
        <v>3</v>
      </c>
      <c r="G7">
        <f t="shared" ca="1" si="1"/>
        <v>4</v>
      </c>
      <c r="H7">
        <f t="shared" ca="1" si="1"/>
        <v>6</v>
      </c>
      <c r="I7">
        <f t="shared" ca="1" si="1"/>
        <v>6</v>
      </c>
      <c r="J7">
        <f t="shared" ca="1" si="1"/>
        <v>5</v>
      </c>
      <c r="K7">
        <f t="shared" ca="1" si="1"/>
        <v>3</v>
      </c>
      <c r="L7">
        <f t="shared" ca="1" si="1"/>
        <v>3</v>
      </c>
      <c r="M7">
        <f t="shared" ca="1" si="1"/>
        <v>10</v>
      </c>
      <c r="N7">
        <f t="shared" ca="1" si="1"/>
        <v>5</v>
      </c>
      <c r="O7">
        <f t="shared" ca="1" si="1"/>
        <v>7</v>
      </c>
      <c r="P7">
        <f t="shared" ca="1" si="1"/>
        <v>10</v>
      </c>
      <c r="Q7">
        <f t="shared" ca="1" si="1"/>
        <v>7</v>
      </c>
      <c r="R7">
        <f t="shared" ca="1" si="1"/>
        <v>5</v>
      </c>
      <c r="S7">
        <f t="shared" ca="1" si="1"/>
        <v>1</v>
      </c>
      <c r="T7">
        <f t="shared" ca="1" si="1"/>
        <v>4</v>
      </c>
      <c r="U7">
        <f t="shared" ca="1" si="1"/>
        <v>3</v>
      </c>
      <c r="V7">
        <f t="shared" ca="1" si="1"/>
        <v>9</v>
      </c>
      <c r="W7">
        <f t="shared" ca="1" si="1"/>
        <v>3</v>
      </c>
      <c r="X7">
        <f t="shared" ca="1" si="1"/>
        <v>7</v>
      </c>
      <c r="Y7">
        <f t="shared" ca="1" si="1"/>
        <v>9</v>
      </c>
      <c r="Z7">
        <f t="shared" ca="1" si="1"/>
        <v>3</v>
      </c>
      <c r="AA7">
        <f t="shared" ca="1" si="1"/>
        <v>10</v>
      </c>
      <c r="AB7">
        <f t="shared" ca="1" si="1"/>
        <v>7</v>
      </c>
      <c r="AC7">
        <f t="shared" ca="1" si="1"/>
        <v>8</v>
      </c>
      <c r="AD7">
        <f t="shared" ca="1" si="1"/>
        <v>4</v>
      </c>
      <c r="AE7">
        <f t="shared" ca="1" si="1"/>
        <v>4</v>
      </c>
      <c r="AH7" s="25">
        <f t="shared" ca="1" si="3"/>
        <v>157</v>
      </c>
      <c r="AI7">
        <v>392</v>
      </c>
      <c r="AJ7">
        <v>420</v>
      </c>
      <c r="AK7">
        <f t="shared" si="4"/>
        <v>28</v>
      </c>
      <c r="AL7" s="15">
        <f t="shared" ca="1" si="5"/>
        <v>65940</v>
      </c>
      <c r="AM7" s="15">
        <f t="shared" ca="1" si="6"/>
        <v>4396</v>
      </c>
      <c r="AO7" s="1" t="s">
        <v>86</v>
      </c>
    </row>
    <row r="8" spans="1:42">
      <c r="A8" s="27"/>
      <c r="B8" t="s">
        <v>25</v>
      </c>
      <c r="C8">
        <f t="shared" ca="1" si="2"/>
        <v>3</v>
      </c>
      <c r="D8">
        <f t="shared" ca="1" si="2"/>
        <v>10</v>
      </c>
      <c r="E8">
        <f t="shared" ca="1" si="2"/>
        <v>10</v>
      </c>
      <c r="F8">
        <f t="shared" ca="1" si="2"/>
        <v>4</v>
      </c>
      <c r="G8">
        <f t="shared" ca="1" si="2"/>
        <v>2</v>
      </c>
      <c r="H8">
        <f t="shared" ca="1" si="2"/>
        <v>9</v>
      </c>
      <c r="I8">
        <f t="shared" ca="1" si="2"/>
        <v>8</v>
      </c>
      <c r="J8">
        <f t="shared" ca="1" si="2"/>
        <v>4</v>
      </c>
      <c r="K8">
        <f t="shared" ca="1" si="2"/>
        <v>10</v>
      </c>
      <c r="L8">
        <f t="shared" ca="1" si="2"/>
        <v>1</v>
      </c>
      <c r="M8">
        <f t="shared" ca="1" si="2"/>
        <v>6</v>
      </c>
      <c r="N8">
        <f t="shared" ca="1" si="2"/>
        <v>1</v>
      </c>
      <c r="O8">
        <f t="shared" ca="1" si="2"/>
        <v>6</v>
      </c>
      <c r="P8">
        <f t="shared" ca="1" si="2"/>
        <v>5</v>
      </c>
      <c r="Q8">
        <f t="shared" ca="1" si="2"/>
        <v>4</v>
      </c>
      <c r="R8">
        <f t="shared" ca="1" si="2"/>
        <v>10</v>
      </c>
      <c r="S8">
        <f t="shared" ca="1" si="1"/>
        <v>3</v>
      </c>
      <c r="T8">
        <f t="shared" ca="1" si="1"/>
        <v>1</v>
      </c>
      <c r="U8">
        <f t="shared" ca="1" si="1"/>
        <v>8</v>
      </c>
      <c r="V8">
        <f t="shared" ca="1" si="1"/>
        <v>7</v>
      </c>
      <c r="W8">
        <f t="shared" ca="1" si="1"/>
        <v>1</v>
      </c>
      <c r="X8">
        <f t="shared" ca="1" si="1"/>
        <v>8</v>
      </c>
      <c r="Y8">
        <f t="shared" ca="1" si="1"/>
        <v>7</v>
      </c>
      <c r="Z8">
        <f t="shared" ca="1" si="1"/>
        <v>10</v>
      </c>
      <c r="AA8">
        <f t="shared" ca="1" si="1"/>
        <v>2</v>
      </c>
      <c r="AB8">
        <f t="shared" ca="1" si="1"/>
        <v>8</v>
      </c>
      <c r="AC8">
        <f t="shared" ca="1" si="1"/>
        <v>9</v>
      </c>
      <c r="AD8">
        <f t="shared" ca="1" si="1"/>
        <v>1</v>
      </c>
      <c r="AE8">
        <f t="shared" ca="1" si="1"/>
        <v>8</v>
      </c>
      <c r="AH8" s="25">
        <f t="shared" ca="1" si="3"/>
        <v>166</v>
      </c>
      <c r="AI8">
        <v>86</v>
      </c>
      <c r="AJ8">
        <v>100</v>
      </c>
      <c r="AK8">
        <f t="shared" si="4"/>
        <v>14</v>
      </c>
      <c r="AL8" s="15">
        <f t="shared" ca="1" si="5"/>
        <v>16600</v>
      </c>
      <c r="AM8" s="15">
        <f t="shared" ca="1" si="6"/>
        <v>2324</v>
      </c>
      <c r="AO8" t="s">
        <v>87</v>
      </c>
    </row>
    <row r="9" spans="1:42">
      <c r="A9" s="27"/>
      <c r="B9" t="s">
        <v>26</v>
      </c>
      <c r="C9">
        <f t="shared" ca="1" si="2"/>
        <v>1</v>
      </c>
      <c r="D9">
        <f t="shared" ca="1" si="1"/>
        <v>10</v>
      </c>
      <c r="E9">
        <f t="shared" ca="1" si="1"/>
        <v>9</v>
      </c>
      <c r="F9">
        <f t="shared" ca="1" si="1"/>
        <v>9</v>
      </c>
      <c r="G9">
        <f t="shared" ca="1" si="1"/>
        <v>9</v>
      </c>
      <c r="H9">
        <f t="shared" ca="1" si="1"/>
        <v>3</v>
      </c>
      <c r="I9">
        <f t="shared" ca="1" si="1"/>
        <v>4</v>
      </c>
      <c r="J9">
        <f t="shared" ca="1" si="1"/>
        <v>1</v>
      </c>
      <c r="K9">
        <f t="shared" ca="1" si="1"/>
        <v>2</v>
      </c>
      <c r="L9">
        <f t="shared" ca="1" si="1"/>
        <v>7</v>
      </c>
      <c r="M9">
        <f t="shared" ca="1" si="1"/>
        <v>9</v>
      </c>
      <c r="N9">
        <f t="shared" ca="1" si="1"/>
        <v>8</v>
      </c>
      <c r="O9">
        <f t="shared" ca="1" si="1"/>
        <v>6</v>
      </c>
      <c r="P9">
        <f t="shared" ca="1" si="1"/>
        <v>4</v>
      </c>
      <c r="Q9">
        <f t="shared" ca="1" si="1"/>
        <v>2</v>
      </c>
      <c r="R9">
        <f t="shared" ca="1" si="1"/>
        <v>2</v>
      </c>
      <c r="S9">
        <f t="shared" ca="1" si="1"/>
        <v>9</v>
      </c>
      <c r="T9">
        <f t="shared" ca="1" si="1"/>
        <v>2</v>
      </c>
      <c r="U9">
        <f t="shared" ca="1" si="1"/>
        <v>8</v>
      </c>
      <c r="V9">
        <f t="shared" ca="1" si="1"/>
        <v>6</v>
      </c>
      <c r="W9">
        <f t="shared" ca="1" si="1"/>
        <v>10</v>
      </c>
      <c r="X9">
        <f t="shared" ca="1" si="1"/>
        <v>5</v>
      </c>
      <c r="Y9">
        <f t="shared" ca="1" si="1"/>
        <v>6</v>
      </c>
      <c r="Z9">
        <f t="shared" ca="1" si="1"/>
        <v>6</v>
      </c>
      <c r="AA9">
        <f t="shared" ca="1" si="1"/>
        <v>6</v>
      </c>
      <c r="AB9">
        <f t="shared" ca="1" si="1"/>
        <v>10</v>
      </c>
      <c r="AC9">
        <f t="shared" ca="1" si="1"/>
        <v>6</v>
      </c>
      <c r="AD9">
        <f t="shared" ca="1" si="1"/>
        <v>8</v>
      </c>
      <c r="AE9">
        <f t="shared" ca="1" si="1"/>
        <v>10</v>
      </c>
      <c r="AH9" s="25">
        <f t="shared" ca="1" si="3"/>
        <v>178</v>
      </c>
      <c r="AI9">
        <v>271</v>
      </c>
      <c r="AJ9">
        <v>300</v>
      </c>
      <c r="AK9">
        <f t="shared" si="4"/>
        <v>29</v>
      </c>
      <c r="AL9" s="15">
        <f t="shared" ca="1" si="5"/>
        <v>53400</v>
      </c>
      <c r="AM9" s="15">
        <f t="shared" ca="1" si="6"/>
        <v>5162</v>
      </c>
      <c r="AO9" t="s">
        <v>88</v>
      </c>
      <c r="AP9" s="13">
        <f>'Attendence (Feb)'!AL3</f>
        <v>46666.666666666672</v>
      </c>
    </row>
    <row r="10" spans="1:42">
      <c r="A10" s="27"/>
      <c r="B10" t="s">
        <v>27</v>
      </c>
      <c r="C10">
        <f t="shared" ca="1" si="2"/>
        <v>9</v>
      </c>
      <c r="D10">
        <f t="shared" ca="1" si="1"/>
        <v>10</v>
      </c>
      <c r="E10">
        <f t="shared" ca="1" si="1"/>
        <v>1</v>
      </c>
      <c r="F10">
        <f t="shared" ca="1" si="1"/>
        <v>10</v>
      </c>
      <c r="G10">
        <f t="shared" ca="1" si="1"/>
        <v>2</v>
      </c>
      <c r="H10">
        <f t="shared" ca="1" si="1"/>
        <v>1</v>
      </c>
      <c r="I10">
        <f t="shared" ca="1" si="1"/>
        <v>9</v>
      </c>
      <c r="J10">
        <f t="shared" ca="1" si="1"/>
        <v>5</v>
      </c>
      <c r="K10">
        <f t="shared" ca="1" si="1"/>
        <v>9</v>
      </c>
      <c r="L10">
        <f t="shared" ca="1" si="1"/>
        <v>5</v>
      </c>
      <c r="M10">
        <f t="shared" ca="1" si="1"/>
        <v>9</v>
      </c>
      <c r="N10">
        <f t="shared" ca="1" si="1"/>
        <v>9</v>
      </c>
      <c r="O10">
        <f t="shared" ca="1" si="1"/>
        <v>10</v>
      </c>
      <c r="P10">
        <f t="shared" ca="1" si="1"/>
        <v>6</v>
      </c>
      <c r="Q10">
        <f t="shared" ca="1" si="1"/>
        <v>10</v>
      </c>
      <c r="R10">
        <f t="shared" ca="1" si="1"/>
        <v>2</v>
      </c>
      <c r="S10">
        <f t="shared" ca="1" si="1"/>
        <v>6</v>
      </c>
      <c r="T10">
        <f t="shared" ca="1" si="1"/>
        <v>2</v>
      </c>
      <c r="U10">
        <f t="shared" ca="1" si="1"/>
        <v>2</v>
      </c>
      <c r="V10">
        <f t="shared" ca="1" si="1"/>
        <v>7</v>
      </c>
      <c r="W10">
        <f t="shared" ca="1" si="1"/>
        <v>7</v>
      </c>
      <c r="X10">
        <f t="shared" ca="1" si="1"/>
        <v>6</v>
      </c>
      <c r="Y10">
        <f t="shared" ca="1" si="1"/>
        <v>1</v>
      </c>
      <c r="Z10">
        <f t="shared" ca="1" si="1"/>
        <v>1</v>
      </c>
      <c r="AA10">
        <f t="shared" ca="1" si="1"/>
        <v>8</v>
      </c>
      <c r="AB10">
        <f t="shared" ca="1" si="1"/>
        <v>2</v>
      </c>
      <c r="AC10">
        <f t="shared" ca="1" si="1"/>
        <v>1</v>
      </c>
      <c r="AD10">
        <f t="shared" ca="1" si="1"/>
        <v>4</v>
      </c>
      <c r="AE10">
        <f t="shared" ca="1" si="1"/>
        <v>5</v>
      </c>
      <c r="AH10" s="25">
        <f t="shared" ca="1" si="3"/>
        <v>159</v>
      </c>
      <c r="AI10">
        <v>226</v>
      </c>
      <c r="AJ10">
        <v>250</v>
      </c>
      <c r="AK10">
        <f t="shared" si="4"/>
        <v>24</v>
      </c>
      <c r="AL10" s="15">
        <f t="shared" ca="1" si="5"/>
        <v>39750</v>
      </c>
      <c r="AM10" s="15">
        <f t="shared" ca="1" si="6"/>
        <v>3816</v>
      </c>
      <c r="AO10" t="s">
        <v>89</v>
      </c>
      <c r="AP10" s="13">
        <f>'Attendence (Feb)'!AL4</f>
        <v>13500</v>
      </c>
    </row>
    <row r="11" spans="1:42">
      <c r="A11" s="27"/>
      <c r="B11" t="s">
        <v>28</v>
      </c>
      <c r="C11">
        <f t="shared" ca="1" si="2"/>
        <v>8</v>
      </c>
      <c r="D11">
        <f t="shared" ca="1" si="1"/>
        <v>2</v>
      </c>
      <c r="E11">
        <f t="shared" ca="1" si="1"/>
        <v>10</v>
      </c>
      <c r="F11">
        <f t="shared" ca="1" si="1"/>
        <v>1</v>
      </c>
      <c r="G11">
        <f t="shared" ca="1" si="1"/>
        <v>2</v>
      </c>
      <c r="H11">
        <f t="shared" ca="1" si="1"/>
        <v>3</v>
      </c>
      <c r="I11">
        <f t="shared" ca="1" si="1"/>
        <v>9</v>
      </c>
      <c r="J11">
        <f t="shared" ca="1" si="1"/>
        <v>9</v>
      </c>
      <c r="K11">
        <f t="shared" ca="1" si="1"/>
        <v>4</v>
      </c>
      <c r="L11">
        <f t="shared" ca="1" si="1"/>
        <v>1</v>
      </c>
      <c r="M11">
        <f t="shared" ca="1" si="1"/>
        <v>8</v>
      </c>
      <c r="N11">
        <f t="shared" ca="1" si="1"/>
        <v>9</v>
      </c>
      <c r="O11">
        <f t="shared" ca="1" si="1"/>
        <v>2</v>
      </c>
      <c r="P11">
        <f t="shared" ca="1" si="1"/>
        <v>5</v>
      </c>
      <c r="Q11">
        <f t="shared" ca="1" si="1"/>
        <v>5</v>
      </c>
      <c r="R11">
        <f t="shared" ca="1" si="1"/>
        <v>2</v>
      </c>
      <c r="S11">
        <f t="shared" ca="1" si="1"/>
        <v>10</v>
      </c>
      <c r="T11">
        <f t="shared" ca="1" si="1"/>
        <v>6</v>
      </c>
      <c r="U11">
        <f t="shared" ca="1" si="1"/>
        <v>2</v>
      </c>
      <c r="V11">
        <f t="shared" ca="1" si="1"/>
        <v>2</v>
      </c>
      <c r="W11">
        <f t="shared" ca="1" si="1"/>
        <v>10</v>
      </c>
      <c r="X11">
        <f t="shared" ca="1" si="1"/>
        <v>3</v>
      </c>
      <c r="Y11">
        <f t="shared" ca="1" si="1"/>
        <v>5</v>
      </c>
      <c r="Z11">
        <f t="shared" ca="1" si="1"/>
        <v>5</v>
      </c>
      <c r="AA11">
        <f t="shared" ca="1" si="1"/>
        <v>6</v>
      </c>
      <c r="AB11">
        <f t="shared" ca="1" si="1"/>
        <v>5</v>
      </c>
      <c r="AC11">
        <f t="shared" ca="1" si="1"/>
        <v>6</v>
      </c>
      <c r="AD11">
        <f t="shared" ca="1" si="1"/>
        <v>7</v>
      </c>
      <c r="AE11">
        <f t="shared" ca="1" si="1"/>
        <v>5</v>
      </c>
      <c r="AH11" s="25">
        <f t="shared" ca="1" si="3"/>
        <v>152</v>
      </c>
      <c r="AI11">
        <v>390</v>
      </c>
      <c r="AJ11">
        <v>450</v>
      </c>
      <c r="AK11">
        <f t="shared" si="4"/>
        <v>60</v>
      </c>
      <c r="AL11" s="15">
        <f t="shared" ca="1" si="5"/>
        <v>68400</v>
      </c>
      <c r="AM11" s="15">
        <f t="shared" ca="1" si="6"/>
        <v>9120</v>
      </c>
      <c r="AO11" t="s">
        <v>90</v>
      </c>
      <c r="AP11" s="13">
        <f>'Attendence (Feb)'!AL5</f>
        <v>16800</v>
      </c>
    </row>
    <row r="12" spans="1:42">
      <c r="A12" s="27"/>
      <c r="B12" t="s">
        <v>29</v>
      </c>
      <c r="C12">
        <f t="shared" ca="1" si="2"/>
        <v>8</v>
      </c>
      <c r="D12">
        <f t="shared" ca="1" si="1"/>
        <v>4</v>
      </c>
      <c r="E12">
        <f t="shared" ca="1" si="1"/>
        <v>8</v>
      </c>
      <c r="F12">
        <f t="shared" ca="1" si="1"/>
        <v>1</v>
      </c>
      <c r="G12">
        <f t="shared" ca="1" si="1"/>
        <v>10</v>
      </c>
      <c r="H12">
        <f t="shared" ca="1" si="1"/>
        <v>4</v>
      </c>
      <c r="I12">
        <f t="shared" ca="1" si="1"/>
        <v>8</v>
      </c>
      <c r="J12">
        <f t="shared" ca="1" si="1"/>
        <v>7</v>
      </c>
      <c r="K12">
        <f t="shared" ca="1" si="1"/>
        <v>6</v>
      </c>
      <c r="L12">
        <f t="shared" ca="1" si="1"/>
        <v>9</v>
      </c>
      <c r="M12">
        <f t="shared" ca="1" si="1"/>
        <v>5</v>
      </c>
      <c r="N12">
        <f t="shared" ca="1" si="1"/>
        <v>1</v>
      </c>
      <c r="O12">
        <f t="shared" ca="1" si="1"/>
        <v>10</v>
      </c>
      <c r="P12">
        <f t="shared" ca="1" si="1"/>
        <v>4</v>
      </c>
      <c r="Q12">
        <f t="shared" ca="1" si="1"/>
        <v>4</v>
      </c>
      <c r="R12">
        <f t="shared" ca="1" si="1"/>
        <v>4</v>
      </c>
      <c r="S12">
        <f t="shared" ref="S12:AE27" ca="1" si="7">RANDBETWEEN(1,10)</f>
        <v>4</v>
      </c>
      <c r="T12">
        <f t="shared" ca="1" si="7"/>
        <v>7</v>
      </c>
      <c r="U12">
        <f t="shared" ca="1" si="7"/>
        <v>2</v>
      </c>
      <c r="V12">
        <f t="shared" ca="1" si="7"/>
        <v>1</v>
      </c>
      <c r="W12">
        <f t="shared" ca="1" si="7"/>
        <v>4</v>
      </c>
      <c r="X12">
        <f t="shared" ca="1" si="7"/>
        <v>1</v>
      </c>
      <c r="Y12">
        <f t="shared" ca="1" si="7"/>
        <v>8</v>
      </c>
      <c r="Z12">
        <f t="shared" ca="1" si="7"/>
        <v>5</v>
      </c>
      <c r="AA12">
        <f t="shared" ca="1" si="7"/>
        <v>8</v>
      </c>
      <c r="AB12">
        <f t="shared" ca="1" si="7"/>
        <v>4</v>
      </c>
      <c r="AC12">
        <f t="shared" ca="1" si="7"/>
        <v>9</v>
      </c>
      <c r="AD12">
        <f t="shared" ca="1" si="7"/>
        <v>5</v>
      </c>
      <c r="AE12">
        <f t="shared" ca="1" si="7"/>
        <v>4</v>
      </c>
      <c r="AH12" s="25">
        <f t="shared" ca="1" si="3"/>
        <v>155</v>
      </c>
      <c r="AI12">
        <v>379</v>
      </c>
      <c r="AJ12">
        <v>430</v>
      </c>
      <c r="AK12">
        <f t="shared" si="4"/>
        <v>51</v>
      </c>
      <c r="AL12" s="15">
        <f t="shared" ca="1" si="5"/>
        <v>66650</v>
      </c>
      <c r="AM12" s="15">
        <f t="shared" ca="1" si="6"/>
        <v>7905</v>
      </c>
      <c r="AO12" t="s">
        <v>91</v>
      </c>
      <c r="AP12" s="13">
        <f>'Attendence (Feb)'!AL6</f>
        <v>9000</v>
      </c>
    </row>
    <row r="13" spans="1:42">
      <c r="A13" s="27"/>
      <c r="B13" t="s">
        <v>30</v>
      </c>
      <c r="C13">
        <f t="shared" ca="1" si="2"/>
        <v>5</v>
      </c>
      <c r="D13">
        <f t="shared" ca="1" si="2"/>
        <v>9</v>
      </c>
      <c r="E13">
        <f t="shared" ca="1" si="2"/>
        <v>9</v>
      </c>
      <c r="F13">
        <f t="shared" ca="1" si="2"/>
        <v>8</v>
      </c>
      <c r="G13">
        <f t="shared" ca="1" si="2"/>
        <v>4</v>
      </c>
      <c r="H13">
        <f t="shared" ca="1" si="2"/>
        <v>9</v>
      </c>
      <c r="I13">
        <f t="shared" ca="1" si="2"/>
        <v>10</v>
      </c>
      <c r="J13">
        <f t="shared" ca="1" si="2"/>
        <v>1</v>
      </c>
      <c r="K13">
        <f t="shared" ca="1" si="2"/>
        <v>9</v>
      </c>
      <c r="L13">
        <f t="shared" ca="1" si="2"/>
        <v>8</v>
      </c>
      <c r="M13">
        <f t="shared" ca="1" si="2"/>
        <v>4</v>
      </c>
      <c r="N13">
        <f t="shared" ca="1" si="2"/>
        <v>7</v>
      </c>
      <c r="O13">
        <f t="shared" ca="1" si="2"/>
        <v>7</v>
      </c>
      <c r="P13">
        <f t="shared" ca="1" si="2"/>
        <v>5</v>
      </c>
      <c r="Q13">
        <f t="shared" ca="1" si="2"/>
        <v>1</v>
      </c>
      <c r="R13">
        <f t="shared" ca="1" si="2"/>
        <v>10</v>
      </c>
      <c r="S13">
        <f t="shared" ca="1" si="7"/>
        <v>4</v>
      </c>
      <c r="T13">
        <f t="shared" ca="1" si="7"/>
        <v>9</v>
      </c>
      <c r="U13">
        <f t="shared" ca="1" si="7"/>
        <v>5</v>
      </c>
      <c r="V13">
        <f t="shared" ca="1" si="7"/>
        <v>8</v>
      </c>
      <c r="W13">
        <f t="shared" ca="1" si="7"/>
        <v>10</v>
      </c>
      <c r="X13">
        <f t="shared" ca="1" si="7"/>
        <v>7</v>
      </c>
      <c r="Y13">
        <f t="shared" ca="1" si="7"/>
        <v>8</v>
      </c>
      <c r="Z13">
        <f t="shared" ca="1" si="7"/>
        <v>1</v>
      </c>
      <c r="AA13">
        <f t="shared" ca="1" si="7"/>
        <v>5</v>
      </c>
      <c r="AB13">
        <f t="shared" ca="1" si="7"/>
        <v>3</v>
      </c>
      <c r="AC13">
        <f t="shared" ca="1" si="7"/>
        <v>9</v>
      </c>
      <c r="AD13">
        <f t="shared" ca="1" si="7"/>
        <v>2</v>
      </c>
      <c r="AE13">
        <f t="shared" ca="1" si="7"/>
        <v>3</v>
      </c>
      <c r="AH13" s="25">
        <f t="shared" ca="1" si="3"/>
        <v>180</v>
      </c>
      <c r="AI13">
        <v>368</v>
      </c>
      <c r="AJ13">
        <v>435</v>
      </c>
      <c r="AK13">
        <f t="shared" si="4"/>
        <v>67</v>
      </c>
      <c r="AL13" s="15">
        <f t="shared" ca="1" si="5"/>
        <v>78300</v>
      </c>
      <c r="AM13" s="15">
        <f t="shared" ca="1" si="6"/>
        <v>12060</v>
      </c>
      <c r="AO13" t="s">
        <v>92</v>
      </c>
      <c r="AP13" s="13">
        <v>10000</v>
      </c>
    </row>
    <row r="14" spans="1:42">
      <c r="A14" s="27"/>
      <c r="B14" t="s">
        <v>31</v>
      </c>
      <c r="C14">
        <f t="shared" ca="1" si="2"/>
        <v>9</v>
      </c>
      <c r="D14">
        <f t="shared" ca="1" si="2"/>
        <v>2</v>
      </c>
      <c r="E14">
        <f t="shared" ca="1" si="2"/>
        <v>3</v>
      </c>
      <c r="F14">
        <f t="shared" ca="1" si="2"/>
        <v>4</v>
      </c>
      <c r="G14">
        <f t="shared" ca="1" si="2"/>
        <v>1</v>
      </c>
      <c r="H14">
        <f t="shared" ca="1" si="2"/>
        <v>1</v>
      </c>
      <c r="I14">
        <f t="shared" ca="1" si="2"/>
        <v>9</v>
      </c>
      <c r="J14">
        <f t="shared" ca="1" si="2"/>
        <v>4</v>
      </c>
      <c r="K14">
        <f t="shared" ca="1" si="2"/>
        <v>4</v>
      </c>
      <c r="L14">
        <f t="shared" ca="1" si="2"/>
        <v>9</v>
      </c>
      <c r="M14">
        <f t="shared" ca="1" si="2"/>
        <v>1</v>
      </c>
      <c r="N14">
        <f t="shared" ca="1" si="2"/>
        <v>10</v>
      </c>
      <c r="O14">
        <f t="shared" ca="1" si="2"/>
        <v>7</v>
      </c>
      <c r="P14">
        <f t="shared" ca="1" si="2"/>
        <v>5</v>
      </c>
      <c r="Q14">
        <f t="shared" ca="1" si="2"/>
        <v>7</v>
      </c>
      <c r="R14">
        <f t="shared" ca="1" si="2"/>
        <v>2</v>
      </c>
      <c r="S14">
        <f t="shared" ca="1" si="7"/>
        <v>3</v>
      </c>
      <c r="T14">
        <f t="shared" ca="1" si="7"/>
        <v>10</v>
      </c>
      <c r="U14">
        <f t="shared" ca="1" si="7"/>
        <v>7</v>
      </c>
      <c r="V14">
        <f t="shared" ca="1" si="7"/>
        <v>9</v>
      </c>
      <c r="W14">
        <f t="shared" ca="1" si="7"/>
        <v>2</v>
      </c>
      <c r="X14">
        <f t="shared" ca="1" si="7"/>
        <v>2</v>
      </c>
      <c r="Y14">
        <f t="shared" ca="1" si="7"/>
        <v>2</v>
      </c>
      <c r="Z14">
        <f t="shared" ca="1" si="7"/>
        <v>10</v>
      </c>
      <c r="AA14">
        <f t="shared" ca="1" si="7"/>
        <v>1</v>
      </c>
      <c r="AB14">
        <f t="shared" ca="1" si="7"/>
        <v>7</v>
      </c>
      <c r="AC14">
        <f t="shared" ca="1" si="7"/>
        <v>7</v>
      </c>
      <c r="AD14">
        <f t="shared" ca="1" si="7"/>
        <v>8</v>
      </c>
      <c r="AE14">
        <f t="shared" ca="1" si="7"/>
        <v>10</v>
      </c>
      <c r="AH14" s="25">
        <f t="shared" ca="1" si="3"/>
        <v>156</v>
      </c>
      <c r="AI14">
        <v>88</v>
      </c>
      <c r="AJ14">
        <v>99</v>
      </c>
      <c r="AK14">
        <f t="shared" si="4"/>
        <v>11</v>
      </c>
      <c r="AL14" s="15">
        <f t="shared" ca="1" si="5"/>
        <v>15444</v>
      </c>
      <c r="AM14" s="15">
        <f t="shared" ca="1" si="6"/>
        <v>1716</v>
      </c>
      <c r="AO14" t="s">
        <v>93</v>
      </c>
      <c r="AP14" s="13">
        <v>2000</v>
      </c>
    </row>
    <row r="15" spans="1:42">
      <c r="A15" s="27"/>
      <c r="B15" t="s">
        <v>32</v>
      </c>
      <c r="C15">
        <f t="shared" ca="1" si="2"/>
        <v>9</v>
      </c>
      <c r="D15">
        <f t="shared" ca="1" si="2"/>
        <v>8</v>
      </c>
      <c r="E15">
        <f t="shared" ca="1" si="2"/>
        <v>9</v>
      </c>
      <c r="F15">
        <f t="shared" ca="1" si="2"/>
        <v>7</v>
      </c>
      <c r="G15">
        <f t="shared" ca="1" si="2"/>
        <v>3</v>
      </c>
      <c r="H15">
        <f t="shared" ca="1" si="2"/>
        <v>1</v>
      </c>
      <c r="I15">
        <f t="shared" ca="1" si="2"/>
        <v>4</v>
      </c>
      <c r="J15">
        <f t="shared" ca="1" si="2"/>
        <v>5</v>
      </c>
      <c r="K15">
        <f t="shared" ca="1" si="2"/>
        <v>2</v>
      </c>
      <c r="L15">
        <f t="shared" ca="1" si="2"/>
        <v>7</v>
      </c>
      <c r="M15">
        <f t="shared" ca="1" si="2"/>
        <v>10</v>
      </c>
      <c r="N15">
        <f t="shared" ca="1" si="2"/>
        <v>10</v>
      </c>
      <c r="O15">
        <f t="shared" ca="1" si="2"/>
        <v>7</v>
      </c>
      <c r="P15">
        <f t="shared" ca="1" si="2"/>
        <v>4</v>
      </c>
      <c r="Q15">
        <f t="shared" ca="1" si="2"/>
        <v>4</v>
      </c>
      <c r="R15">
        <f t="shared" ca="1" si="2"/>
        <v>10</v>
      </c>
      <c r="S15">
        <f t="shared" ca="1" si="7"/>
        <v>1</v>
      </c>
      <c r="T15">
        <f t="shared" ca="1" si="7"/>
        <v>8</v>
      </c>
      <c r="U15">
        <f t="shared" ca="1" si="7"/>
        <v>1</v>
      </c>
      <c r="V15">
        <f t="shared" ca="1" si="7"/>
        <v>3</v>
      </c>
      <c r="W15">
        <f t="shared" ca="1" si="7"/>
        <v>3</v>
      </c>
      <c r="X15">
        <f t="shared" ca="1" si="7"/>
        <v>10</v>
      </c>
      <c r="Y15">
        <f t="shared" ca="1" si="7"/>
        <v>7</v>
      </c>
      <c r="Z15">
        <f t="shared" ca="1" si="7"/>
        <v>3</v>
      </c>
      <c r="AA15">
        <f t="shared" ca="1" si="7"/>
        <v>5</v>
      </c>
      <c r="AB15">
        <f t="shared" ca="1" si="7"/>
        <v>3</v>
      </c>
      <c r="AC15">
        <f t="shared" ca="1" si="7"/>
        <v>5</v>
      </c>
      <c r="AD15">
        <f t="shared" ca="1" si="7"/>
        <v>4</v>
      </c>
      <c r="AE15">
        <f t="shared" ca="1" si="7"/>
        <v>4</v>
      </c>
      <c r="AH15" s="25">
        <f t="shared" ca="1" si="3"/>
        <v>157</v>
      </c>
      <c r="AI15">
        <v>391</v>
      </c>
      <c r="AJ15">
        <v>500</v>
      </c>
      <c r="AK15">
        <f t="shared" si="4"/>
        <v>109</v>
      </c>
      <c r="AL15" s="15">
        <f t="shared" ca="1" si="5"/>
        <v>78500</v>
      </c>
      <c r="AM15" s="15">
        <f t="shared" ca="1" si="6"/>
        <v>17113</v>
      </c>
      <c r="AO15" t="s">
        <v>80</v>
      </c>
      <c r="AP15" s="13">
        <f ca="1">SUM(AM3:AM57)</f>
        <v>280433</v>
      </c>
    </row>
    <row r="16" spans="1:42">
      <c r="A16" s="27"/>
      <c r="B16" t="s">
        <v>33</v>
      </c>
      <c r="C16">
        <f t="shared" ca="1" si="2"/>
        <v>7</v>
      </c>
      <c r="D16">
        <f t="shared" ca="1" si="2"/>
        <v>5</v>
      </c>
      <c r="E16">
        <f t="shared" ca="1" si="2"/>
        <v>1</v>
      </c>
      <c r="F16">
        <f t="shared" ca="1" si="2"/>
        <v>6</v>
      </c>
      <c r="G16">
        <f t="shared" ca="1" si="2"/>
        <v>7</v>
      </c>
      <c r="H16">
        <f t="shared" ca="1" si="2"/>
        <v>8</v>
      </c>
      <c r="I16">
        <f t="shared" ca="1" si="2"/>
        <v>8</v>
      </c>
      <c r="J16">
        <f t="shared" ca="1" si="2"/>
        <v>9</v>
      </c>
      <c r="K16">
        <f t="shared" ca="1" si="2"/>
        <v>7</v>
      </c>
      <c r="L16">
        <f t="shared" ca="1" si="2"/>
        <v>1</v>
      </c>
      <c r="M16">
        <f t="shared" ca="1" si="2"/>
        <v>1</v>
      </c>
      <c r="N16">
        <f t="shared" ca="1" si="2"/>
        <v>7</v>
      </c>
      <c r="O16">
        <f t="shared" ca="1" si="2"/>
        <v>3</v>
      </c>
      <c r="P16">
        <f t="shared" ca="1" si="2"/>
        <v>5</v>
      </c>
      <c r="Q16">
        <f t="shared" ca="1" si="2"/>
        <v>2</v>
      </c>
      <c r="R16">
        <f t="shared" ca="1" si="2"/>
        <v>5</v>
      </c>
      <c r="S16">
        <f t="shared" ca="1" si="7"/>
        <v>3</v>
      </c>
      <c r="T16">
        <f t="shared" ca="1" si="7"/>
        <v>2</v>
      </c>
      <c r="U16">
        <f t="shared" ca="1" si="7"/>
        <v>3</v>
      </c>
      <c r="V16">
        <f t="shared" ca="1" si="7"/>
        <v>9</v>
      </c>
      <c r="W16">
        <f t="shared" ca="1" si="7"/>
        <v>1</v>
      </c>
      <c r="X16">
        <f t="shared" ca="1" si="7"/>
        <v>4</v>
      </c>
      <c r="Y16">
        <f t="shared" ca="1" si="7"/>
        <v>2</v>
      </c>
      <c r="Z16">
        <f t="shared" ca="1" si="7"/>
        <v>10</v>
      </c>
      <c r="AA16">
        <f t="shared" ca="1" si="7"/>
        <v>1</v>
      </c>
      <c r="AB16">
        <f t="shared" ca="1" si="7"/>
        <v>10</v>
      </c>
      <c r="AC16">
        <f t="shared" ca="1" si="7"/>
        <v>2</v>
      </c>
      <c r="AD16">
        <f t="shared" ca="1" si="7"/>
        <v>9</v>
      </c>
      <c r="AE16">
        <f t="shared" ca="1" si="7"/>
        <v>9</v>
      </c>
      <c r="AH16" s="25">
        <f t="shared" ca="1" si="3"/>
        <v>147</v>
      </c>
      <c r="AI16">
        <v>261</v>
      </c>
      <c r="AJ16">
        <v>300</v>
      </c>
      <c r="AK16">
        <f t="shared" si="4"/>
        <v>39</v>
      </c>
      <c r="AL16" s="15">
        <f t="shared" ca="1" si="5"/>
        <v>44100</v>
      </c>
      <c r="AM16" s="15">
        <f t="shared" ca="1" si="6"/>
        <v>5733</v>
      </c>
      <c r="AO16" s="1" t="s">
        <v>94</v>
      </c>
      <c r="AP16" s="14">
        <f ca="1">AP15-(AP9+AP10+AP11+AP12+AP13+AP14)</f>
        <v>182466.33333333331</v>
      </c>
    </row>
    <row r="17" spans="1:39">
      <c r="A17" s="27"/>
      <c r="B17" t="s">
        <v>34</v>
      </c>
      <c r="C17">
        <f t="shared" ca="1" si="2"/>
        <v>3</v>
      </c>
      <c r="D17">
        <f t="shared" ca="1" si="2"/>
        <v>3</v>
      </c>
      <c r="E17">
        <f t="shared" ca="1" si="2"/>
        <v>5</v>
      </c>
      <c r="F17">
        <f t="shared" ca="1" si="2"/>
        <v>1</v>
      </c>
      <c r="G17">
        <f t="shared" ca="1" si="2"/>
        <v>3</v>
      </c>
      <c r="H17">
        <f t="shared" ca="1" si="2"/>
        <v>3</v>
      </c>
      <c r="I17">
        <f t="shared" ca="1" si="2"/>
        <v>1</v>
      </c>
      <c r="J17">
        <f t="shared" ca="1" si="2"/>
        <v>7</v>
      </c>
      <c r="K17">
        <f t="shared" ca="1" si="2"/>
        <v>8</v>
      </c>
      <c r="L17">
        <f t="shared" ca="1" si="2"/>
        <v>5</v>
      </c>
      <c r="M17">
        <f t="shared" ca="1" si="2"/>
        <v>10</v>
      </c>
      <c r="N17">
        <f t="shared" ca="1" si="2"/>
        <v>6</v>
      </c>
      <c r="O17">
        <f t="shared" ca="1" si="2"/>
        <v>1</v>
      </c>
      <c r="P17">
        <f t="shared" ca="1" si="2"/>
        <v>1</v>
      </c>
      <c r="Q17">
        <f t="shared" ca="1" si="2"/>
        <v>4</v>
      </c>
      <c r="R17">
        <f t="shared" ca="1" si="2"/>
        <v>7</v>
      </c>
      <c r="S17">
        <f t="shared" ca="1" si="7"/>
        <v>10</v>
      </c>
      <c r="T17">
        <f t="shared" ca="1" si="7"/>
        <v>8</v>
      </c>
      <c r="U17">
        <f t="shared" ca="1" si="7"/>
        <v>3</v>
      </c>
      <c r="V17">
        <f t="shared" ca="1" si="7"/>
        <v>7</v>
      </c>
      <c r="W17">
        <f t="shared" ca="1" si="7"/>
        <v>5</v>
      </c>
      <c r="X17">
        <f t="shared" ca="1" si="7"/>
        <v>9</v>
      </c>
      <c r="Y17">
        <f t="shared" ca="1" si="7"/>
        <v>9</v>
      </c>
      <c r="Z17">
        <f t="shared" ca="1" si="7"/>
        <v>3</v>
      </c>
      <c r="AA17">
        <f t="shared" ca="1" si="7"/>
        <v>4</v>
      </c>
      <c r="AB17">
        <f t="shared" ca="1" si="7"/>
        <v>6</v>
      </c>
      <c r="AC17">
        <f t="shared" ca="1" si="7"/>
        <v>5</v>
      </c>
      <c r="AD17">
        <f t="shared" ca="1" si="7"/>
        <v>10</v>
      </c>
      <c r="AE17">
        <f t="shared" ca="1" si="7"/>
        <v>1</v>
      </c>
      <c r="AH17" s="25">
        <f t="shared" ca="1" si="3"/>
        <v>148</v>
      </c>
      <c r="AI17">
        <v>67</v>
      </c>
      <c r="AJ17">
        <v>99</v>
      </c>
      <c r="AK17">
        <f t="shared" si="4"/>
        <v>32</v>
      </c>
      <c r="AL17" s="15">
        <f t="shared" ca="1" si="5"/>
        <v>14652</v>
      </c>
      <c r="AM17" s="15">
        <f t="shared" ca="1" si="6"/>
        <v>4736</v>
      </c>
    </row>
    <row r="18" spans="1:39">
      <c r="A18" s="27"/>
      <c r="B18" t="s">
        <v>35</v>
      </c>
      <c r="C18">
        <f t="shared" ca="1" si="2"/>
        <v>3</v>
      </c>
      <c r="D18">
        <f t="shared" ca="1" si="2"/>
        <v>2</v>
      </c>
      <c r="E18">
        <f t="shared" ca="1" si="2"/>
        <v>2</v>
      </c>
      <c r="F18">
        <f t="shared" ca="1" si="2"/>
        <v>3</v>
      </c>
      <c r="G18">
        <f t="shared" ca="1" si="2"/>
        <v>1</v>
      </c>
      <c r="H18">
        <f t="shared" ca="1" si="2"/>
        <v>10</v>
      </c>
      <c r="I18">
        <f t="shared" ca="1" si="2"/>
        <v>3</v>
      </c>
      <c r="J18">
        <f t="shared" ca="1" si="2"/>
        <v>4</v>
      </c>
      <c r="K18">
        <f t="shared" ca="1" si="2"/>
        <v>10</v>
      </c>
      <c r="L18">
        <f t="shared" ca="1" si="2"/>
        <v>7</v>
      </c>
      <c r="M18">
        <f t="shared" ca="1" si="2"/>
        <v>3</v>
      </c>
      <c r="N18">
        <f t="shared" ca="1" si="2"/>
        <v>4</v>
      </c>
      <c r="O18">
        <f t="shared" ca="1" si="2"/>
        <v>4</v>
      </c>
      <c r="P18">
        <f t="shared" ca="1" si="2"/>
        <v>3</v>
      </c>
      <c r="Q18">
        <f t="shared" ca="1" si="2"/>
        <v>4</v>
      </c>
      <c r="R18">
        <f t="shared" ca="1" si="2"/>
        <v>7</v>
      </c>
      <c r="S18">
        <f t="shared" ca="1" si="7"/>
        <v>5</v>
      </c>
      <c r="T18">
        <f t="shared" ca="1" si="7"/>
        <v>2</v>
      </c>
      <c r="U18">
        <f t="shared" ca="1" si="7"/>
        <v>5</v>
      </c>
      <c r="V18">
        <f t="shared" ca="1" si="7"/>
        <v>10</v>
      </c>
      <c r="W18">
        <f t="shared" ca="1" si="7"/>
        <v>10</v>
      </c>
      <c r="X18">
        <f t="shared" ca="1" si="7"/>
        <v>4</v>
      </c>
      <c r="Y18">
        <f t="shared" ca="1" si="7"/>
        <v>8</v>
      </c>
      <c r="Z18">
        <f t="shared" ca="1" si="7"/>
        <v>3</v>
      </c>
      <c r="AA18">
        <f t="shared" ca="1" si="7"/>
        <v>6</v>
      </c>
      <c r="AB18">
        <f t="shared" ca="1" si="7"/>
        <v>2</v>
      </c>
      <c r="AC18">
        <f t="shared" ca="1" si="7"/>
        <v>10</v>
      </c>
      <c r="AD18">
        <f t="shared" ca="1" si="7"/>
        <v>2</v>
      </c>
      <c r="AE18">
        <f t="shared" ca="1" si="7"/>
        <v>3</v>
      </c>
      <c r="AH18" s="25">
        <f t="shared" ca="1" si="3"/>
        <v>140</v>
      </c>
      <c r="AI18">
        <v>138</v>
      </c>
      <c r="AJ18">
        <v>150</v>
      </c>
      <c r="AK18">
        <f t="shared" si="4"/>
        <v>12</v>
      </c>
      <c r="AL18" s="15">
        <f t="shared" ca="1" si="5"/>
        <v>21000</v>
      </c>
      <c r="AM18" s="15">
        <f t="shared" ca="1" si="6"/>
        <v>1680</v>
      </c>
    </row>
    <row r="19" spans="1:39">
      <c r="A19" s="27"/>
      <c r="B19" t="s">
        <v>36</v>
      </c>
      <c r="C19">
        <f t="shared" ca="1" si="2"/>
        <v>4</v>
      </c>
      <c r="D19">
        <f t="shared" ca="1" si="2"/>
        <v>8</v>
      </c>
      <c r="E19">
        <f t="shared" ca="1" si="2"/>
        <v>5</v>
      </c>
      <c r="F19">
        <f t="shared" ca="1" si="2"/>
        <v>7</v>
      </c>
      <c r="G19">
        <f t="shared" ca="1" si="2"/>
        <v>3</v>
      </c>
      <c r="H19">
        <f t="shared" ca="1" si="2"/>
        <v>9</v>
      </c>
      <c r="I19">
        <f t="shared" ca="1" si="2"/>
        <v>9</v>
      </c>
      <c r="J19">
        <f t="shared" ca="1" si="2"/>
        <v>3</v>
      </c>
      <c r="K19">
        <f t="shared" ca="1" si="2"/>
        <v>5</v>
      </c>
      <c r="L19">
        <f t="shared" ca="1" si="2"/>
        <v>7</v>
      </c>
      <c r="M19">
        <f t="shared" ca="1" si="2"/>
        <v>5</v>
      </c>
      <c r="N19">
        <f t="shared" ca="1" si="2"/>
        <v>9</v>
      </c>
      <c r="O19">
        <f t="shared" ca="1" si="2"/>
        <v>2</v>
      </c>
      <c r="P19">
        <f t="shared" ca="1" si="2"/>
        <v>9</v>
      </c>
      <c r="Q19">
        <f t="shared" ca="1" si="2"/>
        <v>8</v>
      </c>
      <c r="R19">
        <f t="shared" ca="1" si="2"/>
        <v>4</v>
      </c>
      <c r="S19">
        <f t="shared" ca="1" si="7"/>
        <v>9</v>
      </c>
      <c r="T19">
        <f t="shared" ca="1" si="7"/>
        <v>7</v>
      </c>
      <c r="U19">
        <f t="shared" ca="1" si="7"/>
        <v>8</v>
      </c>
      <c r="V19">
        <f t="shared" ca="1" si="7"/>
        <v>5</v>
      </c>
      <c r="W19">
        <f t="shared" ca="1" si="7"/>
        <v>6</v>
      </c>
      <c r="X19">
        <f t="shared" ca="1" si="7"/>
        <v>7</v>
      </c>
      <c r="Y19">
        <f t="shared" ca="1" si="7"/>
        <v>6</v>
      </c>
      <c r="Z19">
        <f t="shared" ca="1" si="7"/>
        <v>4</v>
      </c>
      <c r="AA19">
        <f t="shared" ca="1" si="7"/>
        <v>8</v>
      </c>
      <c r="AB19">
        <f t="shared" ca="1" si="7"/>
        <v>4</v>
      </c>
      <c r="AC19">
        <f t="shared" ca="1" si="7"/>
        <v>4</v>
      </c>
      <c r="AD19">
        <f t="shared" ca="1" si="7"/>
        <v>2</v>
      </c>
      <c r="AE19">
        <f t="shared" ca="1" si="7"/>
        <v>9</v>
      </c>
      <c r="AH19" s="25">
        <f t="shared" ca="1" si="3"/>
        <v>176</v>
      </c>
      <c r="AI19">
        <v>60</v>
      </c>
      <c r="AJ19">
        <v>80</v>
      </c>
      <c r="AK19">
        <f t="shared" si="4"/>
        <v>20</v>
      </c>
      <c r="AL19" s="15">
        <f t="shared" ca="1" si="5"/>
        <v>14080</v>
      </c>
      <c r="AM19" s="15">
        <f t="shared" ca="1" si="6"/>
        <v>3520</v>
      </c>
    </row>
    <row r="20" spans="1:39">
      <c r="A20" s="27"/>
      <c r="B20" t="s">
        <v>37</v>
      </c>
      <c r="C20">
        <f t="shared" ref="C20:R35" ca="1" si="8">RANDBETWEEN(1,10)</f>
        <v>10</v>
      </c>
      <c r="D20">
        <f t="shared" ca="1" si="8"/>
        <v>4</v>
      </c>
      <c r="E20">
        <f t="shared" ca="1" si="8"/>
        <v>5</v>
      </c>
      <c r="F20">
        <f t="shared" ca="1" si="8"/>
        <v>1</v>
      </c>
      <c r="G20">
        <f t="shared" ca="1" si="8"/>
        <v>8</v>
      </c>
      <c r="H20">
        <f t="shared" ca="1" si="8"/>
        <v>10</v>
      </c>
      <c r="I20">
        <f t="shared" ca="1" si="8"/>
        <v>1</v>
      </c>
      <c r="J20">
        <f t="shared" ca="1" si="8"/>
        <v>8</v>
      </c>
      <c r="K20">
        <f t="shared" ca="1" si="8"/>
        <v>3</v>
      </c>
      <c r="L20">
        <f t="shared" ca="1" si="8"/>
        <v>7</v>
      </c>
      <c r="M20">
        <f t="shared" ca="1" si="8"/>
        <v>8</v>
      </c>
      <c r="N20">
        <f t="shared" ca="1" si="8"/>
        <v>8</v>
      </c>
      <c r="O20">
        <f t="shared" ca="1" si="8"/>
        <v>4</v>
      </c>
      <c r="P20">
        <f t="shared" ca="1" si="8"/>
        <v>6</v>
      </c>
      <c r="Q20">
        <f t="shared" ca="1" si="8"/>
        <v>3</v>
      </c>
      <c r="R20">
        <f t="shared" ca="1" si="8"/>
        <v>2</v>
      </c>
      <c r="S20">
        <f t="shared" ca="1" si="7"/>
        <v>8</v>
      </c>
      <c r="T20">
        <f t="shared" ca="1" si="7"/>
        <v>7</v>
      </c>
      <c r="U20">
        <f t="shared" ca="1" si="7"/>
        <v>6</v>
      </c>
      <c r="V20">
        <f t="shared" ca="1" si="7"/>
        <v>2</v>
      </c>
      <c r="W20">
        <f t="shared" ca="1" si="7"/>
        <v>1</v>
      </c>
      <c r="X20">
        <f t="shared" ca="1" si="7"/>
        <v>10</v>
      </c>
      <c r="Y20">
        <f t="shared" ca="1" si="7"/>
        <v>7</v>
      </c>
      <c r="Z20">
        <f t="shared" ca="1" si="7"/>
        <v>7</v>
      </c>
      <c r="AA20">
        <f t="shared" ca="1" si="7"/>
        <v>8</v>
      </c>
      <c r="AB20">
        <f t="shared" ca="1" si="7"/>
        <v>8</v>
      </c>
      <c r="AC20">
        <f t="shared" ca="1" si="7"/>
        <v>2</v>
      </c>
      <c r="AD20">
        <f t="shared" ca="1" si="7"/>
        <v>7</v>
      </c>
      <c r="AE20">
        <f t="shared" ca="1" si="7"/>
        <v>6</v>
      </c>
      <c r="AH20" s="25">
        <f t="shared" ca="1" si="3"/>
        <v>167</v>
      </c>
      <c r="AI20">
        <v>44</v>
      </c>
      <c r="AJ20">
        <v>50</v>
      </c>
      <c r="AK20">
        <f t="shared" si="4"/>
        <v>6</v>
      </c>
      <c r="AL20" s="15">
        <f t="shared" ca="1" si="5"/>
        <v>8350</v>
      </c>
      <c r="AM20" s="15">
        <f t="shared" ca="1" si="6"/>
        <v>1002</v>
      </c>
    </row>
    <row r="21" spans="1:39">
      <c r="A21" s="27"/>
      <c r="B21" t="s">
        <v>38</v>
      </c>
      <c r="C21">
        <f t="shared" ca="1" si="8"/>
        <v>9</v>
      </c>
      <c r="D21">
        <f t="shared" ca="1" si="8"/>
        <v>6</v>
      </c>
      <c r="E21">
        <f t="shared" ca="1" si="8"/>
        <v>2</v>
      </c>
      <c r="F21">
        <f t="shared" ca="1" si="8"/>
        <v>3</v>
      </c>
      <c r="G21">
        <f t="shared" ca="1" si="8"/>
        <v>4</v>
      </c>
      <c r="H21">
        <f t="shared" ca="1" si="8"/>
        <v>1</v>
      </c>
      <c r="I21">
        <f t="shared" ca="1" si="8"/>
        <v>7</v>
      </c>
      <c r="J21">
        <f t="shared" ca="1" si="8"/>
        <v>5</v>
      </c>
      <c r="K21">
        <f t="shared" ca="1" si="8"/>
        <v>9</v>
      </c>
      <c r="L21">
        <f t="shared" ca="1" si="8"/>
        <v>6</v>
      </c>
      <c r="M21">
        <f t="shared" ca="1" si="8"/>
        <v>5</v>
      </c>
      <c r="N21">
        <f t="shared" ca="1" si="8"/>
        <v>1</v>
      </c>
      <c r="O21">
        <f t="shared" ca="1" si="8"/>
        <v>6</v>
      </c>
      <c r="P21">
        <f t="shared" ca="1" si="8"/>
        <v>6</v>
      </c>
      <c r="Q21">
        <f t="shared" ca="1" si="8"/>
        <v>9</v>
      </c>
      <c r="R21">
        <f t="shared" ca="1" si="8"/>
        <v>7</v>
      </c>
      <c r="S21">
        <f t="shared" ca="1" si="7"/>
        <v>3</v>
      </c>
      <c r="T21">
        <f t="shared" ca="1" si="7"/>
        <v>4</v>
      </c>
      <c r="U21">
        <f t="shared" ca="1" si="7"/>
        <v>1</v>
      </c>
      <c r="V21">
        <f t="shared" ca="1" si="7"/>
        <v>6</v>
      </c>
      <c r="W21">
        <f t="shared" ca="1" si="7"/>
        <v>6</v>
      </c>
      <c r="X21">
        <f t="shared" ca="1" si="7"/>
        <v>4</v>
      </c>
      <c r="Y21">
        <f t="shared" ca="1" si="7"/>
        <v>5</v>
      </c>
      <c r="Z21">
        <f t="shared" ca="1" si="7"/>
        <v>4</v>
      </c>
      <c r="AA21">
        <f t="shared" ca="1" si="7"/>
        <v>9</v>
      </c>
      <c r="AB21">
        <f t="shared" ca="1" si="7"/>
        <v>2</v>
      </c>
      <c r="AC21">
        <f t="shared" ca="1" si="7"/>
        <v>5</v>
      </c>
      <c r="AD21">
        <f t="shared" ca="1" si="7"/>
        <v>9</v>
      </c>
      <c r="AE21">
        <f t="shared" ca="1" si="7"/>
        <v>3</v>
      </c>
      <c r="AH21" s="25">
        <f t="shared" ca="1" si="3"/>
        <v>147</v>
      </c>
      <c r="AI21">
        <v>308</v>
      </c>
      <c r="AJ21">
        <v>320</v>
      </c>
      <c r="AK21">
        <f t="shared" si="4"/>
        <v>12</v>
      </c>
      <c r="AL21" s="15">
        <f t="shared" ca="1" si="5"/>
        <v>47040</v>
      </c>
      <c r="AM21" s="15">
        <f t="shared" ca="1" si="6"/>
        <v>1764</v>
      </c>
    </row>
    <row r="22" spans="1:39">
      <c r="A22" s="27"/>
      <c r="B22" t="s">
        <v>39</v>
      </c>
      <c r="C22">
        <f t="shared" ca="1" si="8"/>
        <v>7</v>
      </c>
      <c r="D22">
        <f t="shared" ca="1" si="8"/>
        <v>5</v>
      </c>
      <c r="E22">
        <f t="shared" ca="1" si="8"/>
        <v>9</v>
      </c>
      <c r="F22">
        <f t="shared" ca="1" si="8"/>
        <v>2</v>
      </c>
      <c r="G22">
        <f t="shared" ca="1" si="8"/>
        <v>6</v>
      </c>
      <c r="H22">
        <f t="shared" ca="1" si="8"/>
        <v>2</v>
      </c>
      <c r="I22">
        <f t="shared" ca="1" si="8"/>
        <v>5</v>
      </c>
      <c r="J22">
        <f t="shared" ca="1" si="8"/>
        <v>9</v>
      </c>
      <c r="K22">
        <f t="shared" ca="1" si="8"/>
        <v>3</v>
      </c>
      <c r="L22">
        <f t="shared" ca="1" si="8"/>
        <v>4</v>
      </c>
      <c r="M22">
        <f t="shared" ca="1" si="8"/>
        <v>2</v>
      </c>
      <c r="N22">
        <f t="shared" ca="1" si="8"/>
        <v>8</v>
      </c>
      <c r="O22">
        <f t="shared" ca="1" si="8"/>
        <v>10</v>
      </c>
      <c r="P22">
        <f t="shared" ca="1" si="8"/>
        <v>8</v>
      </c>
      <c r="Q22">
        <f t="shared" ca="1" si="8"/>
        <v>5</v>
      </c>
      <c r="R22">
        <f t="shared" ca="1" si="8"/>
        <v>4</v>
      </c>
      <c r="S22">
        <f t="shared" ca="1" si="7"/>
        <v>8</v>
      </c>
      <c r="T22">
        <f t="shared" ca="1" si="7"/>
        <v>9</v>
      </c>
      <c r="U22">
        <f t="shared" ca="1" si="7"/>
        <v>10</v>
      </c>
      <c r="V22">
        <f t="shared" ca="1" si="7"/>
        <v>7</v>
      </c>
      <c r="W22">
        <f t="shared" ca="1" si="7"/>
        <v>8</v>
      </c>
      <c r="X22">
        <f t="shared" ca="1" si="7"/>
        <v>3</v>
      </c>
      <c r="Y22">
        <f t="shared" ca="1" si="7"/>
        <v>9</v>
      </c>
      <c r="Z22">
        <f t="shared" ca="1" si="7"/>
        <v>10</v>
      </c>
      <c r="AA22">
        <f t="shared" ca="1" si="7"/>
        <v>1</v>
      </c>
      <c r="AB22">
        <f t="shared" ca="1" si="7"/>
        <v>3</v>
      </c>
      <c r="AC22">
        <f t="shared" ca="1" si="7"/>
        <v>6</v>
      </c>
      <c r="AD22">
        <f t="shared" ca="1" si="7"/>
        <v>6</v>
      </c>
      <c r="AE22">
        <f t="shared" ca="1" si="7"/>
        <v>5</v>
      </c>
      <c r="AH22" s="25">
        <f t="shared" ca="1" si="3"/>
        <v>174</v>
      </c>
      <c r="AI22">
        <v>234</v>
      </c>
      <c r="AJ22">
        <v>250</v>
      </c>
      <c r="AK22">
        <f t="shared" si="4"/>
        <v>16</v>
      </c>
      <c r="AL22" s="15">
        <f t="shared" ca="1" si="5"/>
        <v>43500</v>
      </c>
      <c r="AM22" s="15">
        <f t="shared" ca="1" si="6"/>
        <v>2784</v>
      </c>
    </row>
    <row r="23" spans="1:39">
      <c r="A23" s="27"/>
      <c r="B23" t="s">
        <v>40</v>
      </c>
      <c r="C23">
        <f t="shared" ca="1" si="8"/>
        <v>8</v>
      </c>
      <c r="D23">
        <f t="shared" ca="1" si="8"/>
        <v>5</v>
      </c>
      <c r="E23">
        <f t="shared" ca="1" si="8"/>
        <v>2</v>
      </c>
      <c r="F23">
        <f t="shared" ca="1" si="8"/>
        <v>10</v>
      </c>
      <c r="G23">
        <f t="shared" ca="1" si="8"/>
        <v>6</v>
      </c>
      <c r="H23">
        <f t="shared" ca="1" si="8"/>
        <v>3</v>
      </c>
      <c r="I23">
        <f t="shared" ca="1" si="8"/>
        <v>2</v>
      </c>
      <c r="J23">
        <f t="shared" ca="1" si="8"/>
        <v>5</v>
      </c>
      <c r="K23">
        <f t="shared" ca="1" si="8"/>
        <v>9</v>
      </c>
      <c r="L23">
        <f t="shared" ca="1" si="8"/>
        <v>1</v>
      </c>
      <c r="M23">
        <f t="shared" ca="1" si="8"/>
        <v>1</v>
      </c>
      <c r="N23">
        <f t="shared" ca="1" si="8"/>
        <v>1</v>
      </c>
      <c r="O23">
        <f t="shared" ca="1" si="8"/>
        <v>3</v>
      </c>
      <c r="P23">
        <f t="shared" ca="1" si="8"/>
        <v>6</v>
      </c>
      <c r="Q23">
        <f t="shared" ca="1" si="8"/>
        <v>5</v>
      </c>
      <c r="R23">
        <f t="shared" ca="1" si="8"/>
        <v>9</v>
      </c>
      <c r="S23">
        <f t="shared" ca="1" si="7"/>
        <v>8</v>
      </c>
      <c r="T23">
        <f t="shared" ca="1" si="7"/>
        <v>8</v>
      </c>
      <c r="U23">
        <f t="shared" ca="1" si="7"/>
        <v>2</v>
      </c>
      <c r="V23">
        <f t="shared" ca="1" si="7"/>
        <v>10</v>
      </c>
      <c r="W23">
        <f t="shared" ca="1" si="7"/>
        <v>9</v>
      </c>
      <c r="X23">
        <f t="shared" ca="1" si="7"/>
        <v>9</v>
      </c>
      <c r="Y23">
        <f t="shared" ca="1" si="7"/>
        <v>7</v>
      </c>
      <c r="Z23">
        <f t="shared" ca="1" si="7"/>
        <v>1</v>
      </c>
      <c r="AA23">
        <f t="shared" ca="1" si="7"/>
        <v>1</v>
      </c>
      <c r="AB23">
        <f t="shared" ca="1" si="7"/>
        <v>8</v>
      </c>
      <c r="AC23">
        <f t="shared" ca="1" si="7"/>
        <v>7</v>
      </c>
      <c r="AD23">
        <f t="shared" ca="1" si="7"/>
        <v>6</v>
      </c>
      <c r="AE23">
        <f t="shared" ca="1" si="7"/>
        <v>9</v>
      </c>
      <c r="AH23" s="25">
        <f t="shared" ca="1" si="3"/>
        <v>161</v>
      </c>
      <c r="AI23">
        <v>121</v>
      </c>
      <c r="AJ23">
        <v>140</v>
      </c>
      <c r="AK23">
        <f t="shared" si="4"/>
        <v>19</v>
      </c>
      <c r="AL23" s="15">
        <f t="shared" ca="1" si="5"/>
        <v>22540</v>
      </c>
      <c r="AM23" s="15">
        <f t="shared" ca="1" si="6"/>
        <v>3059</v>
      </c>
    </row>
    <row r="24" spans="1:39">
      <c r="A24" s="27"/>
      <c r="B24" t="s">
        <v>41</v>
      </c>
      <c r="C24">
        <f t="shared" ca="1" si="8"/>
        <v>2</v>
      </c>
      <c r="D24">
        <f t="shared" ca="1" si="8"/>
        <v>7</v>
      </c>
      <c r="E24">
        <f t="shared" ca="1" si="8"/>
        <v>8</v>
      </c>
      <c r="F24">
        <f t="shared" ca="1" si="8"/>
        <v>7</v>
      </c>
      <c r="G24">
        <f t="shared" ca="1" si="8"/>
        <v>9</v>
      </c>
      <c r="H24">
        <f t="shared" ca="1" si="8"/>
        <v>9</v>
      </c>
      <c r="I24">
        <f t="shared" ca="1" si="8"/>
        <v>1</v>
      </c>
      <c r="J24">
        <f t="shared" ca="1" si="8"/>
        <v>4</v>
      </c>
      <c r="K24">
        <f t="shared" ca="1" si="8"/>
        <v>1</v>
      </c>
      <c r="L24">
        <f t="shared" ca="1" si="8"/>
        <v>4</v>
      </c>
      <c r="M24">
        <f t="shared" ca="1" si="8"/>
        <v>4</v>
      </c>
      <c r="N24">
        <f t="shared" ca="1" si="8"/>
        <v>4</v>
      </c>
      <c r="O24">
        <f t="shared" ca="1" si="8"/>
        <v>2</v>
      </c>
      <c r="P24">
        <f t="shared" ca="1" si="8"/>
        <v>3</v>
      </c>
      <c r="Q24">
        <f t="shared" ca="1" si="8"/>
        <v>9</v>
      </c>
      <c r="R24">
        <f t="shared" ca="1" si="8"/>
        <v>3</v>
      </c>
      <c r="S24">
        <f t="shared" ca="1" si="7"/>
        <v>2</v>
      </c>
      <c r="T24">
        <f t="shared" ca="1" si="7"/>
        <v>3</v>
      </c>
      <c r="U24">
        <f t="shared" ca="1" si="7"/>
        <v>7</v>
      </c>
      <c r="V24">
        <f t="shared" ca="1" si="7"/>
        <v>4</v>
      </c>
      <c r="W24">
        <f t="shared" ca="1" si="7"/>
        <v>6</v>
      </c>
      <c r="X24">
        <f t="shared" ca="1" si="7"/>
        <v>5</v>
      </c>
      <c r="Y24">
        <f t="shared" ca="1" si="7"/>
        <v>1</v>
      </c>
      <c r="Z24">
        <f t="shared" ca="1" si="7"/>
        <v>4</v>
      </c>
      <c r="AA24">
        <f t="shared" ca="1" si="7"/>
        <v>1</v>
      </c>
      <c r="AB24">
        <f t="shared" ca="1" si="7"/>
        <v>2</v>
      </c>
      <c r="AC24">
        <f t="shared" ca="1" si="7"/>
        <v>9</v>
      </c>
      <c r="AD24">
        <f t="shared" ca="1" si="7"/>
        <v>2</v>
      </c>
      <c r="AE24">
        <f t="shared" ca="1" si="7"/>
        <v>1</v>
      </c>
      <c r="AH24" s="25">
        <f t="shared" ca="1" si="3"/>
        <v>124</v>
      </c>
      <c r="AI24">
        <v>350</v>
      </c>
      <c r="AJ24">
        <v>390</v>
      </c>
      <c r="AK24">
        <f t="shared" si="4"/>
        <v>40</v>
      </c>
      <c r="AL24" s="15">
        <f t="shared" ca="1" si="5"/>
        <v>48360</v>
      </c>
      <c r="AM24" s="15">
        <f t="shared" ca="1" si="6"/>
        <v>4960</v>
      </c>
    </row>
    <row r="25" spans="1:39">
      <c r="A25" s="27"/>
      <c r="B25" t="s">
        <v>42</v>
      </c>
      <c r="C25">
        <f t="shared" ca="1" si="8"/>
        <v>8</v>
      </c>
      <c r="D25">
        <f t="shared" ca="1" si="8"/>
        <v>8</v>
      </c>
      <c r="E25">
        <f t="shared" ca="1" si="8"/>
        <v>6</v>
      </c>
      <c r="F25">
        <f t="shared" ca="1" si="8"/>
        <v>2</v>
      </c>
      <c r="G25">
        <f t="shared" ca="1" si="8"/>
        <v>5</v>
      </c>
      <c r="H25">
        <f t="shared" ca="1" si="8"/>
        <v>2</v>
      </c>
      <c r="I25">
        <f t="shared" ca="1" si="8"/>
        <v>5</v>
      </c>
      <c r="J25">
        <f t="shared" ca="1" si="8"/>
        <v>2</v>
      </c>
      <c r="K25">
        <f t="shared" ca="1" si="8"/>
        <v>2</v>
      </c>
      <c r="L25">
        <f t="shared" ca="1" si="8"/>
        <v>10</v>
      </c>
      <c r="M25">
        <f t="shared" ca="1" si="8"/>
        <v>2</v>
      </c>
      <c r="N25">
        <f t="shared" ca="1" si="8"/>
        <v>10</v>
      </c>
      <c r="O25">
        <f t="shared" ca="1" si="8"/>
        <v>1</v>
      </c>
      <c r="P25">
        <f t="shared" ca="1" si="8"/>
        <v>7</v>
      </c>
      <c r="Q25">
        <f t="shared" ca="1" si="8"/>
        <v>6</v>
      </c>
      <c r="R25">
        <f t="shared" ca="1" si="8"/>
        <v>8</v>
      </c>
      <c r="S25">
        <f t="shared" ca="1" si="7"/>
        <v>5</v>
      </c>
      <c r="T25">
        <f t="shared" ca="1" si="7"/>
        <v>3</v>
      </c>
      <c r="U25">
        <f t="shared" ca="1" si="7"/>
        <v>4</v>
      </c>
      <c r="V25">
        <f t="shared" ca="1" si="7"/>
        <v>8</v>
      </c>
      <c r="W25">
        <f t="shared" ca="1" si="7"/>
        <v>9</v>
      </c>
      <c r="X25">
        <f t="shared" ca="1" si="7"/>
        <v>6</v>
      </c>
      <c r="Y25">
        <f t="shared" ca="1" si="7"/>
        <v>9</v>
      </c>
      <c r="Z25">
        <f t="shared" ca="1" si="7"/>
        <v>9</v>
      </c>
      <c r="AA25">
        <f t="shared" ca="1" si="7"/>
        <v>3</v>
      </c>
      <c r="AB25">
        <f t="shared" ca="1" si="7"/>
        <v>1</v>
      </c>
      <c r="AC25">
        <f t="shared" ca="1" si="7"/>
        <v>6</v>
      </c>
      <c r="AD25">
        <f t="shared" ca="1" si="7"/>
        <v>8</v>
      </c>
      <c r="AE25">
        <f t="shared" ca="1" si="7"/>
        <v>5</v>
      </c>
      <c r="AH25" s="25">
        <f t="shared" ca="1" si="3"/>
        <v>160</v>
      </c>
      <c r="AI25">
        <v>211</v>
      </c>
      <c r="AJ25">
        <v>240</v>
      </c>
      <c r="AK25">
        <f t="shared" si="4"/>
        <v>29</v>
      </c>
      <c r="AL25" s="15">
        <f t="shared" ca="1" si="5"/>
        <v>38400</v>
      </c>
      <c r="AM25" s="15">
        <f t="shared" ca="1" si="6"/>
        <v>4640</v>
      </c>
    </row>
    <row r="26" spans="1:39">
      <c r="A26" s="27"/>
      <c r="B26" t="s">
        <v>43</v>
      </c>
      <c r="C26">
        <f t="shared" ca="1" si="8"/>
        <v>4</v>
      </c>
      <c r="D26">
        <f t="shared" ca="1" si="8"/>
        <v>1</v>
      </c>
      <c r="E26">
        <f t="shared" ca="1" si="8"/>
        <v>9</v>
      </c>
      <c r="F26">
        <f t="shared" ca="1" si="8"/>
        <v>9</v>
      </c>
      <c r="G26">
        <f t="shared" ca="1" si="8"/>
        <v>5</v>
      </c>
      <c r="H26">
        <f t="shared" ca="1" si="8"/>
        <v>10</v>
      </c>
      <c r="I26">
        <f t="shared" ca="1" si="8"/>
        <v>2</v>
      </c>
      <c r="J26">
        <f t="shared" ca="1" si="8"/>
        <v>9</v>
      </c>
      <c r="K26">
        <f t="shared" ca="1" si="8"/>
        <v>8</v>
      </c>
      <c r="L26">
        <f t="shared" ca="1" si="8"/>
        <v>6</v>
      </c>
      <c r="M26">
        <f t="shared" ca="1" si="8"/>
        <v>10</v>
      </c>
      <c r="N26">
        <f t="shared" ca="1" si="8"/>
        <v>10</v>
      </c>
      <c r="O26">
        <f t="shared" ca="1" si="8"/>
        <v>4</v>
      </c>
      <c r="P26">
        <f t="shared" ca="1" si="8"/>
        <v>9</v>
      </c>
      <c r="Q26">
        <f t="shared" ca="1" si="8"/>
        <v>9</v>
      </c>
      <c r="R26">
        <f t="shared" ca="1" si="8"/>
        <v>1</v>
      </c>
      <c r="S26">
        <f t="shared" ca="1" si="7"/>
        <v>3</v>
      </c>
      <c r="T26">
        <f t="shared" ca="1" si="7"/>
        <v>4</v>
      </c>
      <c r="U26">
        <f t="shared" ca="1" si="7"/>
        <v>5</v>
      </c>
      <c r="V26">
        <f t="shared" ca="1" si="7"/>
        <v>2</v>
      </c>
      <c r="W26">
        <f t="shared" ca="1" si="7"/>
        <v>5</v>
      </c>
      <c r="X26">
        <f t="shared" ca="1" si="7"/>
        <v>1</v>
      </c>
      <c r="Y26">
        <f t="shared" ca="1" si="7"/>
        <v>8</v>
      </c>
      <c r="Z26">
        <f t="shared" ca="1" si="7"/>
        <v>2</v>
      </c>
      <c r="AA26">
        <f t="shared" ca="1" si="7"/>
        <v>1</v>
      </c>
      <c r="AB26">
        <f t="shared" ca="1" si="7"/>
        <v>3</v>
      </c>
      <c r="AC26">
        <f t="shared" ca="1" si="7"/>
        <v>9</v>
      </c>
      <c r="AD26">
        <f t="shared" ca="1" si="7"/>
        <v>8</v>
      </c>
      <c r="AE26">
        <f t="shared" ca="1" si="7"/>
        <v>2</v>
      </c>
      <c r="AH26" s="25">
        <f t="shared" ca="1" si="3"/>
        <v>159</v>
      </c>
      <c r="AI26">
        <v>247</v>
      </c>
      <c r="AJ26">
        <v>280</v>
      </c>
      <c r="AK26">
        <f t="shared" si="4"/>
        <v>33</v>
      </c>
      <c r="AL26" s="15">
        <f t="shared" ca="1" si="5"/>
        <v>44520</v>
      </c>
      <c r="AM26" s="15">
        <f t="shared" ca="1" si="6"/>
        <v>5247</v>
      </c>
    </row>
    <row r="27" spans="1:39">
      <c r="A27" s="27"/>
      <c r="B27" t="s">
        <v>44</v>
      </c>
      <c r="C27">
        <f t="shared" ca="1" si="8"/>
        <v>4</v>
      </c>
      <c r="D27">
        <f t="shared" ca="1" si="8"/>
        <v>2</v>
      </c>
      <c r="E27">
        <f t="shared" ca="1" si="8"/>
        <v>7</v>
      </c>
      <c r="F27">
        <f t="shared" ca="1" si="8"/>
        <v>4</v>
      </c>
      <c r="G27">
        <f t="shared" ca="1" si="8"/>
        <v>5</v>
      </c>
      <c r="H27">
        <f t="shared" ca="1" si="8"/>
        <v>10</v>
      </c>
      <c r="I27">
        <f t="shared" ca="1" si="8"/>
        <v>3</v>
      </c>
      <c r="J27">
        <f t="shared" ca="1" si="8"/>
        <v>2</v>
      </c>
      <c r="K27">
        <f t="shared" ca="1" si="8"/>
        <v>2</v>
      </c>
      <c r="L27">
        <f t="shared" ca="1" si="8"/>
        <v>10</v>
      </c>
      <c r="M27">
        <f t="shared" ca="1" si="8"/>
        <v>6</v>
      </c>
      <c r="N27">
        <f t="shared" ca="1" si="8"/>
        <v>2</v>
      </c>
      <c r="O27">
        <f t="shared" ca="1" si="8"/>
        <v>3</v>
      </c>
      <c r="P27">
        <f t="shared" ca="1" si="8"/>
        <v>10</v>
      </c>
      <c r="Q27">
        <f t="shared" ca="1" si="8"/>
        <v>5</v>
      </c>
      <c r="R27">
        <f t="shared" ca="1" si="8"/>
        <v>5</v>
      </c>
      <c r="S27">
        <f t="shared" ca="1" si="7"/>
        <v>10</v>
      </c>
      <c r="T27">
        <f t="shared" ca="1" si="7"/>
        <v>8</v>
      </c>
      <c r="U27">
        <f t="shared" ca="1" si="7"/>
        <v>7</v>
      </c>
      <c r="V27">
        <f t="shared" ca="1" si="7"/>
        <v>3</v>
      </c>
      <c r="W27">
        <f t="shared" ca="1" si="7"/>
        <v>7</v>
      </c>
      <c r="X27">
        <f t="shared" ca="1" si="7"/>
        <v>10</v>
      </c>
      <c r="Y27">
        <f t="shared" ca="1" si="7"/>
        <v>10</v>
      </c>
      <c r="Z27">
        <f t="shared" ca="1" si="7"/>
        <v>7</v>
      </c>
      <c r="AA27">
        <f t="shared" ca="1" si="7"/>
        <v>1</v>
      </c>
      <c r="AB27">
        <f t="shared" ca="1" si="7"/>
        <v>10</v>
      </c>
      <c r="AC27">
        <f t="shared" ca="1" si="7"/>
        <v>9</v>
      </c>
      <c r="AD27">
        <f t="shared" ca="1" si="7"/>
        <v>7</v>
      </c>
      <c r="AE27">
        <f t="shared" ca="1" si="7"/>
        <v>10</v>
      </c>
      <c r="AH27" s="25">
        <f t="shared" ca="1" si="3"/>
        <v>179</v>
      </c>
      <c r="AI27">
        <v>286</v>
      </c>
      <c r="AJ27">
        <v>320</v>
      </c>
      <c r="AK27">
        <f t="shared" si="4"/>
        <v>34</v>
      </c>
      <c r="AL27" s="15">
        <f t="shared" ca="1" si="5"/>
        <v>57280</v>
      </c>
      <c r="AM27" s="15">
        <f t="shared" ca="1" si="6"/>
        <v>6086</v>
      </c>
    </row>
    <row r="28" spans="1:39">
      <c r="A28" s="27"/>
      <c r="B28" t="s">
        <v>45</v>
      </c>
      <c r="C28">
        <f t="shared" ca="1" si="8"/>
        <v>4</v>
      </c>
      <c r="D28">
        <f t="shared" ca="1" si="8"/>
        <v>1</v>
      </c>
      <c r="E28">
        <f t="shared" ca="1" si="8"/>
        <v>7</v>
      </c>
      <c r="F28">
        <f t="shared" ca="1" si="8"/>
        <v>7</v>
      </c>
      <c r="G28">
        <f t="shared" ca="1" si="8"/>
        <v>1</v>
      </c>
      <c r="H28">
        <f t="shared" ca="1" si="8"/>
        <v>6</v>
      </c>
      <c r="I28">
        <f t="shared" ca="1" si="8"/>
        <v>8</v>
      </c>
      <c r="J28">
        <f t="shared" ca="1" si="8"/>
        <v>7</v>
      </c>
      <c r="K28">
        <f t="shared" ca="1" si="8"/>
        <v>8</v>
      </c>
      <c r="L28">
        <f t="shared" ca="1" si="8"/>
        <v>10</v>
      </c>
      <c r="M28">
        <f t="shared" ca="1" si="8"/>
        <v>9</v>
      </c>
      <c r="N28">
        <f t="shared" ca="1" si="8"/>
        <v>2</v>
      </c>
      <c r="O28">
        <f t="shared" ca="1" si="8"/>
        <v>9</v>
      </c>
      <c r="P28">
        <f t="shared" ca="1" si="8"/>
        <v>5</v>
      </c>
      <c r="Q28">
        <f t="shared" ca="1" si="8"/>
        <v>6</v>
      </c>
      <c r="R28">
        <f t="shared" ca="1" si="8"/>
        <v>4</v>
      </c>
      <c r="S28">
        <f t="shared" ref="S28:AE34" ca="1" si="9">RANDBETWEEN(1,10)</f>
        <v>1</v>
      </c>
      <c r="T28">
        <f t="shared" ca="1" si="9"/>
        <v>8</v>
      </c>
      <c r="U28">
        <f t="shared" ca="1" si="9"/>
        <v>6</v>
      </c>
      <c r="V28">
        <f t="shared" ca="1" si="9"/>
        <v>4</v>
      </c>
      <c r="W28">
        <f t="shared" ca="1" si="9"/>
        <v>7</v>
      </c>
      <c r="X28">
        <f t="shared" ca="1" si="9"/>
        <v>9</v>
      </c>
      <c r="Y28">
        <f t="shared" ca="1" si="9"/>
        <v>3</v>
      </c>
      <c r="Z28">
        <f t="shared" ca="1" si="9"/>
        <v>10</v>
      </c>
      <c r="AA28">
        <f t="shared" ca="1" si="9"/>
        <v>8</v>
      </c>
      <c r="AB28">
        <f t="shared" ca="1" si="9"/>
        <v>10</v>
      </c>
      <c r="AC28">
        <f t="shared" ca="1" si="9"/>
        <v>8</v>
      </c>
      <c r="AD28">
        <f t="shared" ca="1" si="9"/>
        <v>1</v>
      </c>
      <c r="AE28">
        <f t="shared" ca="1" si="9"/>
        <v>9</v>
      </c>
      <c r="AH28" s="25">
        <f t="shared" ca="1" si="3"/>
        <v>178</v>
      </c>
      <c r="AI28">
        <v>67</v>
      </c>
      <c r="AJ28">
        <v>80</v>
      </c>
      <c r="AK28">
        <f t="shared" si="4"/>
        <v>13</v>
      </c>
      <c r="AL28" s="15">
        <f t="shared" ca="1" si="5"/>
        <v>14240</v>
      </c>
      <c r="AM28" s="15">
        <f t="shared" ca="1" si="6"/>
        <v>2314</v>
      </c>
    </row>
    <row r="29" spans="1:39">
      <c r="A29" s="27"/>
      <c r="B29" t="s">
        <v>46</v>
      </c>
      <c r="C29">
        <f t="shared" ca="1" si="8"/>
        <v>1</v>
      </c>
      <c r="D29">
        <f t="shared" ca="1" si="8"/>
        <v>6</v>
      </c>
      <c r="E29">
        <f t="shared" ca="1" si="8"/>
        <v>7</v>
      </c>
      <c r="F29">
        <f t="shared" ca="1" si="8"/>
        <v>7</v>
      </c>
      <c r="G29">
        <f t="shared" ca="1" si="8"/>
        <v>4</v>
      </c>
      <c r="H29">
        <f t="shared" ca="1" si="8"/>
        <v>9</v>
      </c>
      <c r="I29">
        <f t="shared" ca="1" si="8"/>
        <v>5</v>
      </c>
      <c r="J29">
        <f t="shared" ca="1" si="8"/>
        <v>4</v>
      </c>
      <c r="K29">
        <f t="shared" ca="1" si="8"/>
        <v>9</v>
      </c>
      <c r="L29">
        <f t="shared" ca="1" si="8"/>
        <v>10</v>
      </c>
      <c r="M29">
        <f t="shared" ca="1" si="8"/>
        <v>10</v>
      </c>
      <c r="N29">
        <f t="shared" ca="1" si="8"/>
        <v>8</v>
      </c>
      <c r="O29">
        <f t="shared" ca="1" si="8"/>
        <v>8</v>
      </c>
      <c r="P29">
        <f t="shared" ca="1" si="8"/>
        <v>7</v>
      </c>
      <c r="Q29">
        <f t="shared" ca="1" si="8"/>
        <v>7</v>
      </c>
      <c r="R29">
        <f t="shared" ca="1" si="8"/>
        <v>4</v>
      </c>
      <c r="S29">
        <f t="shared" ca="1" si="9"/>
        <v>3</v>
      </c>
      <c r="T29">
        <f t="shared" ca="1" si="9"/>
        <v>7</v>
      </c>
      <c r="U29">
        <f t="shared" ca="1" si="9"/>
        <v>2</v>
      </c>
      <c r="V29">
        <f t="shared" ca="1" si="9"/>
        <v>2</v>
      </c>
      <c r="W29">
        <f t="shared" ca="1" si="9"/>
        <v>5</v>
      </c>
      <c r="X29">
        <f t="shared" ca="1" si="9"/>
        <v>2</v>
      </c>
      <c r="Y29">
        <f t="shared" ca="1" si="9"/>
        <v>1</v>
      </c>
      <c r="Z29">
        <f t="shared" ca="1" si="9"/>
        <v>8</v>
      </c>
      <c r="AA29">
        <f t="shared" ca="1" si="9"/>
        <v>5</v>
      </c>
      <c r="AB29">
        <f t="shared" ca="1" si="9"/>
        <v>5</v>
      </c>
      <c r="AC29">
        <f t="shared" ca="1" si="9"/>
        <v>6</v>
      </c>
      <c r="AD29">
        <f t="shared" ca="1" si="9"/>
        <v>1</v>
      </c>
      <c r="AE29">
        <f t="shared" ca="1" si="9"/>
        <v>1</v>
      </c>
      <c r="AH29" s="25">
        <f t="shared" ca="1" si="3"/>
        <v>154</v>
      </c>
      <c r="AI29">
        <v>335</v>
      </c>
      <c r="AJ29">
        <v>350</v>
      </c>
      <c r="AK29">
        <f t="shared" si="4"/>
        <v>15</v>
      </c>
      <c r="AL29" s="15">
        <f t="shared" ca="1" si="5"/>
        <v>53900</v>
      </c>
      <c r="AM29" s="15">
        <f t="shared" ca="1" si="6"/>
        <v>2310</v>
      </c>
    </row>
    <row r="30" spans="1:39">
      <c r="A30" s="27"/>
      <c r="B30" t="s">
        <v>47</v>
      </c>
      <c r="C30">
        <f t="shared" ca="1" si="8"/>
        <v>9</v>
      </c>
      <c r="D30">
        <f t="shared" ca="1" si="8"/>
        <v>10</v>
      </c>
      <c r="E30">
        <f t="shared" ca="1" si="8"/>
        <v>6</v>
      </c>
      <c r="F30">
        <f t="shared" ca="1" si="8"/>
        <v>6</v>
      </c>
      <c r="G30">
        <f t="shared" ca="1" si="8"/>
        <v>6</v>
      </c>
      <c r="H30">
        <f t="shared" ca="1" si="8"/>
        <v>10</v>
      </c>
      <c r="I30">
        <f t="shared" ca="1" si="8"/>
        <v>5</v>
      </c>
      <c r="J30">
        <f t="shared" ca="1" si="8"/>
        <v>6</v>
      </c>
      <c r="K30">
        <f t="shared" ca="1" si="8"/>
        <v>3</v>
      </c>
      <c r="L30">
        <f t="shared" ca="1" si="8"/>
        <v>6</v>
      </c>
      <c r="M30">
        <f t="shared" ca="1" si="8"/>
        <v>1</v>
      </c>
      <c r="N30">
        <f t="shared" ca="1" si="8"/>
        <v>9</v>
      </c>
      <c r="O30">
        <f t="shared" ca="1" si="8"/>
        <v>1</v>
      </c>
      <c r="P30">
        <f t="shared" ca="1" si="8"/>
        <v>4</v>
      </c>
      <c r="Q30">
        <f t="shared" ca="1" si="8"/>
        <v>7</v>
      </c>
      <c r="R30">
        <f t="shared" ca="1" si="8"/>
        <v>4</v>
      </c>
      <c r="S30">
        <f t="shared" ca="1" si="9"/>
        <v>8</v>
      </c>
      <c r="T30">
        <f t="shared" ca="1" si="9"/>
        <v>10</v>
      </c>
      <c r="U30">
        <f t="shared" ca="1" si="9"/>
        <v>3</v>
      </c>
      <c r="V30">
        <f t="shared" ca="1" si="9"/>
        <v>5</v>
      </c>
      <c r="W30">
        <f t="shared" ca="1" si="9"/>
        <v>6</v>
      </c>
      <c r="X30">
        <f t="shared" ca="1" si="9"/>
        <v>9</v>
      </c>
      <c r="Y30">
        <f t="shared" ca="1" si="9"/>
        <v>6</v>
      </c>
      <c r="Z30">
        <f t="shared" ca="1" si="9"/>
        <v>10</v>
      </c>
      <c r="AA30">
        <f t="shared" ca="1" si="9"/>
        <v>6</v>
      </c>
      <c r="AB30">
        <f t="shared" ca="1" si="9"/>
        <v>3</v>
      </c>
      <c r="AC30">
        <f t="shared" ca="1" si="9"/>
        <v>7</v>
      </c>
      <c r="AD30">
        <f t="shared" ca="1" si="9"/>
        <v>2</v>
      </c>
      <c r="AE30">
        <f t="shared" ca="1" si="9"/>
        <v>3</v>
      </c>
      <c r="AH30" s="25">
        <f t="shared" ca="1" si="3"/>
        <v>171</v>
      </c>
      <c r="AI30">
        <v>366</v>
      </c>
      <c r="AJ30">
        <v>400</v>
      </c>
      <c r="AK30">
        <f t="shared" si="4"/>
        <v>34</v>
      </c>
      <c r="AL30" s="15">
        <f t="shared" ca="1" si="5"/>
        <v>68400</v>
      </c>
      <c r="AM30" s="15">
        <f t="shared" ca="1" si="6"/>
        <v>5814</v>
      </c>
    </row>
    <row r="31" spans="1:39">
      <c r="A31" s="27"/>
      <c r="B31" t="s">
        <v>48</v>
      </c>
      <c r="C31">
        <f t="shared" ca="1" si="8"/>
        <v>8</v>
      </c>
      <c r="D31">
        <f t="shared" ca="1" si="8"/>
        <v>10</v>
      </c>
      <c r="E31">
        <f t="shared" ca="1" si="8"/>
        <v>4</v>
      </c>
      <c r="F31">
        <f t="shared" ca="1" si="8"/>
        <v>9</v>
      </c>
      <c r="G31">
        <f t="shared" ca="1" si="8"/>
        <v>9</v>
      </c>
      <c r="H31">
        <f t="shared" ca="1" si="8"/>
        <v>7</v>
      </c>
      <c r="I31">
        <f t="shared" ca="1" si="8"/>
        <v>5</v>
      </c>
      <c r="J31">
        <f t="shared" ca="1" si="8"/>
        <v>4</v>
      </c>
      <c r="K31">
        <f t="shared" ca="1" si="8"/>
        <v>6</v>
      </c>
      <c r="L31">
        <f t="shared" ca="1" si="8"/>
        <v>8</v>
      </c>
      <c r="M31">
        <f t="shared" ca="1" si="8"/>
        <v>2</v>
      </c>
      <c r="N31">
        <f t="shared" ca="1" si="8"/>
        <v>9</v>
      </c>
      <c r="O31">
        <f t="shared" ca="1" si="8"/>
        <v>2</v>
      </c>
      <c r="P31">
        <f t="shared" ca="1" si="8"/>
        <v>9</v>
      </c>
      <c r="Q31">
        <f t="shared" ca="1" si="8"/>
        <v>6</v>
      </c>
      <c r="R31">
        <f t="shared" ca="1" si="8"/>
        <v>2</v>
      </c>
      <c r="S31">
        <f t="shared" ca="1" si="9"/>
        <v>1</v>
      </c>
      <c r="T31">
        <f t="shared" ca="1" si="9"/>
        <v>6</v>
      </c>
      <c r="U31">
        <f t="shared" ca="1" si="9"/>
        <v>9</v>
      </c>
      <c r="V31">
        <f t="shared" ca="1" si="9"/>
        <v>5</v>
      </c>
      <c r="W31">
        <f t="shared" ca="1" si="9"/>
        <v>5</v>
      </c>
      <c r="X31">
        <f t="shared" ca="1" si="9"/>
        <v>4</v>
      </c>
      <c r="Y31">
        <f t="shared" ca="1" si="9"/>
        <v>4</v>
      </c>
      <c r="Z31">
        <f t="shared" ca="1" si="9"/>
        <v>9</v>
      </c>
      <c r="AA31">
        <f t="shared" ca="1" si="9"/>
        <v>1</v>
      </c>
      <c r="AB31">
        <f t="shared" ca="1" si="9"/>
        <v>2</v>
      </c>
      <c r="AC31">
        <f t="shared" ca="1" si="9"/>
        <v>3</v>
      </c>
      <c r="AD31">
        <f t="shared" ca="1" si="9"/>
        <v>10</v>
      </c>
      <c r="AE31">
        <f t="shared" ca="1" si="9"/>
        <v>6</v>
      </c>
      <c r="AH31" s="25">
        <f t="shared" ca="1" si="3"/>
        <v>165</v>
      </c>
      <c r="AI31">
        <v>167</v>
      </c>
      <c r="AJ31">
        <v>200</v>
      </c>
      <c r="AK31">
        <f t="shared" si="4"/>
        <v>33</v>
      </c>
      <c r="AL31" s="15">
        <f t="shared" ca="1" si="5"/>
        <v>33000</v>
      </c>
      <c r="AM31" s="15">
        <f t="shared" ca="1" si="6"/>
        <v>5445</v>
      </c>
    </row>
    <row r="32" spans="1:39">
      <c r="A32" s="27"/>
      <c r="B32" t="s">
        <v>49</v>
      </c>
      <c r="C32">
        <f t="shared" ca="1" si="8"/>
        <v>7</v>
      </c>
      <c r="D32">
        <f t="shared" ca="1" si="8"/>
        <v>9</v>
      </c>
      <c r="E32">
        <f t="shared" ca="1" si="8"/>
        <v>6</v>
      </c>
      <c r="F32">
        <f t="shared" ca="1" si="8"/>
        <v>3</v>
      </c>
      <c r="G32">
        <f t="shared" ca="1" si="8"/>
        <v>2</v>
      </c>
      <c r="H32">
        <f t="shared" ca="1" si="8"/>
        <v>4</v>
      </c>
      <c r="I32">
        <f t="shared" ca="1" si="8"/>
        <v>3</v>
      </c>
      <c r="J32">
        <f t="shared" ca="1" si="8"/>
        <v>6</v>
      </c>
      <c r="K32">
        <f t="shared" ca="1" si="8"/>
        <v>6</v>
      </c>
      <c r="L32">
        <f t="shared" ca="1" si="8"/>
        <v>1</v>
      </c>
      <c r="M32">
        <f t="shared" ca="1" si="8"/>
        <v>9</v>
      </c>
      <c r="N32">
        <f t="shared" ca="1" si="8"/>
        <v>10</v>
      </c>
      <c r="O32">
        <f t="shared" ca="1" si="8"/>
        <v>9</v>
      </c>
      <c r="P32">
        <f t="shared" ca="1" si="8"/>
        <v>6</v>
      </c>
      <c r="Q32">
        <f t="shared" ca="1" si="8"/>
        <v>5</v>
      </c>
      <c r="R32">
        <f t="shared" ca="1" si="8"/>
        <v>9</v>
      </c>
      <c r="S32">
        <f t="shared" ca="1" si="9"/>
        <v>2</v>
      </c>
      <c r="T32">
        <f t="shared" ca="1" si="9"/>
        <v>10</v>
      </c>
      <c r="U32">
        <f t="shared" ca="1" si="9"/>
        <v>9</v>
      </c>
      <c r="V32">
        <f t="shared" ca="1" si="9"/>
        <v>10</v>
      </c>
      <c r="W32">
        <f t="shared" ca="1" si="9"/>
        <v>4</v>
      </c>
      <c r="X32">
        <f t="shared" ca="1" si="9"/>
        <v>7</v>
      </c>
      <c r="Y32">
        <f t="shared" ca="1" si="9"/>
        <v>2</v>
      </c>
      <c r="Z32">
        <f t="shared" ca="1" si="9"/>
        <v>4</v>
      </c>
      <c r="AA32">
        <f t="shared" ca="1" si="9"/>
        <v>1</v>
      </c>
      <c r="AB32">
        <f t="shared" ca="1" si="9"/>
        <v>8</v>
      </c>
      <c r="AC32">
        <f t="shared" ca="1" si="9"/>
        <v>6</v>
      </c>
      <c r="AD32">
        <f t="shared" ca="1" si="9"/>
        <v>2</v>
      </c>
      <c r="AE32">
        <f t="shared" ca="1" si="9"/>
        <v>2</v>
      </c>
      <c r="AH32" s="25">
        <f t="shared" ca="1" si="3"/>
        <v>162</v>
      </c>
      <c r="AI32">
        <v>73</v>
      </c>
      <c r="AJ32">
        <v>100</v>
      </c>
      <c r="AK32">
        <f t="shared" si="4"/>
        <v>27</v>
      </c>
      <c r="AL32" s="15">
        <f t="shared" ca="1" si="5"/>
        <v>16200</v>
      </c>
      <c r="AM32" s="15">
        <f t="shared" ca="1" si="6"/>
        <v>4374</v>
      </c>
    </row>
    <row r="33" spans="1:39">
      <c r="A33" s="27"/>
      <c r="B33" t="s">
        <v>50</v>
      </c>
      <c r="C33">
        <f t="shared" ca="1" si="8"/>
        <v>8</v>
      </c>
      <c r="D33">
        <f t="shared" ca="1" si="8"/>
        <v>6</v>
      </c>
      <c r="E33">
        <f t="shared" ca="1" si="8"/>
        <v>9</v>
      </c>
      <c r="F33">
        <f t="shared" ca="1" si="8"/>
        <v>9</v>
      </c>
      <c r="G33">
        <f t="shared" ca="1" si="8"/>
        <v>6</v>
      </c>
      <c r="H33">
        <f t="shared" ca="1" si="8"/>
        <v>6</v>
      </c>
      <c r="I33">
        <f t="shared" ca="1" si="8"/>
        <v>2</v>
      </c>
      <c r="J33">
        <f t="shared" ca="1" si="8"/>
        <v>5</v>
      </c>
      <c r="K33">
        <f t="shared" ca="1" si="8"/>
        <v>10</v>
      </c>
      <c r="L33">
        <f t="shared" ca="1" si="8"/>
        <v>9</v>
      </c>
      <c r="M33">
        <f t="shared" ca="1" si="8"/>
        <v>7</v>
      </c>
      <c r="N33">
        <f t="shared" ca="1" si="8"/>
        <v>10</v>
      </c>
      <c r="O33">
        <f t="shared" ca="1" si="8"/>
        <v>6</v>
      </c>
      <c r="P33">
        <f t="shared" ca="1" si="8"/>
        <v>7</v>
      </c>
      <c r="Q33">
        <f t="shared" ca="1" si="8"/>
        <v>9</v>
      </c>
      <c r="R33">
        <f t="shared" ca="1" si="8"/>
        <v>7</v>
      </c>
      <c r="S33">
        <f t="shared" ca="1" si="9"/>
        <v>5</v>
      </c>
      <c r="T33">
        <f t="shared" ca="1" si="9"/>
        <v>5</v>
      </c>
      <c r="U33">
        <f t="shared" ca="1" si="9"/>
        <v>7</v>
      </c>
      <c r="V33">
        <f t="shared" ca="1" si="9"/>
        <v>6</v>
      </c>
      <c r="W33">
        <f t="shared" ca="1" si="9"/>
        <v>7</v>
      </c>
      <c r="X33">
        <f t="shared" ca="1" si="9"/>
        <v>6</v>
      </c>
      <c r="Y33">
        <f t="shared" ca="1" si="9"/>
        <v>10</v>
      </c>
      <c r="Z33">
        <f t="shared" ca="1" si="9"/>
        <v>4</v>
      </c>
      <c r="AA33">
        <f t="shared" ca="1" si="9"/>
        <v>4</v>
      </c>
      <c r="AB33">
        <f t="shared" ca="1" si="9"/>
        <v>6</v>
      </c>
      <c r="AC33">
        <f t="shared" ca="1" si="9"/>
        <v>9</v>
      </c>
      <c r="AD33">
        <f t="shared" ca="1" si="9"/>
        <v>10</v>
      </c>
      <c r="AE33">
        <f t="shared" ca="1" si="9"/>
        <v>10</v>
      </c>
      <c r="AH33" s="25">
        <f t="shared" ca="1" si="3"/>
        <v>205</v>
      </c>
      <c r="AI33">
        <v>367</v>
      </c>
      <c r="AJ33">
        <v>450</v>
      </c>
      <c r="AK33">
        <f t="shared" si="4"/>
        <v>83</v>
      </c>
      <c r="AL33" s="15">
        <f t="shared" ca="1" si="5"/>
        <v>92250</v>
      </c>
      <c r="AM33" s="15">
        <f t="shared" ca="1" si="6"/>
        <v>17015</v>
      </c>
    </row>
    <row r="34" spans="1:39">
      <c r="A34" s="27"/>
      <c r="B34" t="s">
        <v>51</v>
      </c>
      <c r="C34">
        <f t="shared" ca="1" si="8"/>
        <v>3</v>
      </c>
      <c r="D34">
        <f t="shared" ca="1" si="8"/>
        <v>9</v>
      </c>
      <c r="E34">
        <f t="shared" ca="1" si="8"/>
        <v>7</v>
      </c>
      <c r="F34">
        <f t="shared" ca="1" si="8"/>
        <v>4</v>
      </c>
      <c r="G34">
        <f t="shared" ca="1" si="8"/>
        <v>2</v>
      </c>
      <c r="H34">
        <f t="shared" ca="1" si="8"/>
        <v>5</v>
      </c>
      <c r="I34">
        <f t="shared" ca="1" si="8"/>
        <v>10</v>
      </c>
      <c r="J34">
        <f t="shared" ca="1" si="8"/>
        <v>6</v>
      </c>
      <c r="K34">
        <f t="shared" ca="1" si="8"/>
        <v>8</v>
      </c>
      <c r="L34">
        <f t="shared" ca="1" si="8"/>
        <v>3</v>
      </c>
      <c r="M34">
        <f t="shared" ca="1" si="8"/>
        <v>4</v>
      </c>
      <c r="N34">
        <f t="shared" ca="1" si="8"/>
        <v>5</v>
      </c>
      <c r="O34">
        <f t="shared" ca="1" si="8"/>
        <v>6</v>
      </c>
      <c r="P34">
        <f t="shared" ca="1" si="8"/>
        <v>6</v>
      </c>
      <c r="Q34">
        <f t="shared" ca="1" si="8"/>
        <v>8</v>
      </c>
      <c r="R34">
        <f t="shared" ca="1" si="8"/>
        <v>1</v>
      </c>
      <c r="S34">
        <f t="shared" ca="1" si="9"/>
        <v>3</v>
      </c>
      <c r="T34">
        <f t="shared" ca="1" si="9"/>
        <v>1</v>
      </c>
      <c r="U34">
        <f t="shared" ca="1" si="9"/>
        <v>5</v>
      </c>
      <c r="V34">
        <f t="shared" ca="1" si="9"/>
        <v>6</v>
      </c>
      <c r="W34">
        <f t="shared" ca="1" si="9"/>
        <v>10</v>
      </c>
      <c r="X34">
        <f t="shared" ca="1" si="9"/>
        <v>9</v>
      </c>
      <c r="Y34">
        <f t="shared" ca="1" si="9"/>
        <v>1</v>
      </c>
      <c r="Z34">
        <f t="shared" ca="1" si="9"/>
        <v>1</v>
      </c>
      <c r="AA34">
        <f t="shared" ca="1" si="9"/>
        <v>2</v>
      </c>
      <c r="AB34">
        <f t="shared" ca="1" si="9"/>
        <v>2</v>
      </c>
      <c r="AC34">
        <f t="shared" ca="1" si="9"/>
        <v>3</v>
      </c>
      <c r="AD34">
        <f t="shared" ca="1" si="9"/>
        <v>8</v>
      </c>
      <c r="AE34">
        <f t="shared" ca="1" si="9"/>
        <v>2</v>
      </c>
      <c r="AH34" s="25">
        <f t="shared" ca="1" si="3"/>
        <v>140</v>
      </c>
      <c r="AI34">
        <v>342</v>
      </c>
      <c r="AJ34">
        <v>390</v>
      </c>
      <c r="AK34">
        <f t="shared" si="4"/>
        <v>48</v>
      </c>
      <c r="AL34" s="15">
        <f t="shared" ca="1" si="5"/>
        <v>54600</v>
      </c>
      <c r="AM34" s="15">
        <f t="shared" ca="1" si="6"/>
        <v>6720</v>
      </c>
    </row>
    <row r="35" spans="1:39">
      <c r="A35" s="27"/>
      <c r="B35" t="s">
        <v>52</v>
      </c>
      <c r="C35">
        <f t="shared" ca="1" si="8"/>
        <v>2</v>
      </c>
      <c r="D35">
        <f t="shared" ca="1" si="8"/>
        <v>10</v>
      </c>
      <c r="E35">
        <f t="shared" ca="1" si="8"/>
        <v>3</v>
      </c>
      <c r="F35">
        <f t="shared" ca="1" si="8"/>
        <v>7</v>
      </c>
      <c r="G35">
        <f t="shared" ca="1" si="8"/>
        <v>5</v>
      </c>
      <c r="H35">
        <f t="shared" ca="1" si="8"/>
        <v>7</v>
      </c>
      <c r="I35">
        <f t="shared" ca="1" si="8"/>
        <v>7</v>
      </c>
      <c r="J35">
        <f t="shared" ca="1" si="8"/>
        <v>1</v>
      </c>
      <c r="K35">
        <f t="shared" ca="1" si="8"/>
        <v>7</v>
      </c>
      <c r="L35">
        <f t="shared" ca="1" si="8"/>
        <v>7</v>
      </c>
      <c r="M35">
        <f t="shared" ca="1" si="8"/>
        <v>6</v>
      </c>
      <c r="N35">
        <f t="shared" ca="1" si="8"/>
        <v>3</v>
      </c>
      <c r="O35">
        <f t="shared" ca="1" si="8"/>
        <v>4</v>
      </c>
      <c r="P35">
        <f t="shared" ca="1" si="8"/>
        <v>10</v>
      </c>
      <c r="Q35">
        <f t="shared" ca="1" si="8"/>
        <v>5</v>
      </c>
      <c r="R35">
        <f t="shared" ref="R35:AE50" ca="1" si="10">RANDBETWEEN(1,10)</f>
        <v>9</v>
      </c>
      <c r="S35">
        <f t="shared" ca="1" si="10"/>
        <v>3</v>
      </c>
      <c r="T35">
        <f t="shared" ca="1" si="10"/>
        <v>6</v>
      </c>
      <c r="U35">
        <f t="shared" ca="1" si="10"/>
        <v>7</v>
      </c>
      <c r="V35">
        <f t="shared" ca="1" si="10"/>
        <v>7</v>
      </c>
      <c r="W35">
        <f t="shared" ca="1" si="10"/>
        <v>8</v>
      </c>
      <c r="X35">
        <f t="shared" ca="1" si="10"/>
        <v>1</v>
      </c>
      <c r="Y35">
        <f t="shared" ca="1" si="10"/>
        <v>2</v>
      </c>
      <c r="Z35">
        <f t="shared" ca="1" si="10"/>
        <v>5</v>
      </c>
      <c r="AA35">
        <f t="shared" ca="1" si="10"/>
        <v>10</v>
      </c>
      <c r="AB35">
        <f t="shared" ca="1" si="10"/>
        <v>8</v>
      </c>
      <c r="AC35">
        <f t="shared" ca="1" si="10"/>
        <v>7</v>
      </c>
      <c r="AD35">
        <f t="shared" ca="1" si="10"/>
        <v>10</v>
      </c>
      <c r="AE35">
        <f t="shared" ca="1" si="10"/>
        <v>2</v>
      </c>
      <c r="AH35" s="25">
        <f t="shared" ca="1" si="3"/>
        <v>169</v>
      </c>
      <c r="AI35">
        <v>363</v>
      </c>
      <c r="AJ35">
        <v>420</v>
      </c>
      <c r="AK35">
        <f t="shared" si="4"/>
        <v>57</v>
      </c>
      <c r="AL35" s="15">
        <f t="shared" ca="1" si="5"/>
        <v>70980</v>
      </c>
      <c r="AM35" s="15">
        <f t="shared" ca="1" si="6"/>
        <v>9633</v>
      </c>
    </row>
    <row r="36" spans="1:39">
      <c r="A36" s="27"/>
      <c r="B36" t="s">
        <v>53</v>
      </c>
      <c r="C36">
        <f t="shared" ref="C36:R51" ca="1" si="11">RANDBETWEEN(1,10)</f>
        <v>1</v>
      </c>
      <c r="D36">
        <f t="shared" ca="1" si="11"/>
        <v>4</v>
      </c>
      <c r="E36">
        <f t="shared" ca="1" si="11"/>
        <v>5</v>
      </c>
      <c r="F36">
        <f t="shared" ca="1" si="11"/>
        <v>6</v>
      </c>
      <c r="G36">
        <f t="shared" ca="1" si="11"/>
        <v>1</v>
      </c>
      <c r="H36">
        <f t="shared" ca="1" si="11"/>
        <v>5</v>
      </c>
      <c r="I36">
        <f t="shared" ca="1" si="11"/>
        <v>8</v>
      </c>
      <c r="J36">
        <f t="shared" ca="1" si="11"/>
        <v>7</v>
      </c>
      <c r="K36">
        <f t="shared" ca="1" si="11"/>
        <v>3</v>
      </c>
      <c r="L36">
        <f t="shared" ca="1" si="11"/>
        <v>1</v>
      </c>
      <c r="M36">
        <f t="shared" ca="1" si="11"/>
        <v>9</v>
      </c>
      <c r="N36">
        <f t="shared" ca="1" si="11"/>
        <v>6</v>
      </c>
      <c r="O36">
        <f t="shared" ca="1" si="11"/>
        <v>5</v>
      </c>
      <c r="P36">
        <f t="shared" ca="1" si="11"/>
        <v>3</v>
      </c>
      <c r="Q36">
        <f t="shared" ca="1" si="11"/>
        <v>3</v>
      </c>
      <c r="R36">
        <f t="shared" ca="1" si="11"/>
        <v>4</v>
      </c>
      <c r="S36">
        <f t="shared" ca="1" si="10"/>
        <v>8</v>
      </c>
      <c r="T36">
        <f t="shared" ca="1" si="10"/>
        <v>10</v>
      </c>
      <c r="U36">
        <f t="shared" ca="1" si="10"/>
        <v>5</v>
      </c>
      <c r="V36">
        <f t="shared" ca="1" si="10"/>
        <v>6</v>
      </c>
      <c r="W36">
        <f t="shared" ca="1" si="10"/>
        <v>7</v>
      </c>
      <c r="X36">
        <f t="shared" ca="1" si="10"/>
        <v>7</v>
      </c>
      <c r="Y36">
        <f t="shared" ca="1" si="10"/>
        <v>1</v>
      </c>
      <c r="Z36">
        <f t="shared" ca="1" si="10"/>
        <v>7</v>
      </c>
      <c r="AA36">
        <f t="shared" ca="1" si="10"/>
        <v>1</v>
      </c>
      <c r="AB36">
        <f t="shared" ca="1" si="10"/>
        <v>6</v>
      </c>
      <c r="AC36">
        <f t="shared" ca="1" si="10"/>
        <v>6</v>
      </c>
      <c r="AD36">
        <f t="shared" ca="1" si="10"/>
        <v>1</v>
      </c>
      <c r="AE36">
        <f t="shared" ca="1" si="10"/>
        <v>6</v>
      </c>
      <c r="AH36" s="25">
        <f t="shared" ca="1" si="3"/>
        <v>142</v>
      </c>
      <c r="AI36">
        <v>263</v>
      </c>
      <c r="AJ36">
        <v>300</v>
      </c>
      <c r="AK36">
        <f t="shared" si="4"/>
        <v>37</v>
      </c>
      <c r="AL36" s="15">
        <f t="shared" ca="1" si="5"/>
        <v>42600</v>
      </c>
      <c r="AM36" s="15">
        <f t="shared" ca="1" si="6"/>
        <v>5254</v>
      </c>
    </row>
    <row r="37" spans="1:39">
      <c r="A37" s="27"/>
      <c r="B37" t="s">
        <v>54</v>
      </c>
      <c r="C37">
        <f t="shared" ca="1" si="11"/>
        <v>3</v>
      </c>
      <c r="D37">
        <f t="shared" ca="1" si="11"/>
        <v>3</v>
      </c>
      <c r="E37">
        <f t="shared" ca="1" si="11"/>
        <v>4</v>
      </c>
      <c r="F37">
        <f t="shared" ca="1" si="11"/>
        <v>9</v>
      </c>
      <c r="G37">
        <f t="shared" ca="1" si="11"/>
        <v>5</v>
      </c>
      <c r="H37">
        <f t="shared" ca="1" si="11"/>
        <v>5</v>
      </c>
      <c r="I37">
        <f t="shared" ca="1" si="11"/>
        <v>8</v>
      </c>
      <c r="J37">
        <f t="shared" ca="1" si="11"/>
        <v>3</v>
      </c>
      <c r="K37">
        <f t="shared" ca="1" si="11"/>
        <v>5</v>
      </c>
      <c r="L37">
        <f t="shared" ca="1" si="11"/>
        <v>2</v>
      </c>
      <c r="M37">
        <f t="shared" ca="1" si="11"/>
        <v>8</v>
      </c>
      <c r="N37">
        <f t="shared" ca="1" si="11"/>
        <v>5</v>
      </c>
      <c r="O37">
        <f t="shared" ca="1" si="11"/>
        <v>2</v>
      </c>
      <c r="P37">
        <f t="shared" ca="1" si="11"/>
        <v>8</v>
      </c>
      <c r="Q37">
        <f t="shared" ca="1" si="11"/>
        <v>3</v>
      </c>
      <c r="R37">
        <f t="shared" ca="1" si="11"/>
        <v>3</v>
      </c>
      <c r="S37">
        <f t="shared" ca="1" si="10"/>
        <v>10</v>
      </c>
      <c r="T37">
        <f t="shared" ca="1" si="10"/>
        <v>7</v>
      </c>
      <c r="U37">
        <f t="shared" ca="1" si="10"/>
        <v>7</v>
      </c>
      <c r="V37">
        <f t="shared" ca="1" si="10"/>
        <v>3</v>
      </c>
      <c r="W37">
        <f t="shared" ca="1" si="10"/>
        <v>9</v>
      </c>
      <c r="X37">
        <f t="shared" ca="1" si="10"/>
        <v>5</v>
      </c>
      <c r="Y37">
        <f t="shared" ca="1" si="10"/>
        <v>3</v>
      </c>
      <c r="Z37">
        <f t="shared" ca="1" si="10"/>
        <v>3</v>
      </c>
      <c r="AA37">
        <f t="shared" ca="1" si="10"/>
        <v>1</v>
      </c>
      <c r="AB37">
        <f t="shared" ca="1" si="10"/>
        <v>1</v>
      </c>
      <c r="AC37">
        <f t="shared" ca="1" si="10"/>
        <v>5</v>
      </c>
      <c r="AD37">
        <f t="shared" ca="1" si="10"/>
        <v>1</v>
      </c>
      <c r="AE37">
        <f t="shared" ca="1" si="10"/>
        <v>5</v>
      </c>
      <c r="AH37" s="25">
        <f t="shared" ca="1" si="3"/>
        <v>136</v>
      </c>
      <c r="AI37">
        <v>96</v>
      </c>
      <c r="AJ37">
        <v>120</v>
      </c>
      <c r="AK37">
        <f t="shared" si="4"/>
        <v>24</v>
      </c>
      <c r="AL37" s="15">
        <f t="shared" ca="1" si="5"/>
        <v>16320</v>
      </c>
      <c r="AM37" s="15">
        <f t="shared" ca="1" si="6"/>
        <v>3264</v>
      </c>
    </row>
    <row r="38" spans="1:39">
      <c r="A38" s="27"/>
      <c r="B38" t="s">
        <v>55</v>
      </c>
      <c r="C38">
        <f t="shared" ca="1" si="11"/>
        <v>5</v>
      </c>
      <c r="D38">
        <f t="shared" ca="1" si="11"/>
        <v>1</v>
      </c>
      <c r="E38">
        <f t="shared" ca="1" si="11"/>
        <v>2</v>
      </c>
      <c r="F38">
        <f t="shared" ca="1" si="11"/>
        <v>10</v>
      </c>
      <c r="G38">
        <f t="shared" ca="1" si="11"/>
        <v>9</v>
      </c>
      <c r="H38">
        <f t="shared" ca="1" si="11"/>
        <v>6</v>
      </c>
      <c r="I38">
        <f t="shared" ca="1" si="11"/>
        <v>6</v>
      </c>
      <c r="J38">
        <f t="shared" ca="1" si="11"/>
        <v>9</v>
      </c>
      <c r="K38">
        <f t="shared" ca="1" si="11"/>
        <v>1</v>
      </c>
      <c r="L38">
        <f t="shared" ca="1" si="11"/>
        <v>3</v>
      </c>
      <c r="M38">
        <f t="shared" ca="1" si="11"/>
        <v>3</v>
      </c>
      <c r="N38">
        <f t="shared" ca="1" si="11"/>
        <v>10</v>
      </c>
      <c r="O38">
        <f t="shared" ca="1" si="11"/>
        <v>1</v>
      </c>
      <c r="P38">
        <f t="shared" ca="1" si="11"/>
        <v>6</v>
      </c>
      <c r="Q38">
        <f t="shared" ca="1" si="11"/>
        <v>8</v>
      </c>
      <c r="R38">
        <f t="shared" ca="1" si="11"/>
        <v>8</v>
      </c>
      <c r="S38">
        <f t="shared" ca="1" si="10"/>
        <v>8</v>
      </c>
      <c r="T38">
        <f t="shared" ca="1" si="10"/>
        <v>10</v>
      </c>
      <c r="U38">
        <f t="shared" ca="1" si="10"/>
        <v>2</v>
      </c>
      <c r="V38">
        <f t="shared" ca="1" si="10"/>
        <v>4</v>
      </c>
      <c r="W38">
        <f t="shared" ca="1" si="10"/>
        <v>2</v>
      </c>
      <c r="X38">
        <f t="shared" ca="1" si="10"/>
        <v>1</v>
      </c>
      <c r="Y38">
        <f t="shared" ca="1" si="10"/>
        <v>1</v>
      </c>
      <c r="Z38">
        <f t="shared" ca="1" si="10"/>
        <v>4</v>
      </c>
      <c r="AA38">
        <f t="shared" ca="1" si="10"/>
        <v>10</v>
      </c>
      <c r="AB38">
        <f t="shared" ca="1" si="10"/>
        <v>2</v>
      </c>
      <c r="AC38">
        <f t="shared" ca="1" si="10"/>
        <v>4</v>
      </c>
      <c r="AD38">
        <f t="shared" ca="1" si="10"/>
        <v>10</v>
      </c>
      <c r="AE38">
        <f t="shared" ca="1" si="10"/>
        <v>5</v>
      </c>
      <c r="AH38" s="25">
        <f t="shared" ca="1" si="3"/>
        <v>151</v>
      </c>
      <c r="AI38">
        <v>196</v>
      </c>
      <c r="AJ38">
        <v>230</v>
      </c>
      <c r="AK38">
        <f t="shared" si="4"/>
        <v>34</v>
      </c>
      <c r="AL38" s="15">
        <f t="shared" ca="1" si="5"/>
        <v>34730</v>
      </c>
      <c r="AM38" s="15">
        <f t="shared" ca="1" si="6"/>
        <v>5134</v>
      </c>
    </row>
    <row r="39" spans="1:39">
      <c r="A39" s="27"/>
      <c r="B39" t="s">
        <v>56</v>
      </c>
      <c r="C39">
        <f t="shared" ca="1" si="11"/>
        <v>9</v>
      </c>
      <c r="D39">
        <f t="shared" ca="1" si="11"/>
        <v>4</v>
      </c>
      <c r="E39">
        <f t="shared" ca="1" si="11"/>
        <v>7</v>
      </c>
      <c r="F39">
        <f t="shared" ca="1" si="11"/>
        <v>2</v>
      </c>
      <c r="G39">
        <f t="shared" ca="1" si="11"/>
        <v>6</v>
      </c>
      <c r="H39">
        <f t="shared" ca="1" si="11"/>
        <v>5</v>
      </c>
      <c r="I39">
        <f t="shared" ca="1" si="11"/>
        <v>7</v>
      </c>
      <c r="J39">
        <f t="shared" ca="1" si="11"/>
        <v>2</v>
      </c>
      <c r="K39">
        <f t="shared" ca="1" si="11"/>
        <v>10</v>
      </c>
      <c r="L39">
        <f t="shared" ca="1" si="11"/>
        <v>3</v>
      </c>
      <c r="M39">
        <f t="shared" ca="1" si="11"/>
        <v>6</v>
      </c>
      <c r="N39">
        <f t="shared" ca="1" si="11"/>
        <v>9</v>
      </c>
      <c r="O39">
        <f t="shared" ca="1" si="11"/>
        <v>2</v>
      </c>
      <c r="P39">
        <f t="shared" ca="1" si="11"/>
        <v>5</v>
      </c>
      <c r="Q39">
        <f t="shared" ca="1" si="11"/>
        <v>1</v>
      </c>
      <c r="R39">
        <f t="shared" ca="1" si="11"/>
        <v>3</v>
      </c>
      <c r="S39">
        <f t="shared" ca="1" si="10"/>
        <v>2</v>
      </c>
      <c r="T39">
        <f t="shared" ca="1" si="10"/>
        <v>8</v>
      </c>
      <c r="U39">
        <f t="shared" ca="1" si="10"/>
        <v>5</v>
      </c>
      <c r="V39">
        <f t="shared" ca="1" si="10"/>
        <v>7</v>
      </c>
      <c r="W39">
        <f t="shared" ca="1" si="10"/>
        <v>8</v>
      </c>
      <c r="X39">
        <f t="shared" ca="1" si="10"/>
        <v>9</v>
      </c>
      <c r="Y39">
        <f t="shared" ca="1" si="10"/>
        <v>1</v>
      </c>
      <c r="Z39">
        <f t="shared" ca="1" si="10"/>
        <v>3</v>
      </c>
      <c r="AA39">
        <f t="shared" ca="1" si="10"/>
        <v>8</v>
      </c>
      <c r="AB39">
        <f t="shared" ca="1" si="10"/>
        <v>5</v>
      </c>
      <c r="AC39">
        <f t="shared" ca="1" si="10"/>
        <v>2</v>
      </c>
      <c r="AD39">
        <f t="shared" ca="1" si="10"/>
        <v>5</v>
      </c>
      <c r="AE39">
        <f t="shared" ca="1" si="10"/>
        <v>9</v>
      </c>
      <c r="AH39" s="25">
        <f t="shared" ca="1" si="3"/>
        <v>153</v>
      </c>
      <c r="AI39">
        <v>98</v>
      </c>
      <c r="AJ39">
        <v>115</v>
      </c>
      <c r="AK39">
        <f t="shared" si="4"/>
        <v>17</v>
      </c>
      <c r="AL39" s="15">
        <f t="shared" ca="1" si="5"/>
        <v>17595</v>
      </c>
      <c r="AM39" s="15">
        <f t="shared" ca="1" si="6"/>
        <v>2601</v>
      </c>
    </row>
    <row r="40" spans="1:39">
      <c r="A40" s="27"/>
      <c r="B40" t="s">
        <v>57</v>
      </c>
      <c r="C40">
        <f t="shared" ca="1" si="11"/>
        <v>1</v>
      </c>
      <c r="D40">
        <f t="shared" ca="1" si="11"/>
        <v>7</v>
      </c>
      <c r="E40">
        <f t="shared" ca="1" si="11"/>
        <v>5</v>
      </c>
      <c r="F40">
        <f t="shared" ca="1" si="11"/>
        <v>2</v>
      </c>
      <c r="G40">
        <f t="shared" ca="1" si="11"/>
        <v>1</v>
      </c>
      <c r="H40">
        <f t="shared" ca="1" si="11"/>
        <v>10</v>
      </c>
      <c r="I40">
        <f t="shared" ca="1" si="11"/>
        <v>5</v>
      </c>
      <c r="J40">
        <f t="shared" ca="1" si="11"/>
        <v>6</v>
      </c>
      <c r="K40">
        <f t="shared" ca="1" si="11"/>
        <v>6</v>
      </c>
      <c r="L40">
        <f t="shared" ca="1" si="11"/>
        <v>6</v>
      </c>
      <c r="M40">
        <f t="shared" ca="1" si="11"/>
        <v>9</v>
      </c>
      <c r="N40">
        <f t="shared" ca="1" si="11"/>
        <v>7</v>
      </c>
      <c r="O40">
        <f t="shared" ca="1" si="11"/>
        <v>10</v>
      </c>
      <c r="P40">
        <f t="shared" ca="1" si="11"/>
        <v>10</v>
      </c>
      <c r="Q40">
        <f t="shared" ca="1" si="11"/>
        <v>3</v>
      </c>
      <c r="R40">
        <f t="shared" ca="1" si="11"/>
        <v>10</v>
      </c>
      <c r="S40">
        <f t="shared" ca="1" si="10"/>
        <v>5</v>
      </c>
      <c r="T40">
        <f t="shared" ca="1" si="10"/>
        <v>8</v>
      </c>
      <c r="U40">
        <f t="shared" ca="1" si="10"/>
        <v>9</v>
      </c>
      <c r="V40">
        <f t="shared" ca="1" si="10"/>
        <v>9</v>
      </c>
      <c r="W40">
        <f t="shared" ca="1" si="10"/>
        <v>10</v>
      </c>
      <c r="X40">
        <f t="shared" ca="1" si="10"/>
        <v>9</v>
      </c>
      <c r="Y40">
        <f t="shared" ca="1" si="10"/>
        <v>10</v>
      </c>
      <c r="Z40">
        <f t="shared" ca="1" si="10"/>
        <v>9</v>
      </c>
      <c r="AA40">
        <f t="shared" ca="1" si="10"/>
        <v>6</v>
      </c>
      <c r="AB40">
        <f t="shared" ca="1" si="10"/>
        <v>10</v>
      </c>
      <c r="AC40">
        <f t="shared" ca="1" si="10"/>
        <v>2</v>
      </c>
      <c r="AD40">
        <f t="shared" ca="1" si="10"/>
        <v>1</v>
      </c>
      <c r="AE40">
        <f t="shared" ca="1" si="10"/>
        <v>4</v>
      </c>
      <c r="AH40" s="25">
        <f t="shared" ca="1" si="3"/>
        <v>190</v>
      </c>
      <c r="AI40">
        <v>75</v>
      </c>
      <c r="AJ40">
        <v>99</v>
      </c>
      <c r="AK40">
        <f t="shared" si="4"/>
        <v>24</v>
      </c>
      <c r="AL40" s="15">
        <f t="shared" ca="1" si="5"/>
        <v>18810</v>
      </c>
      <c r="AM40" s="15">
        <f t="shared" ca="1" si="6"/>
        <v>4560</v>
      </c>
    </row>
    <row r="41" spans="1:39">
      <c r="A41" s="27"/>
      <c r="B41" t="s">
        <v>58</v>
      </c>
      <c r="C41">
        <f t="shared" ca="1" si="11"/>
        <v>9</v>
      </c>
      <c r="D41">
        <f t="shared" ca="1" si="11"/>
        <v>1</v>
      </c>
      <c r="E41">
        <f t="shared" ca="1" si="11"/>
        <v>6</v>
      </c>
      <c r="F41">
        <f t="shared" ca="1" si="11"/>
        <v>1</v>
      </c>
      <c r="G41">
        <f t="shared" ca="1" si="11"/>
        <v>5</v>
      </c>
      <c r="H41">
        <f t="shared" ca="1" si="11"/>
        <v>6</v>
      </c>
      <c r="I41">
        <f t="shared" ca="1" si="11"/>
        <v>4</v>
      </c>
      <c r="J41">
        <f t="shared" ca="1" si="11"/>
        <v>4</v>
      </c>
      <c r="K41">
        <f t="shared" ca="1" si="11"/>
        <v>6</v>
      </c>
      <c r="L41">
        <f t="shared" ca="1" si="11"/>
        <v>7</v>
      </c>
      <c r="M41">
        <f t="shared" ca="1" si="11"/>
        <v>2</v>
      </c>
      <c r="N41">
        <f t="shared" ca="1" si="11"/>
        <v>9</v>
      </c>
      <c r="O41">
        <f t="shared" ca="1" si="11"/>
        <v>5</v>
      </c>
      <c r="P41">
        <f t="shared" ca="1" si="11"/>
        <v>10</v>
      </c>
      <c r="Q41">
        <f t="shared" ca="1" si="11"/>
        <v>2</v>
      </c>
      <c r="R41">
        <f t="shared" ca="1" si="11"/>
        <v>8</v>
      </c>
      <c r="S41">
        <f t="shared" ca="1" si="10"/>
        <v>8</v>
      </c>
      <c r="T41">
        <f t="shared" ca="1" si="10"/>
        <v>5</v>
      </c>
      <c r="U41">
        <f t="shared" ca="1" si="10"/>
        <v>7</v>
      </c>
      <c r="V41">
        <f t="shared" ca="1" si="10"/>
        <v>7</v>
      </c>
      <c r="W41">
        <f t="shared" ca="1" si="10"/>
        <v>9</v>
      </c>
      <c r="X41">
        <f t="shared" ca="1" si="10"/>
        <v>9</v>
      </c>
      <c r="Y41">
        <f t="shared" ca="1" si="10"/>
        <v>5</v>
      </c>
      <c r="Z41">
        <f t="shared" ca="1" si="10"/>
        <v>7</v>
      </c>
      <c r="AA41">
        <f t="shared" ca="1" si="10"/>
        <v>8</v>
      </c>
      <c r="AB41">
        <f t="shared" ca="1" si="10"/>
        <v>10</v>
      </c>
      <c r="AC41">
        <f t="shared" ca="1" si="10"/>
        <v>5</v>
      </c>
      <c r="AD41">
        <f t="shared" ca="1" si="10"/>
        <v>7</v>
      </c>
      <c r="AE41">
        <f t="shared" ca="1" si="10"/>
        <v>1</v>
      </c>
      <c r="AH41" s="25">
        <f t="shared" ca="1" si="3"/>
        <v>173</v>
      </c>
      <c r="AI41">
        <v>105</v>
      </c>
      <c r="AJ41">
        <v>140</v>
      </c>
      <c r="AK41">
        <f t="shared" si="4"/>
        <v>35</v>
      </c>
      <c r="AL41" s="15">
        <f t="shared" ca="1" si="5"/>
        <v>24220</v>
      </c>
      <c r="AM41" s="15">
        <f t="shared" ca="1" si="6"/>
        <v>6055</v>
      </c>
    </row>
    <row r="42" spans="1:39">
      <c r="A42" s="27"/>
      <c r="B42" t="s">
        <v>59</v>
      </c>
      <c r="C42">
        <f t="shared" ca="1" si="11"/>
        <v>1</v>
      </c>
      <c r="D42">
        <f t="shared" ca="1" si="11"/>
        <v>1</v>
      </c>
      <c r="E42">
        <f t="shared" ca="1" si="11"/>
        <v>1</v>
      </c>
      <c r="F42">
        <f t="shared" ca="1" si="11"/>
        <v>1</v>
      </c>
      <c r="G42">
        <f t="shared" ca="1" si="11"/>
        <v>10</v>
      </c>
      <c r="H42">
        <f t="shared" ca="1" si="11"/>
        <v>10</v>
      </c>
      <c r="I42">
        <f t="shared" ca="1" si="11"/>
        <v>10</v>
      </c>
      <c r="J42">
        <f t="shared" ca="1" si="11"/>
        <v>9</v>
      </c>
      <c r="K42">
        <f t="shared" ca="1" si="11"/>
        <v>3</v>
      </c>
      <c r="L42">
        <f t="shared" ca="1" si="11"/>
        <v>3</v>
      </c>
      <c r="M42">
        <f t="shared" ca="1" si="11"/>
        <v>5</v>
      </c>
      <c r="N42">
        <f t="shared" ca="1" si="11"/>
        <v>10</v>
      </c>
      <c r="O42">
        <f t="shared" ca="1" si="11"/>
        <v>10</v>
      </c>
      <c r="P42">
        <f t="shared" ca="1" si="11"/>
        <v>2</v>
      </c>
      <c r="Q42">
        <f t="shared" ca="1" si="11"/>
        <v>10</v>
      </c>
      <c r="R42">
        <f t="shared" ca="1" si="11"/>
        <v>6</v>
      </c>
      <c r="S42">
        <f t="shared" ca="1" si="10"/>
        <v>3</v>
      </c>
      <c r="T42">
        <f t="shared" ca="1" si="10"/>
        <v>5</v>
      </c>
      <c r="U42">
        <f t="shared" ca="1" si="10"/>
        <v>1</v>
      </c>
      <c r="V42">
        <f t="shared" ca="1" si="10"/>
        <v>2</v>
      </c>
      <c r="W42">
        <f t="shared" ca="1" si="10"/>
        <v>2</v>
      </c>
      <c r="X42">
        <f t="shared" ca="1" si="10"/>
        <v>9</v>
      </c>
      <c r="Y42">
        <f t="shared" ca="1" si="10"/>
        <v>9</v>
      </c>
      <c r="Z42">
        <f t="shared" ca="1" si="10"/>
        <v>5</v>
      </c>
      <c r="AA42">
        <f t="shared" ca="1" si="10"/>
        <v>2</v>
      </c>
      <c r="AB42">
        <f t="shared" ca="1" si="10"/>
        <v>6</v>
      </c>
      <c r="AC42">
        <f t="shared" ca="1" si="10"/>
        <v>5</v>
      </c>
      <c r="AD42">
        <f t="shared" ca="1" si="10"/>
        <v>7</v>
      </c>
      <c r="AE42">
        <f t="shared" ca="1" si="10"/>
        <v>8</v>
      </c>
      <c r="AH42" s="25">
        <f t="shared" ca="1" si="3"/>
        <v>156</v>
      </c>
      <c r="AI42">
        <v>37</v>
      </c>
      <c r="AJ42">
        <v>50</v>
      </c>
      <c r="AK42">
        <f t="shared" si="4"/>
        <v>13</v>
      </c>
      <c r="AL42" s="15">
        <f t="shared" ca="1" si="5"/>
        <v>7800</v>
      </c>
      <c r="AM42" s="15">
        <f t="shared" ca="1" si="6"/>
        <v>2028</v>
      </c>
    </row>
    <row r="43" spans="1:39">
      <c r="A43" s="27"/>
      <c r="B43" t="s">
        <v>60</v>
      </c>
      <c r="C43">
        <f t="shared" ca="1" si="11"/>
        <v>2</v>
      </c>
      <c r="D43">
        <f t="shared" ca="1" si="11"/>
        <v>1</v>
      </c>
      <c r="E43">
        <f t="shared" ca="1" si="11"/>
        <v>4</v>
      </c>
      <c r="F43">
        <f t="shared" ca="1" si="11"/>
        <v>9</v>
      </c>
      <c r="G43">
        <f t="shared" ca="1" si="11"/>
        <v>7</v>
      </c>
      <c r="H43">
        <f t="shared" ca="1" si="11"/>
        <v>9</v>
      </c>
      <c r="I43">
        <f t="shared" ca="1" si="11"/>
        <v>2</v>
      </c>
      <c r="J43">
        <f t="shared" ca="1" si="11"/>
        <v>3</v>
      </c>
      <c r="K43">
        <f t="shared" ca="1" si="11"/>
        <v>3</v>
      </c>
      <c r="L43">
        <f t="shared" ca="1" si="11"/>
        <v>9</v>
      </c>
      <c r="M43">
        <f t="shared" ca="1" si="11"/>
        <v>8</v>
      </c>
      <c r="N43">
        <f t="shared" ca="1" si="11"/>
        <v>4</v>
      </c>
      <c r="O43">
        <f t="shared" ca="1" si="11"/>
        <v>9</v>
      </c>
      <c r="P43">
        <f t="shared" ca="1" si="11"/>
        <v>7</v>
      </c>
      <c r="Q43">
        <f t="shared" ca="1" si="11"/>
        <v>9</v>
      </c>
      <c r="R43">
        <f t="shared" ca="1" si="11"/>
        <v>9</v>
      </c>
      <c r="S43">
        <f t="shared" ca="1" si="10"/>
        <v>9</v>
      </c>
      <c r="T43">
        <f t="shared" ca="1" si="10"/>
        <v>2</v>
      </c>
      <c r="U43">
        <f t="shared" ca="1" si="10"/>
        <v>7</v>
      </c>
      <c r="V43">
        <f t="shared" ca="1" si="10"/>
        <v>7</v>
      </c>
      <c r="W43">
        <f t="shared" ca="1" si="10"/>
        <v>7</v>
      </c>
      <c r="X43">
        <f t="shared" ca="1" si="10"/>
        <v>8</v>
      </c>
      <c r="Y43">
        <f t="shared" ca="1" si="10"/>
        <v>10</v>
      </c>
      <c r="Z43">
        <f t="shared" ca="1" si="10"/>
        <v>10</v>
      </c>
      <c r="AA43">
        <f t="shared" ca="1" si="10"/>
        <v>5</v>
      </c>
      <c r="AB43">
        <f t="shared" ca="1" si="10"/>
        <v>1</v>
      </c>
      <c r="AC43">
        <f t="shared" ca="1" si="10"/>
        <v>5</v>
      </c>
      <c r="AD43">
        <f t="shared" ca="1" si="10"/>
        <v>8</v>
      </c>
      <c r="AE43">
        <f t="shared" ca="1" si="10"/>
        <v>5</v>
      </c>
      <c r="AH43" s="25">
        <f t="shared" ca="1" si="3"/>
        <v>179</v>
      </c>
      <c r="AI43">
        <v>221</v>
      </c>
      <c r="AJ43">
        <v>250</v>
      </c>
      <c r="AK43">
        <f t="shared" si="4"/>
        <v>29</v>
      </c>
      <c r="AL43" s="15">
        <f t="shared" ca="1" si="5"/>
        <v>44750</v>
      </c>
      <c r="AM43" s="15">
        <f t="shared" ca="1" si="6"/>
        <v>5191</v>
      </c>
    </row>
    <row r="44" spans="1:39">
      <c r="A44" s="27"/>
      <c r="B44" t="s">
        <v>61</v>
      </c>
      <c r="C44">
        <f t="shared" ca="1" si="11"/>
        <v>3</v>
      </c>
      <c r="D44">
        <f t="shared" ca="1" si="11"/>
        <v>7</v>
      </c>
      <c r="E44">
        <f t="shared" ca="1" si="11"/>
        <v>7</v>
      </c>
      <c r="F44">
        <f t="shared" ca="1" si="11"/>
        <v>1</v>
      </c>
      <c r="G44">
        <f t="shared" ca="1" si="11"/>
        <v>9</v>
      </c>
      <c r="H44">
        <f t="shared" ca="1" si="11"/>
        <v>8</v>
      </c>
      <c r="I44">
        <f t="shared" ca="1" si="11"/>
        <v>5</v>
      </c>
      <c r="J44">
        <f t="shared" ca="1" si="11"/>
        <v>6</v>
      </c>
      <c r="K44">
        <f t="shared" ca="1" si="11"/>
        <v>1</v>
      </c>
      <c r="L44">
        <f t="shared" ca="1" si="11"/>
        <v>3</v>
      </c>
      <c r="M44">
        <f t="shared" ca="1" si="11"/>
        <v>6</v>
      </c>
      <c r="N44">
        <f t="shared" ca="1" si="11"/>
        <v>1</v>
      </c>
      <c r="O44">
        <f t="shared" ca="1" si="11"/>
        <v>10</v>
      </c>
      <c r="P44">
        <f t="shared" ca="1" si="11"/>
        <v>10</v>
      </c>
      <c r="Q44">
        <f t="shared" ca="1" si="11"/>
        <v>1</v>
      </c>
      <c r="R44">
        <f t="shared" ca="1" si="11"/>
        <v>10</v>
      </c>
      <c r="S44">
        <f t="shared" ca="1" si="10"/>
        <v>1</v>
      </c>
      <c r="T44">
        <f t="shared" ca="1" si="10"/>
        <v>2</v>
      </c>
      <c r="U44">
        <f t="shared" ca="1" si="10"/>
        <v>7</v>
      </c>
      <c r="V44">
        <f t="shared" ca="1" si="10"/>
        <v>6</v>
      </c>
      <c r="W44">
        <f t="shared" ca="1" si="10"/>
        <v>7</v>
      </c>
      <c r="X44">
        <f t="shared" ca="1" si="10"/>
        <v>5</v>
      </c>
      <c r="Y44">
        <f t="shared" ca="1" si="10"/>
        <v>5</v>
      </c>
      <c r="Z44">
        <f t="shared" ca="1" si="10"/>
        <v>10</v>
      </c>
      <c r="AA44">
        <f t="shared" ca="1" si="10"/>
        <v>6</v>
      </c>
      <c r="AB44">
        <f t="shared" ca="1" si="10"/>
        <v>5</v>
      </c>
      <c r="AC44">
        <f t="shared" ca="1" si="10"/>
        <v>8</v>
      </c>
      <c r="AD44">
        <f t="shared" ca="1" si="10"/>
        <v>8</v>
      </c>
      <c r="AE44">
        <f t="shared" ca="1" si="10"/>
        <v>3</v>
      </c>
      <c r="AH44" s="25">
        <f t="shared" ca="1" si="3"/>
        <v>161</v>
      </c>
      <c r="AI44">
        <v>140</v>
      </c>
      <c r="AJ44">
        <v>150</v>
      </c>
      <c r="AK44">
        <f t="shared" si="4"/>
        <v>10</v>
      </c>
      <c r="AL44" s="15">
        <f t="shared" ca="1" si="5"/>
        <v>24150</v>
      </c>
      <c r="AM44" s="15">
        <f t="shared" ca="1" si="6"/>
        <v>1610</v>
      </c>
    </row>
    <row r="45" spans="1:39">
      <c r="A45" s="27"/>
      <c r="B45" t="s">
        <v>62</v>
      </c>
      <c r="C45">
        <f t="shared" ca="1" si="11"/>
        <v>2</v>
      </c>
      <c r="D45">
        <f t="shared" ca="1" si="11"/>
        <v>5</v>
      </c>
      <c r="E45">
        <f t="shared" ca="1" si="11"/>
        <v>7</v>
      </c>
      <c r="F45">
        <f t="shared" ca="1" si="11"/>
        <v>4</v>
      </c>
      <c r="G45">
        <f t="shared" ca="1" si="11"/>
        <v>7</v>
      </c>
      <c r="H45">
        <f t="shared" ca="1" si="11"/>
        <v>1</v>
      </c>
      <c r="I45">
        <f t="shared" ca="1" si="11"/>
        <v>6</v>
      </c>
      <c r="J45">
        <f t="shared" ca="1" si="11"/>
        <v>8</v>
      </c>
      <c r="K45">
        <f t="shared" ca="1" si="11"/>
        <v>10</v>
      </c>
      <c r="L45">
        <f t="shared" ca="1" si="11"/>
        <v>3</v>
      </c>
      <c r="M45">
        <f t="shared" ca="1" si="11"/>
        <v>7</v>
      </c>
      <c r="N45">
        <f t="shared" ca="1" si="11"/>
        <v>9</v>
      </c>
      <c r="O45">
        <f t="shared" ca="1" si="11"/>
        <v>3</v>
      </c>
      <c r="P45">
        <f t="shared" ca="1" si="11"/>
        <v>7</v>
      </c>
      <c r="Q45">
        <f t="shared" ca="1" si="11"/>
        <v>1</v>
      </c>
      <c r="R45">
        <f t="shared" ca="1" si="11"/>
        <v>8</v>
      </c>
      <c r="S45">
        <f t="shared" ca="1" si="10"/>
        <v>7</v>
      </c>
      <c r="T45">
        <f t="shared" ca="1" si="10"/>
        <v>8</v>
      </c>
      <c r="U45">
        <f t="shared" ca="1" si="10"/>
        <v>5</v>
      </c>
      <c r="V45">
        <f t="shared" ca="1" si="10"/>
        <v>7</v>
      </c>
      <c r="W45">
        <f t="shared" ca="1" si="10"/>
        <v>2</v>
      </c>
      <c r="X45">
        <f t="shared" ca="1" si="10"/>
        <v>5</v>
      </c>
      <c r="Y45">
        <f t="shared" ca="1" si="10"/>
        <v>8</v>
      </c>
      <c r="Z45">
        <f t="shared" ca="1" si="10"/>
        <v>4</v>
      </c>
      <c r="AA45">
        <f t="shared" ca="1" si="10"/>
        <v>7</v>
      </c>
      <c r="AB45">
        <f t="shared" ca="1" si="10"/>
        <v>9</v>
      </c>
      <c r="AC45">
        <f t="shared" ca="1" si="10"/>
        <v>6</v>
      </c>
      <c r="AD45">
        <f t="shared" ca="1" si="10"/>
        <v>7</v>
      </c>
      <c r="AE45">
        <f t="shared" ca="1" si="10"/>
        <v>4</v>
      </c>
      <c r="AH45" s="25">
        <f t="shared" ca="1" si="3"/>
        <v>167</v>
      </c>
      <c r="AI45">
        <v>154</v>
      </c>
      <c r="AJ45">
        <v>170</v>
      </c>
      <c r="AK45">
        <f t="shared" si="4"/>
        <v>16</v>
      </c>
      <c r="AL45" s="15">
        <f t="shared" ca="1" si="5"/>
        <v>28390</v>
      </c>
      <c r="AM45" s="15">
        <f t="shared" ca="1" si="6"/>
        <v>2672</v>
      </c>
    </row>
    <row r="46" spans="1:39">
      <c r="A46" s="27"/>
      <c r="B46" t="s">
        <v>63</v>
      </c>
      <c r="C46">
        <f t="shared" ca="1" si="11"/>
        <v>2</v>
      </c>
      <c r="D46">
        <f t="shared" ca="1" si="11"/>
        <v>4</v>
      </c>
      <c r="E46">
        <f t="shared" ca="1" si="11"/>
        <v>2</v>
      </c>
      <c r="F46">
        <f t="shared" ca="1" si="11"/>
        <v>4</v>
      </c>
      <c r="G46">
        <f t="shared" ca="1" si="11"/>
        <v>1</v>
      </c>
      <c r="H46">
        <f t="shared" ca="1" si="11"/>
        <v>10</v>
      </c>
      <c r="I46">
        <f t="shared" ca="1" si="11"/>
        <v>6</v>
      </c>
      <c r="J46">
        <f t="shared" ca="1" si="11"/>
        <v>9</v>
      </c>
      <c r="K46">
        <f t="shared" ca="1" si="11"/>
        <v>10</v>
      </c>
      <c r="L46">
        <f t="shared" ca="1" si="11"/>
        <v>8</v>
      </c>
      <c r="M46">
        <f t="shared" ca="1" si="11"/>
        <v>10</v>
      </c>
      <c r="N46">
        <f t="shared" ca="1" si="11"/>
        <v>1</v>
      </c>
      <c r="O46">
        <f t="shared" ca="1" si="11"/>
        <v>9</v>
      </c>
      <c r="P46">
        <f t="shared" ca="1" si="11"/>
        <v>4</v>
      </c>
      <c r="Q46">
        <f t="shared" ca="1" si="11"/>
        <v>10</v>
      </c>
      <c r="R46">
        <f t="shared" ca="1" si="11"/>
        <v>8</v>
      </c>
      <c r="S46">
        <f t="shared" ca="1" si="10"/>
        <v>9</v>
      </c>
      <c r="T46">
        <f t="shared" ca="1" si="10"/>
        <v>2</v>
      </c>
      <c r="U46">
        <f t="shared" ca="1" si="10"/>
        <v>8</v>
      </c>
      <c r="V46">
        <f t="shared" ca="1" si="10"/>
        <v>5</v>
      </c>
      <c r="W46">
        <f t="shared" ca="1" si="10"/>
        <v>10</v>
      </c>
      <c r="X46">
        <f t="shared" ca="1" si="10"/>
        <v>3</v>
      </c>
      <c r="Y46">
        <f t="shared" ca="1" si="10"/>
        <v>8</v>
      </c>
      <c r="Z46">
        <f t="shared" ca="1" si="10"/>
        <v>4</v>
      </c>
      <c r="AA46">
        <f t="shared" ca="1" si="10"/>
        <v>7</v>
      </c>
      <c r="AB46">
        <f t="shared" ca="1" si="10"/>
        <v>2</v>
      </c>
      <c r="AC46">
        <f t="shared" ca="1" si="10"/>
        <v>1</v>
      </c>
      <c r="AD46">
        <f t="shared" ca="1" si="10"/>
        <v>3</v>
      </c>
      <c r="AE46">
        <f t="shared" ca="1" si="10"/>
        <v>5</v>
      </c>
      <c r="AH46" s="25">
        <f t="shared" ca="1" si="3"/>
        <v>165</v>
      </c>
      <c r="AI46">
        <v>322</v>
      </c>
      <c r="AJ46">
        <v>345</v>
      </c>
      <c r="AK46">
        <f t="shared" si="4"/>
        <v>23</v>
      </c>
      <c r="AL46" s="15">
        <f t="shared" ca="1" si="5"/>
        <v>56925</v>
      </c>
      <c r="AM46" s="15">
        <f t="shared" ca="1" si="6"/>
        <v>3795</v>
      </c>
    </row>
    <row r="47" spans="1:39">
      <c r="A47" s="27"/>
      <c r="B47" t="s">
        <v>64</v>
      </c>
      <c r="C47">
        <f t="shared" ca="1" si="11"/>
        <v>10</v>
      </c>
      <c r="D47">
        <f t="shared" ca="1" si="11"/>
        <v>10</v>
      </c>
      <c r="E47">
        <f t="shared" ca="1" si="11"/>
        <v>9</v>
      </c>
      <c r="F47">
        <f t="shared" ca="1" si="11"/>
        <v>1</v>
      </c>
      <c r="G47">
        <f t="shared" ca="1" si="11"/>
        <v>3</v>
      </c>
      <c r="H47">
        <f t="shared" ca="1" si="11"/>
        <v>6</v>
      </c>
      <c r="I47">
        <f t="shared" ca="1" si="11"/>
        <v>4</v>
      </c>
      <c r="J47">
        <f t="shared" ca="1" si="11"/>
        <v>10</v>
      </c>
      <c r="K47">
        <f t="shared" ca="1" si="11"/>
        <v>7</v>
      </c>
      <c r="L47">
        <f t="shared" ca="1" si="11"/>
        <v>10</v>
      </c>
      <c r="M47">
        <f t="shared" ca="1" si="11"/>
        <v>6</v>
      </c>
      <c r="N47">
        <f t="shared" ca="1" si="11"/>
        <v>9</v>
      </c>
      <c r="O47">
        <f t="shared" ca="1" si="11"/>
        <v>4</v>
      </c>
      <c r="P47">
        <f t="shared" ca="1" si="11"/>
        <v>7</v>
      </c>
      <c r="Q47">
        <f t="shared" ca="1" si="11"/>
        <v>8</v>
      </c>
      <c r="R47">
        <f t="shared" ca="1" si="11"/>
        <v>10</v>
      </c>
      <c r="S47">
        <f t="shared" ca="1" si="10"/>
        <v>7</v>
      </c>
      <c r="T47">
        <f t="shared" ca="1" si="10"/>
        <v>9</v>
      </c>
      <c r="U47">
        <f t="shared" ca="1" si="10"/>
        <v>9</v>
      </c>
      <c r="V47">
        <f t="shared" ca="1" si="10"/>
        <v>2</v>
      </c>
      <c r="W47">
        <f t="shared" ca="1" si="10"/>
        <v>6</v>
      </c>
      <c r="X47">
        <f t="shared" ca="1" si="10"/>
        <v>8</v>
      </c>
      <c r="Y47">
        <f t="shared" ca="1" si="10"/>
        <v>1</v>
      </c>
      <c r="Z47">
        <f t="shared" ca="1" si="10"/>
        <v>8</v>
      </c>
      <c r="AA47">
        <f t="shared" ca="1" si="10"/>
        <v>9</v>
      </c>
      <c r="AB47">
        <f t="shared" ca="1" si="10"/>
        <v>7</v>
      </c>
      <c r="AC47">
        <f t="shared" ca="1" si="10"/>
        <v>7</v>
      </c>
      <c r="AD47">
        <f t="shared" ca="1" si="10"/>
        <v>8</v>
      </c>
      <c r="AE47">
        <f t="shared" ca="1" si="10"/>
        <v>3</v>
      </c>
      <c r="AH47" s="25">
        <f t="shared" ca="1" si="3"/>
        <v>198</v>
      </c>
      <c r="AI47">
        <v>380</v>
      </c>
      <c r="AJ47">
        <v>456</v>
      </c>
      <c r="AK47">
        <f t="shared" si="4"/>
        <v>76</v>
      </c>
      <c r="AL47" s="15">
        <f t="shared" ca="1" si="5"/>
        <v>90288</v>
      </c>
      <c r="AM47" s="15">
        <f t="shared" ca="1" si="6"/>
        <v>15048</v>
      </c>
    </row>
    <row r="48" spans="1:39">
      <c r="A48" s="27"/>
      <c r="B48" t="s">
        <v>65</v>
      </c>
      <c r="C48">
        <f t="shared" ca="1" si="11"/>
        <v>1</v>
      </c>
      <c r="D48">
        <f t="shared" ca="1" si="11"/>
        <v>10</v>
      </c>
      <c r="E48">
        <f t="shared" ca="1" si="11"/>
        <v>10</v>
      </c>
      <c r="F48">
        <f t="shared" ca="1" si="11"/>
        <v>4</v>
      </c>
      <c r="G48">
        <f t="shared" ca="1" si="11"/>
        <v>7</v>
      </c>
      <c r="H48">
        <f t="shared" ca="1" si="11"/>
        <v>1</v>
      </c>
      <c r="I48">
        <f t="shared" ca="1" si="11"/>
        <v>1</v>
      </c>
      <c r="J48">
        <f t="shared" ca="1" si="11"/>
        <v>2</v>
      </c>
      <c r="K48">
        <f t="shared" ca="1" si="11"/>
        <v>5</v>
      </c>
      <c r="L48">
        <f t="shared" ca="1" si="11"/>
        <v>9</v>
      </c>
      <c r="M48">
        <f t="shared" ca="1" si="11"/>
        <v>2</v>
      </c>
      <c r="N48">
        <f t="shared" ca="1" si="11"/>
        <v>5</v>
      </c>
      <c r="O48">
        <f t="shared" ca="1" si="11"/>
        <v>6</v>
      </c>
      <c r="P48">
        <f t="shared" ca="1" si="11"/>
        <v>1</v>
      </c>
      <c r="Q48">
        <f t="shared" ca="1" si="11"/>
        <v>10</v>
      </c>
      <c r="R48">
        <f t="shared" ca="1" si="11"/>
        <v>8</v>
      </c>
      <c r="S48">
        <f t="shared" ca="1" si="10"/>
        <v>10</v>
      </c>
      <c r="T48">
        <f t="shared" ca="1" si="10"/>
        <v>6</v>
      </c>
      <c r="U48">
        <f t="shared" ca="1" si="10"/>
        <v>3</v>
      </c>
      <c r="V48">
        <f t="shared" ca="1" si="10"/>
        <v>3</v>
      </c>
      <c r="W48">
        <f t="shared" ca="1" si="10"/>
        <v>8</v>
      </c>
      <c r="X48">
        <f t="shared" ca="1" si="10"/>
        <v>2</v>
      </c>
      <c r="Y48">
        <f t="shared" ca="1" si="10"/>
        <v>10</v>
      </c>
      <c r="Z48">
        <f t="shared" ca="1" si="10"/>
        <v>8</v>
      </c>
      <c r="AA48">
        <f t="shared" ca="1" si="10"/>
        <v>2</v>
      </c>
      <c r="AB48">
        <f t="shared" ca="1" si="10"/>
        <v>4</v>
      </c>
      <c r="AC48">
        <f t="shared" ca="1" si="10"/>
        <v>8</v>
      </c>
      <c r="AD48">
        <f t="shared" ca="1" si="10"/>
        <v>7</v>
      </c>
      <c r="AE48">
        <f t="shared" ca="1" si="10"/>
        <v>3</v>
      </c>
      <c r="AH48" s="25">
        <f t="shared" ca="1" si="3"/>
        <v>156</v>
      </c>
      <c r="AI48">
        <v>133</v>
      </c>
      <c r="AJ48">
        <v>158</v>
      </c>
      <c r="AK48">
        <f t="shared" si="4"/>
        <v>25</v>
      </c>
      <c r="AL48" s="15">
        <f t="shared" ca="1" si="5"/>
        <v>24648</v>
      </c>
      <c r="AM48" s="15">
        <f t="shared" ca="1" si="6"/>
        <v>3900</v>
      </c>
    </row>
    <row r="49" spans="1:39">
      <c r="A49" s="27"/>
      <c r="B49" t="s">
        <v>66</v>
      </c>
      <c r="C49">
        <f t="shared" ca="1" si="11"/>
        <v>10</v>
      </c>
      <c r="D49">
        <f t="shared" ca="1" si="11"/>
        <v>10</v>
      </c>
      <c r="E49">
        <f t="shared" ca="1" si="11"/>
        <v>1</v>
      </c>
      <c r="F49">
        <f t="shared" ca="1" si="11"/>
        <v>2</v>
      </c>
      <c r="G49">
        <f t="shared" ca="1" si="11"/>
        <v>2</v>
      </c>
      <c r="H49">
        <f t="shared" ca="1" si="11"/>
        <v>4</v>
      </c>
      <c r="I49">
        <f t="shared" ca="1" si="11"/>
        <v>5</v>
      </c>
      <c r="J49">
        <f t="shared" ca="1" si="11"/>
        <v>5</v>
      </c>
      <c r="K49">
        <f t="shared" ca="1" si="11"/>
        <v>1</v>
      </c>
      <c r="L49">
        <f t="shared" ca="1" si="11"/>
        <v>5</v>
      </c>
      <c r="M49">
        <f t="shared" ca="1" si="11"/>
        <v>5</v>
      </c>
      <c r="N49">
        <f t="shared" ca="1" si="11"/>
        <v>4</v>
      </c>
      <c r="O49">
        <f t="shared" ca="1" si="11"/>
        <v>5</v>
      </c>
      <c r="P49">
        <f t="shared" ca="1" si="11"/>
        <v>10</v>
      </c>
      <c r="Q49">
        <f t="shared" ca="1" si="11"/>
        <v>5</v>
      </c>
      <c r="R49">
        <f t="shared" ca="1" si="11"/>
        <v>9</v>
      </c>
      <c r="S49">
        <f t="shared" ca="1" si="10"/>
        <v>4</v>
      </c>
      <c r="T49">
        <f t="shared" ca="1" si="10"/>
        <v>5</v>
      </c>
      <c r="U49">
        <f t="shared" ca="1" si="10"/>
        <v>6</v>
      </c>
      <c r="V49">
        <f t="shared" ca="1" si="10"/>
        <v>2</v>
      </c>
      <c r="W49">
        <f t="shared" ca="1" si="10"/>
        <v>8</v>
      </c>
      <c r="X49">
        <f t="shared" ca="1" si="10"/>
        <v>8</v>
      </c>
      <c r="Y49">
        <f t="shared" ca="1" si="10"/>
        <v>10</v>
      </c>
      <c r="Z49">
        <f t="shared" ca="1" si="10"/>
        <v>8</v>
      </c>
      <c r="AA49">
        <f t="shared" ca="1" si="10"/>
        <v>6</v>
      </c>
      <c r="AB49">
        <f t="shared" ca="1" si="10"/>
        <v>7</v>
      </c>
      <c r="AC49">
        <f t="shared" ca="1" si="10"/>
        <v>3</v>
      </c>
      <c r="AD49">
        <f t="shared" ca="1" si="10"/>
        <v>10</v>
      </c>
      <c r="AE49">
        <f t="shared" ca="1" si="10"/>
        <v>8</v>
      </c>
      <c r="AH49" s="25">
        <f t="shared" ca="1" si="3"/>
        <v>168</v>
      </c>
      <c r="AI49">
        <v>40</v>
      </c>
      <c r="AJ49">
        <v>65</v>
      </c>
      <c r="AK49">
        <f t="shared" si="4"/>
        <v>25</v>
      </c>
      <c r="AL49" s="15">
        <f t="shared" ca="1" si="5"/>
        <v>10920</v>
      </c>
      <c r="AM49" s="15">
        <f t="shared" ca="1" si="6"/>
        <v>4200</v>
      </c>
    </row>
    <row r="50" spans="1:39">
      <c r="A50" s="27"/>
      <c r="B50" t="s">
        <v>67</v>
      </c>
      <c r="C50">
        <f t="shared" ca="1" si="11"/>
        <v>6</v>
      </c>
      <c r="D50">
        <f t="shared" ca="1" si="11"/>
        <v>3</v>
      </c>
      <c r="E50">
        <f t="shared" ca="1" si="11"/>
        <v>9</v>
      </c>
      <c r="F50">
        <f t="shared" ca="1" si="11"/>
        <v>4</v>
      </c>
      <c r="G50">
        <f t="shared" ca="1" si="11"/>
        <v>5</v>
      </c>
      <c r="H50">
        <f t="shared" ca="1" si="11"/>
        <v>8</v>
      </c>
      <c r="I50">
        <f t="shared" ca="1" si="11"/>
        <v>4</v>
      </c>
      <c r="J50">
        <f t="shared" ca="1" si="11"/>
        <v>8</v>
      </c>
      <c r="K50">
        <f t="shared" ca="1" si="11"/>
        <v>1</v>
      </c>
      <c r="L50">
        <f t="shared" ca="1" si="11"/>
        <v>7</v>
      </c>
      <c r="M50">
        <f t="shared" ca="1" si="11"/>
        <v>10</v>
      </c>
      <c r="N50">
        <f t="shared" ca="1" si="11"/>
        <v>2</v>
      </c>
      <c r="O50">
        <f t="shared" ca="1" si="11"/>
        <v>4</v>
      </c>
      <c r="P50">
        <f t="shared" ca="1" si="11"/>
        <v>5</v>
      </c>
      <c r="Q50">
        <f t="shared" ca="1" si="11"/>
        <v>6</v>
      </c>
      <c r="R50">
        <f t="shared" ca="1" si="11"/>
        <v>7</v>
      </c>
      <c r="S50">
        <f t="shared" ca="1" si="10"/>
        <v>4</v>
      </c>
      <c r="T50">
        <f t="shared" ca="1" si="10"/>
        <v>10</v>
      </c>
      <c r="U50">
        <f t="shared" ca="1" si="10"/>
        <v>5</v>
      </c>
      <c r="V50">
        <f t="shared" ca="1" si="10"/>
        <v>4</v>
      </c>
      <c r="W50">
        <f t="shared" ca="1" si="10"/>
        <v>6</v>
      </c>
      <c r="X50">
        <f t="shared" ca="1" si="10"/>
        <v>6</v>
      </c>
      <c r="Y50">
        <f t="shared" ca="1" si="10"/>
        <v>10</v>
      </c>
      <c r="Z50">
        <f t="shared" ca="1" si="10"/>
        <v>8</v>
      </c>
      <c r="AA50">
        <f t="shared" ca="1" si="10"/>
        <v>6</v>
      </c>
      <c r="AB50">
        <f t="shared" ca="1" si="10"/>
        <v>3</v>
      </c>
      <c r="AC50">
        <f t="shared" ca="1" si="10"/>
        <v>6</v>
      </c>
      <c r="AD50">
        <f t="shared" ca="1" si="10"/>
        <v>7</v>
      </c>
      <c r="AE50">
        <f t="shared" ca="1" si="10"/>
        <v>9</v>
      </c>
      <c r="AH50" s="25">
        <f t="shared" ca="1" si="3"/>
        <v>173</v>
      </c>
      <c r="AI50">
        <v>72</v>
      </c>
      <c r="AJ50">
        <v>89</v>
      </c>
      <c r="AK50">
        <f t="shared" si="4"/>
        <v>17</v>
      </c>
      <c r="AL50" s="15">
        <f t="shared" ca="1" si="5"/>
        <v>15397</v>
      </c>
      <c r="AM50" s="15">
        <f t="shared" ca="1" si="6"/>
        <v>2941</v>
      </c>
    </row>
    <row r="51" spans="1:39">
      <c r="A51" s="27"/>
      <c r="B51" t="s">
        <v>68</v>
      </c>
      <c r="C51">
        <f t="shared" ca="1" si="11"/>
        <v>4</v>
      </c>
      <c r="D51">
        <f t="shared" ca="1" si="11"/>
        <v>4</v>
      </c>
      <c r="E51">
        <f t="shared" ca="1" si="11"/>
        <v>8</v>
      </c>
      <c r="F51">
        <f t="shared" ca="1" si="11"/>
        <v>3</v>
      </c>
      <c r="G51">
        <f t="shared" ca="1" si="11"/>
        <v>8</v>
      </c>
      <c r="H51">
        <f t="shared" ca="1" si="11"/>
        <v>5</v>
      </c>
      <c r="I51">
        <f t="shared" ca="1" si="11"/>
        <v>1</v>
      </c>
      <c r="J51">
        <f t="shared" ca="1" si="11"/>
        <v>7</v>
      </c>
      <c r="K51">
        <f t="shared" ca="1" si="11"/>
        <v>7</v>
      </c>
      <c r="L51">
        <f t="shared" ca="1" si="11"/>
        <v>10</v>
      </c>
      <c r="M51">
        <f t="shared" ca="1" si="11"/>
        <v>4</v>
      </c>
      <c r="N51">
        <f t="shared" ca="1" si="11"/>
        <v>10</v>
      </c>
      <c r="O51">
        <f t="shared" ca="1" si="11"/>
        <v>7</v>
      </c>
      <c r="P51">
        <f t="shared" ca="1" si="11"/>
        <v>4</v>
      </c>
      <c r="Q51">
        <f t="shared" ca="1" si="11"/>
        <v>5</v>
      </c>
      <c r="R51">
        <f t="shared" ref="R51:AE57" ca="1" si="12">RANDBETWEEN(1,10)</f>
        <v>7</v>
      </c>
      <c r="S51">
        <f t="shared" ca="1" si="12"/>
        <v>1</v>
      </c>
      <c r="T51">
        <f t="shared" ca="1" si="12"/>
        <v>7</v>
      </c>
      <c r="U51">
        <f t="shared" ca="1" si="12"/>
        <v>4</v>
      </c>
      <c r="V51">
        <f t="shared" ca="1" si="12"/>
        <v>8</v>
      </c>
      <c r="W51">
        <f t="shared" ca="1" si="12"/>
        <v>4</v>
      </c>
      <c r="X51">
        <f t="shared" ca="1" si="12"/>
        <v>8</v>
      </c>
      <c r="Y51">
        <f t="shared" ca="1" si="12"/>
        <v>4</v>
      </c>
      <c r="Z51">
        <f t="shared" ca="1" si="12"/>
        <v>2</v>
      </c>
      <c r="AA51">
        <f t="shared" ca="1" si="12"/>
        <v>5</v>
      </c>
      <c r="AB51">
        <f t="shared" ca="1" si="12"/>
        <v>6</v>
      </c>
      <c r="AC51">
        <f t="shared" ca="1" si="12"/>
        <v>10</v>
      </c>
      <c r="AD51">
        <f t="shared" ca="1" si="12"/>
        <v>5</v>
      </c>
      <c r="AE51">
        <f t="shared" ca="1" si="12"/>
        <v>6</v>
      </c>
      <c r="AH51" s="25">
        <f t="shared" ca="1" si="3"/>
        <v>164</v>
      </c>
      <c r="AI51">
        <v>236</v>
      </c>
      <c r="AJ51">
        <v>268</v>
      </c>
      <c r="AK51">
        <f t="shared" si="4"/>
        <v>32</v>
      </c>
      <c r="AL51" s="15">
        <f t="shared" ca="1" si="5"/>
        <v>43952</v>
      </c>
      <c r="AM51" s="15">
        <f t="shared" ca="1" si="6"/>
        <v>5248</v>
      </c>
    </row>
    <row r="52" spans="1:39">
      <c r="A52" s="27"/>
      <c r="B52" t="s">
        <v>69</v>
      </c>
      <c r="C52">
        <f t="shared" ref="C52:R57" ca="1" si="13">RANDBETWEEN(1,10)</f>
        <v>8</v>
      </c>
      <c r="D52">
        <f t="shared" ca="1" si="13"/>
        <v>2</v>
      </c>
      <c r="E52">
        <f t="shared" ca="1" si="13"/>
        <v>8</v>
      </c>
      <c r="F52">
        <f t="shared" ca="1" si="13"/>
        <v>1</v>
      </c>
      <c r="G52">
        <f t="shared" ca="1" si="13"/>
        <v>4</v>
      </c>
      <c r="H52">
        <f t="shared" ca="1" si="13"/>
        <v>5</v>
      </c>
      <c r="I52">
        <f t="shared" ca="1" si="13"/>
        <v>1</v>
      </c>
      <c r="J52">
        <f t="shared" ca="1" si="13"/>
        <v>5</v>
      </c>
      <c r="K52">
        <f t="shared" ca="1" si="13"/>
        <v>6</v>
      </c>
      <c r="L52">
        <f t="shared" ca="1" si="13"/>
        <v>1</v>
      </c>
      <c r="M52">
        <f t="shared" ca="1" si="13"/>
        <v>9</v>
      </c>
      <c r="N52">
        <f t="shared" ca="1" si="13"/>
        <v>4</v>
      </c>
      <c r="O52">
        <f t="shared" ca="1" si="13"/>
        <v>10</v>
      </c>
      <c r="P52">
        <f t="shared" ca="1" si="13"/>
        <v>4</v>
      </c>
      <c r="Q52">
        <f t="shared" ca="1" si="13"/>
        <v>7</v>
      </c>
      <c r="R52">
        <f t="shared" ca="1" si="13"/>
        <v>3</v>
      </c>
      <c r="S52">
        <f t="shared" ca="1" si="12"/>
        <v>10</v>
      </c>
      <c r="T52">
        <f t="shared" ca="1" si="12"/>
        <v>9</v>
      </c>
      <c r="U52">
        <f t="shared" ca="1" si="12"/>
        <v>1</v>
      </c>
      <c r="V52">
        <f t="shared" ca="1" si="12"/>
        <v>5</v>
      </c>
      <c r="W52">
        <f t="shared" ca="1" si="12"/>
        <v>6</v>
      </c>
      <c r="X52">
        <f t="shared" ca="1" si="12"/>
        <v>3</v>
      </c>
      <c r="Y52">
        <f t="shared" ca="1" si="12"/>
        <v>9</v>
      </c>
      <c r="Z52">
        <f t="shared" ca="1" si="12"/>
        <v>3</v>
      </c>
      <c r="AA52">
        <f t="shared" ca="1" si="12"/>
        <v>6</v>
      </c>
      <c r="AB52">
        <f t="shared" ca="1" si="12"/>
        <v>10</v>
      </c>
      <c r="AC52">
        <f t="shared" ca="1" si="12"/>
        <v>7</v>
      </c>
      <c r="AD52">
        <f t="shared" ca="1" si="12"/>
        <v>1</v>
      </c>
      <c r="AE52">
        <f t="shared" ca="1" si="12"/>
        <v>1</v>
      </c>
      <c r="AH52" s="25">
        <f t="shared" ca="1" si="3"/>
        <v>149</v>
      </c>
      <c r="AI52">
        <v>156</v>
      </c>
      <c r="AJ52">
        <v>178</v>
      </c>
      <c r="AK52">
        <f t="shared" si="4"/>
        <v>22</v>
      </c>
      <c r="AL52" s="15">
        <f t="shared" ca="1" si="5"/>
        <v>26522</v>
      </c>
      <c r="AM52" s="15">
        <f t="shared" ca="1" si="6"/>
        <v>3278</v>
      </c>
    </row>
    <row r="53" spans="1:39">
      <c r="A53" s="27"/>
      <c r="B53" t="s">
        <v>70</v>
      </c>
      <c r="C53">
        <f t="shared" ca="1" si="13"/>
        <v>9</v>
      </c>
      <c r="D53">
        <f t="shared" ca="1" si="13"/>
        <v>7</v>
      </c>
      <c r="E53">
        <f t="shared" ca="1" si="13"/>
        <v>6</v>
      </c>
      <c r="F53">
        <f t="shared" ca="1" si="13"/>
        <v>1</v>
      </c>
      <c r="G53">
        <f t="shared" ca="1" si="13"/>
        <v>5</v>
      </c>
      <c r="H53">
        <f t="shared" ca="1" si="13"/>
        <v>3</v>
      </c>
      <c r="I53">
        <f t="shared" ca="1" si="13"/>
        <v>3</v>
      </c>
      <c r="J53">
        <f t="shared" ca="1" si="13"/>
        <v>4</v>
      </c>
      <c r="K53">
        <f t="shared" ca="1" si="13"/>
        <v>6</v>
      </c>
      <c r="L53">
        <f t="shared" ca="1" si="13"/>
        <v>5</v>
      </c>
      <c r="M53">
        <f t="shared" ca="1" si="13"/>
        <v>8</v>
      </c>
      <c r="N53">
        <f t="shared" ca="1" si="13"/>
        <v>4</v>
      </c>
      <c r="O53">
        <f t="shared" ca="1" si="13"/>
        <v>6</v>
      </c>
      <c r="P53">
        <f t="shared" ca="1" si="13"/>
        <v>8</v>
      </c>
      <c r="Q53">
        <f t="shared" ca="1" si="13"/>
        <v>9</v>
      </c>
      <c r="R53">
        <f t="shared" ca="1" si="13"/>
        <v>5</v>
      </c>
      <c r="S53">
        <f t="shared" ca="1" si="12"/>
        <v>2</v>
      </c>
      <c r="T53">
        <f t="shared" ca="1" si="12"/>
        <v>8</v>
      </c>
      <c r="U53">
        <f t="shared" ca="1" si="12"/>
        <v>1</v>
      </c>
      <c r="V53">
        <f t="shared" ca="1" si="12"/>
        <v>4</v>
      </c>
      <c r="W53">
        <f t="shared" ca="1" si="12"/>
        <v>6</v>
      </c>
      <c r="X53">
        <f t="shared" ca="1" si="12"/>
        <v>7</v>
      </c>
      <c r="Y53">
        <f t="shared" ca="1" si="12"/>
        <v>4</v>
      </c>
      <c r="Z53">
        <f t="shared" ca="1" si="12"/>
        <v>9</v>
      </c>
      <c r="AA53">
        <f t="shared" ca="1" si="12"/>
        <v>2</v>
      </c>
      <c r="AB53">
        <f t="shared" ca="1" si="12"/>
        <v>1</v>
      </c>
      <c r="AC53">
        <f t="shared" ca="1" si="12"/>
        <v>3</v>
      </c>
      <c r="AD53">
        <f t="shared" ca="1" si="12"/>
        <v>5</v>
      </c>
      <c r="AE53">
        <f t="shared" ca="1" si="12"/>
        <v>5</v>
      </c>
      <c r="AH53" s="25">
        <f t="shared" ca="1" si="3"/>
        <v>146</v>
      </c>
      <c r="AI53">
        <v>182</v>
      </c>
      <c r="AJ53">
        <v>225</v>
      </c>
      <c r="AK53">
        <f t="shared" si="4"/>
        <v>43</v>
      </c>
      <c r="AL53" s="15">
        <f t="shared" ca="1" si="5"/>
        <v>32850</v>
      </c>
      <c r="AM53" s="15">
        <f t="shared" ca="1" si="6"/>
        <v>6278</v>
      </c>
    </row>
    <row r="54" spans="1:39">
      <c r="A54" s="27"/>
      <c r="B54" t="s">
        <v>71</v>
      </c>
      <c r="C54">
        <f t="shared" ca="1" si="13"/>
        <v>5</v>
      </c>
      <c r="D54">
        <f t="shared" ca="1" si="13"/>
        <v>3</v>
      </c>
      <c r="E54">
        <f t="shared" ca="1" si="13"/>
        <v>7</v>
      </c>
      <c r="F54">
        <f t="shared" ca="1" si="13"/>
        <v>2</v>
      </c>
      <c r="G54">
        <f t="shared" ca="1" si="13"/>
        <v>9</v>
      </c>
      <c r="H54">
        <f t="shared" ca="1" si="13"/>
        <v>6</v>
      </c>
      <c r="I54">
        <f t="shared" ca="1" si="13"/>
        <v>4</v>
      </c>
      <c r="J54">
        <f t="shared" ca="1" si="13"/>
        <v>9</v>
      </c>
      <c r="K54">
        <f t="shared" ca="1" si="13"/>
        <v>4</v>
      </c>
      <c r="L54">
        <f t="shared" ca="1" si="13"/>
        <v>6</v>
      </c>
      <c r="M54">
        <f t="shared" ca="1" si="13"/>
        <v>3</v>
      </c>
      <c r="N54">
        <f t="shared" ca="1" si="13"/>
        <v>2</v>
      </c>
      <c r="O54">
        <f t="shared" ca="1" si="13"/>
        <v>7</v>
      </c>
      <c r="P54">
        <f t="shared" ca="1" si="13"/>
        <v>6</v>
      </c>
      <c r="Q54">
        <f t="shared" ca="1" si="13"/>
        <v>10</v>
      </c>
      <c r="R54">
        <f t="shared" ca="1" si="13"/>
        <v>3</v>
      </c>
      <c r="S54">
        <f t="shared" ca="1" si="12"/>
        <v>2</v>
      </c>
      <c r="T54">
        <f t="shared" ca="1" si="12"/>
        <v>10</v>
      </c>
      <c r="U54">
        <f t="shared" ca="1" si="12"/>
        <v>10</v>
      </c>
      <c r="V54">
        <f t="shared" ca="1" si="12"/>
        <v>2</v>
      </c>
      <c r="W54">
        <f t="shared" ca="1" si="12"/>
        <v>2</v>
      </c>
      <c r="X54">
        <f t="shared" ca="1" si="12"/>
        <v>3</v>
      </c>
      <c r="Y54">
        <f t="shared" ca="1" si="12"/>
        <v>4</v>
      </c>
      <c r="Z54">
        <f t="shared" ca="1" si="12"/>
        <v>9</v>
      </c>
      <c r="AA54">
        <f t="shared" ca="1" si="12"/>
        <v>10</v>
      </c>
      <c r="AB54">
        <f t="shared" ca="1" si="12"/>
        <v>3</v>
      </c>
      <c r="AC54">
        <f t="shared" ca="1" si="12"/>
        <v>2</v>
      </c>
      <c r="AD54">
        <f t="shared" ca="1" si="12"/>
        <v>3</v>
      </c>
      <c r="AE54">
        <f t="shared" ca="1" si="12"/>
        <v>8</v>
      </c>
      <c r="AH54" s="25">
        <f t="shared" ca="1" si="3"/>
        <v>154</v>
      </c>
      <c r="AI54">
        <v>23</v>
      </c>
      <c r="AJ54">
        <v>35</v>
      </c>
      <c r="AK54">
        <f t="shared" si="4"/>
        <v>12</v>
      </c>
      <c r="AL54" s="15">
        <f t="shared" ca="1" si="5"/>
        <v>5390</v>
      </c>
      <c r="AM54" s="15">
        <f t="shared" ca="1" si="6"/>
        <v>1848</v>
      </c>
    </row>
    <row r="55" spans="1:39">
      <c r="A55" s="27"/>
      <c r="B55" t="s">
        <v>72</v>
      </c>
      <c r="C55">
        <f t="shared" ca="1" si="13"/>
        <v>9</v>
      </c>
      <c r="D55">
        <f t="shared" ca="1" si="13"/>
        <v>1</v>
      </c>
      <c r="E55">
        <f t="shared" ca="1" si="13"/>
        <v>2</v>
      </c>
      <c r="F55">
        <f t="shared" ca="1" si="13"/>
        <v>5</v>
      </c>
      <c r="G55">
        <f t="shared" ca="1" si="13"/>
        <v>10</v>
      </c>
      <c r="H55">
        <f t="shared" ca="1" si="13"/>
        <v>4</v>
      </c>
      <c r="I55">
        <f t="shared" ca="1" si="13"/>
        <v>7</v>
      </c>
      <c r="J55">
        <f t="shared" ca="1" si="13"/>
        <v>7</v>
      </c>
      <c r="K55">
        <f t="shared" ca="1" si="13"/>
        <v>2</v>
      </c>
      <c r="L55">
        <f t="shared" ca="1" si="13"/>
        <v>3</v>
      </c>
      <c r="M55">
        <f t="shared" ca="1" si="13"/>
        <v>1</v>
      </c>
      <c r="N55">
        <f t="shared" ca="1" si="13"/>
        <v>9</v>
      </c>
      <c r="O55">
        <f t="shared" ca="1" si="13"/>
        <v>2</v>
      </c>
      <c r="P55">
        <f t="shared" ca="1" si="13"/>
        <v>1</v>
      </c>
      <c r="Q55">
        <f t="shared" ca="1" si="13"/>
        <v>3</v>
      </c>
      <c r="R55">
        <f t="shared" ca="1" si="13"/>
        <v>7</v>
      </c>
      <c r="S55">
        <f t="shared" ca="1" si="12"/>
        <v>10</v>
      </c>
      <c r="T55">
        <f t="shared" ca="1" si="12"/>
        <v>9</v>
      </c>
      <c r="U55">
        <f t="shared" ca="1" si="12"/>
        <v>2</v>
      </c>
      <c r="V55">
        <f t="shared" ca="1" si="12"/>
        <v>4</v>
      </c>
      <c r="W55">
        <f t="shared" ca="1" si="12"/>
        <v>10</v>
      </c>
      <c r="X55">
        <f t="shared" ca="1" si="12"/>
        <v>10</v>
      </c>
      <c r="Y55">
        <f t="shared" ca="1" si="12"/>
        <v>4</v>
      </c>
      <c r="Z55">
        <f t="shared" ca="1" si="12"/>
        <v>3</v>
      </c>
      <c r="AA55">
        <f t="shared" ca="1" si="12"/>
        <v>6</v>
      </c>
      <c r="AB55">
        <f t="shared" ca="1" si="12"/>
        <v>9</v>
      </c>
      <c r="AC55">
        <f t="shared" ca="1" si="12"/>
        <v>1</v>
      </c>
      <c r="AD55">
        <f t="shared" ca="1" si="12"/>
        <v>3</v>
      </c>
      <c r="AE55">
        <f t="shared" ca="1" si="12"/>
        <v>3</v>
      </c>
      <c r="AH55" s="25">
        <f t="shared" ca="1" si="3"/>
        <v>147</v>
      </c>
      <c r="AI55">
        <v>205</v>
      </c>
      <c r="AJ55">
        <v>260</v>
      </c>
      <c r="AK55">
        <f t="shared" si="4"/>
        <v>55</v>
      </c>
      <c r="AL55" s="15">
        <f t="shared" ca="1" si="5"/>
        <v>38220</v>
      </c>
      <c r="AM55" s="15">
        <f t="shared" ca="1" si="6"/>
        <v>8085</v>
      </c>
    </row>
    <row r="56" spans="1:39">
      <c r="A56" s="27"/>
      <c r="B56" t="s">
        <v>73</v>
      </c>
      <c r="C56">
        <f t="shared" ca="1" si="13"/>
        <v>10</v>
      </c>
      <c r="D56">
        <f t="shared" ca="1" si="13"/>
        <v>10</v>
      </c>
      <c r="E56">
        <f t="shared" ca="1" si="13"/>
        <v>2</v>
      </c>
      <c r="F56">
        <f t="shared" ca="1" si="13"/>
        <v>9</v>
      </c>
      <c r="G56">
        <f t="shared" ca="1" si="13"/>
        <v>5</v>
      </c>
      <c r="H56">
        <f t="shared" ca="1" si="13"/>
        <v>7</v>
      </c>
      <c r="I56">
        <f t="shared" ca="1" si="13"/>
        <v>2</v>
      </c>
      <c r="J56">
        <f t="shared" ca="1" si="13"/>
        <v>4</v>
      </c>
      <c r="K56">
        <f t="shared" ca="1" si="13"/>
        <v>8</v>
      </c>
      <c r="L56">
        <f t="shared" ca="1" si="13"/>
        <v>10</v>
      </c>
      <c r="M56">
        <f t="shared" ca="1" si="13"/>
        <v>8</v>
      </c>
      <c r="N56">
        <f t="shared" ca="1" si="13"/>
        <v>9</v>
      </c>
      <c r="O56">
        <f t="shared" ca="1" si="13"/>
        <v>5</v>
      </c>
      <c r="P56">
        <f t="shared" ca="1" si="13"/>
        <v>2</v>
      </c>
      <c r="Q56">
        <f t="shared" ca="1" si="13"/>
        <v>3</v>
      </c>
      <c r="R56">
        <f t="shared" ca="1" si="13"/>
        <v>9</v>
      </c>
      <c r="S56">
        <f t="shared" ca="1" si="12"/>
        <v>4</v>
      </c>
      <c r="T56">
        <f t="shared" ca="1" si="12"/>
        <v>4</v>
      </c>
      <c r="U56">
        <f t="shared" ca="1" si="12"/>
        <v>9</v>
      </c>
      <c r="V56">
        <f t="shared" ca="1" si="12"/>
        <v>1</v>
      </c>
      <c r="W56">
        <f t="shared" ca="1" si="12"/>
        <v>2</v>
      </c>
      <c r="X56">
        <f t="shared" ca="1" si="12"/>
        <v>5</v>
      </c>
      <c r="Y56">
        <f t="shared" ca="1" si="12"/>
        <v>9</v>
      </c>
      <c r="Z56">
        <f t="shared" ca="1" si="12"/>
        <v>3</v>
      </c>
      <c r="AA56">
        <f t="shared" ca="1" si="12"/>
        <v>7</v>
      </c>
      <c r="AB56">
        <f t="shared" ca="1" si="12"/>
        <v>3</v>
      </c>
      <c r="AC56">
        <f t="shared" ca="1" si="12"/>
        <v>7</v>
      </c>
      <c r="AD56">
        <f t="shared" ca="1" si="12"/>
        <v>7</v>
      </c>
      <c r="AE56">
        <f t="shared" ca="1" si="12"/>
        <v>8</v>
      </c>
      <c r="AH56" s="25">
        <f t="shared" ca="1" si="3"/>
        <v>172</v>
      </c>
      <c r="AI56">
        <v>325</v>
      </c>
      <c r="AJ56">
        <v>358</v>
      </c>
      <c r="AK56">
        <f t="shared" si="4"/>
        <v>33</v>
      </c>
      <c r="AL56" s="15">
        <f t="shared" ca="1" si="5"/>
        <v>61576</v>
      </c>
      <c r="AM56" s="15">
        <f t="shared" ca="1" si="6"/>
        <v>5676</v>
      </c>
    </row>
    <row r="57" spans="1:39">
      <c r="A57" s="27"/>
      <c r="B57" t="s">
        <v>74</v>
      </c>
      <c r="C57">
        <f t="shared" ca="1" si="13"/>
        <v>8</v>
      </c>
      <c r="D57">
        <f t="shared" ca="1" si="13"/>
        <v>1</v>
      </c>
      <c r="E57">
        <f t="shared" ca="1" si="13"/>
        <v>3</v>
      </c>
      <c r="F57">
        <f t="shared" ca="1" si="13"/>
        <v>6</v>
      </c>
      <c r="G57">
        <f t="shared" ca="1" si="13"/>
        <v>4</v>
      </c>
      <c r="H57">
        <f t="shared" ca="1" si="13"/>
        <v>3</v>
      </c>
      <c r="I57">
        <f t="shared" ca="1" si="13"/>
        <v>4</v>
      </c>
      <c r="J57">
        <f t="shared" ca="1" si="13"/>
        <v>4</v>
      </c>
      <c r="K57">
        <f t="shared" ca="1" si="13"/>
        <v>2</v>
      </c>
      <c r="L57">
        <f t="shared" ca="1" si="13"/>
        <v>3</v>
      </c>
      <c r="M57">
        <f t="shared" ca="1" si="13"/>
        <v>7</v>
      </c>
      <c r="N57">
        <f t="shared" ca="1" si="13"/>
        <v>2</v>
      </c>
      <c r="O57">
        <f t="shared" ca="1" si="13"/>
        <v>9</v>
      </c>
      <c r="P57">
        <f t="shared" ca="1" si="13"/>
        <v>2</v>
      </c>
      <c r="Q57">
        <f t="shared" ca="1" si="13"/>
        <v>1</v>
      </c>
      <c r="R57">
        <f t="shared" ca="1" si="13"/>
        <v>2</v>
      </c>
      <c r="S57">
        <f t="shared" ca="1" si="12"/>
        <v>3</v>
      </c>
      <c r="T57">
        <f t="shared" ca="1" si="12"/>
        <v>1</v>
      </c>
      <c r="U57">
        <f t="shared" ca="1" si="12"/>
        <v>6</v>
      </c>
      <c r="V57">
        <f t="shared" ca="1" si="12"/>
        <v>7</v>
      </c>
      <c r="W57">
        <f t="shared" ca="1" si="12"/>
        <v>7</v>
      </c>
      <c r="X57">
        <f t="shared" ca="1" si="12"/>
        <v>3</v>
      </c>
      <c r="Y57">
        <f t="shared" ca="1" si="12"/>
        <v>6</v>
      </c>
      <c r="Z57">
        <f t="shared" ca="1" si="12"/>
        <v>4</v>
      </c>
      <c r="AA57">
        <f t="shared" ca="1" si="12"/>
        <v>1</v>
      </c>
      <c r="AB57">
        <f t="shared" ca="1" si="12"/>
        <v>7</v>
      </c>
      <c r="AC57">
        <f t="shared" ca="1" si="12"/>
        <v>6</v>
      </c>
      <c r="AD57">
        <f t="shared" ca="1" si="12"/>
        <v>5</v>
      </c>
      <c r="AE57">
        <f t="shared" ca="1" si="12"/>
        <v>4</v>
      </c>
      <c r="AH57" s="25">
        <f t="shared" ca="1" si="3"/>
        <v>121</v>
      </c>
      <c r="AI57">
        <v>340</v>
      </c>
      <c r="AJ57">
        <v>380</v>
      </c>
      <c r="AK57">
        <f t="shared" si="4"/>
        <v>40</v>
      </c>
      <c r="AL57" s="15">
        <f t="shared" ca="1" si="5"/>
        <v>45980</v>
      </c>
      <c r="AM57" s="15">
        <f t="shared" ca="1" si="6"/>
        <v>4840</v>
      </c>
    </row>
    <row r="58" spans="1:39">
      <c r="A58" s="27"/>
    </row>
    <row r="59" spans="1:39">
      <c r="A59" s="27"/>
    </row>
    <row r="60" spans="1:39">
      <c r="A60" s="27"/>
    </row>
    <row r="61" spans="1:39">
      <c r="A61" s="27"/>
    </row>
    <row r="62" spans="1:39">
      <c r="A62" s="27"/>
    </row>
    <row r="63" spans="1:39">
      <c r="A63" s="27"/>
    </row>
    <row r="64" spans="1:39">
      <c r="A64" s="27"/>
    </row>
    <row r="65" spans="1:1">
      <c r="A65" s="27"/>
    </row>
    <row r="66" spans="1:1">
      <c r="A66" s="27"/>
    </row>
    <row r="67" spans="1:1">
      <c r="A67" s="27"/>
    </row>
    <row r="68" spans="1:1">
      <c r="A68" s="27"/>
    </row>
    <row r="69" spans="1:1">
      <c r="A69" s="27"/>
    </row>
    <row r="70" spans="1:1">
      <c r="A70" s="27"/>
    </row>
    <row r="71" spans="1:1">
      <c r="A71" s="27"/>
    </row>
    <row r="72" spans="1:1">
      <c r="A72" s="27"/>
    </row>
    <row r="73" spans="1:1">
      <c r="A73" s="27"/>
    </row>
    <row r="74" spans="1:1">
      <c r="A74" s="27"/>
    </row>
    <row r="75" spans="1:1">
      <c r="A75" s="27"/>
    </row>
    <row r="76" spans="1:1">
      <c r="A76" s="27"/>
    </row>
    <row r="77" spans="1:1">
      <c r="A77" s="27"/>
    </row>
    <row r="78" spans="1:1">
      <c r="A78" s="27"/>
    </row>
    <row r="79" spans="1:1">
      <c r="A79" s="27"/>
    </row>
    <row r="80" spans="1:1">
      <c r="A80" s="27"/>
    </row>
    <row r="81" spans="1:1">
      <c r="A81" s="27"/>
    </row>
    <row r="82" spans="1:1">
      <c r="A82" s="27"/>
    </row>
    <row r="83" spans="1:1">
      <c r="A83" s="27"/>
    </row>
    <row r="84" spans="1:1">
      <c r="A84" s="27"/>
    </row>
    <row r="85" spans="1:1">
      <c r="A85" s="27"/>
    </row>
    <row r="86" spans="1:1">
      <c r="A86" s="27"/>
    </row>
    <row r="87" spans="1:1">
      <c r="A87" s="27"/>
    </row>
  </sheetData>
  <mergeCells count="9">
    <mergeCell ref="A1:A29"/>
    <mergeCell ref="A30:A58"/>
    <mergeCell ref="A59:A87"/>
    <mergeCell ref="AM1:AM2"/>
    <mergeCell ref="AH1:AH2"/>
    <mergeCell ref="AI1:AI2"/>
    <mergeCell ref="AJ1:AJ2"/>
    <mergeCell ref="AK1:AK2"/>
    <mergeCell ref="AL1:AL2"/>
  </mergeCells>
  <dataValidations count="2">
    <dataValidation type="list" allowBlank="1" showInputMessage="1" showErrorMessage="1" sqref="AP2" xr:uid="{00000000-0002-0000-0300-000000000000}">
      <formula1>"2020,2021,2022,2023,2024,2025,2026,2027,2028,2029,2030"</formula1>
    </dataValidation>
    <dataValidation type="list" allowBlank="1" showInputMessage="1" showErrorMessage="1" sqref="AP1" xr:uid="{00000000-0002-0000-0300-000001000000}">
      <formula1>"January,February,March,Aprail,May,June,July,August,September,October,November,December"</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P87"/>
  <sheetViews>
    <sheetView zoomScaleNormal="100" workbookViewId="0">
      <pane xSplit="1" topLeftCell="AC1" activePane="topRight" state="frozenSplit"/>
      <selection pane="topRight" activeCell="AP17" sqref="AP17"/>
    </sheetView>
  </sheetViews>
  <sheetFormatPr defaultRowHeight="15"/>
  <cols>
    <col min="1" max="1" width="17.140625" bestFit="1" customWidth="1"/>
    <col min="2" max="2" width="13.7109375" customWidth="1"/>
    <col min="3" max="3" width="3.28515625" customWidth="1"/>
    <col min="4" max="4" width="3.7109375" customWidth="1"/>
    <col min="5" max="5" width="4.28515625" customWidth="1"/>
    <col min="6" max="6" width="5.140625" customWidth="1"/>
    <col min="7" max="7" width="4.28515625" customWidth="1"/>
    <col min="8" max="8" width="5.28515625" customWidth="1"/>
    <col min="9" max="9" width="4.28515625" customWidth="1"/>
    <col min="10" max="10" width="3.28515625" customWidth="1"/>
    <col min="11" max="11" width="3.7109375" customWidth="1"/>
    <col min="12" max="12" width="4.28515625" customWidth="1"/>
    <col min="13" max="13" width="5.140625" customWidth="1"/>
    <col min="14" max="14" width="4.28515625" customWidth="1"/>
    <col min="15" max="15" width="5.28515625" customWidth="1"/>
    <col min="16" max="16" width="4.28515625" customWidth="1"/>
    <col min="17" max="17" width="3.28515625" customWidth="1"/>
    <col min="18" max="18" width="3.7109375" customWidth="1"/>
    <col min="19" max="19" width="4.28515625" customWidth="1"/>
    <col min="20" max="20" width="5.140625" customWidth="1"/>
    <col min="21" max="21" width="4.28515625" customWidth="1"/>
    <col min="22" max="22" width="5.28515625" customWidth="1"/>
    <col min="23" max="23" width="4.28515625" customWidth="1"/>
    <col min="24" max="24" width="3.28515625" customWidth="1"/>
    <col min="25" max="25" width="3.7109375" customWidth="1"/>
    <col min="26" max="26" width="4.28515625" customWidth="1"/>
    <col min="27" max="27" width="5.140625" customWidth="1"/>
    <col min="28" max="28" width="4.28515625" customWidth="1"/>
    <col min="29" max="29" width="5.28515625" customWidth="1"/>
    <col min="30" max="30" width="4.28515625" customWidth="1"/>
    <col min="31" max="31" width="3.28515625" customWidth="1"/>
    <col min="32" max="32" width="3.7109375" customWidth="1"/>
    <col min="33" max="33" width="4.28515625" customWidth="1"/>
    <col min="34" max="34" width="6.5703125" customWidth="1"/>
    <col min="35" max="35" width="12.42578125" customWidth="1"/>
    <col min="36" max="36" width="10.7109375" customWidth="1"/>
    <col min="41" max="41" width="13.5703125" customWidth="1"/>
    <col min="42" max="42" width="15.85546875" customWidth="1"/>
  </cols>
  <sheetData>
    <row r="1" spans="1:42" ht="15" customHeight="1">
      <c r="A1" s="27"/>
      <c r="C1" s="8" t="str">
        <f>TEXT(C2,"DDD")</f>
        <v>Fri</v>
      </c>
      <c r="D1" s="8" t="str">
        <f t="shared" ref="D1:AG1" si="0">TEXT(D2,"DDD")</f>
        <v>Sat</v>
      </c>
      <c r="E1" s="8" t="str">
        <f t="shared" si="0"/>
        <v>Sun</v>
      </c>
      <c r="F1" s="8" t="str">
        <f t="shared" si="0"/>
        <v>Mon</v>
      </c>
      <c r="G1" s="8" t="str">
        <f t="shared" si="0"/>
        <v>Tue</v>
      </c>
      <c r="H1" s="8" t="str">
        <f t="shared" si="0"/>
        <v>Wed</v>
      </c>
      <c r="I1" s="8" t="str">
        <f t="shared" si="0"/>
        <v>Thu</v>
      </c>
      <c r="J1" s="8" t="str">
        <f t="shared" si="0"/>
        <v>Fri</v>
      </c>
      <c r="K1" s="8" t="str">
        <f t="shared" si="0"/>
        <v>Sat</v>
      </c>
      <c r="L1" s="8" t="str">
        <f t="shared" si="0"/>
        <v>Sun</v>
      </c>
      <c r="M1" s="8" t="str">
        <f t="shared" si="0"/>
        <v>Mon</v>
      </c>
      <c r="N1" s="8" t="str">
        <f t="shared" si="0"/>
        <v>Tue</v>
      </c>
      <c r="O1" s="8" t="str">
        <f t="shared" si="0"/>
        <v>Wed</v>
      </c>
      <c r="P1" s="8" t="str">
        <f t="shared" si="0"/>
        <v>Thu</v>
      </c>
      <c r="Q1" s="8" t="str">
        <f t="shared" si="0"/>
        <v>Fri</v>
      </c>
      <c r="R1" s="8" t="str">
        <f t="shared" si="0"/>
        <v>Sat</v>
      </c>
      <c r="S1" s="8" t="str">
        <f t="shared" si="0"/>
        <v>Sun</v>
      </c>
      <c r="T1" s="8" t="str">
        <f t="shared" si="0"/>
        <v>Mon</v>
      </c>
      <c r="U1" s="8" t="str">
        <f t="shared" si="0"/>
        <v>Tue</v>
      </c>
      <c r="V1" s="8" t="str">
        <f t="shared" si="0"/>
        <v>Wed</v>
      </c>
      <c r="W1" s="8" t="str">
        <f t="shared" si="0"/>
        <v>Thu</v>
      </c>
      <c r="X1" s="8" t="str">
        <f t="shared" si="0"/>
        <v>Fri</v>
      </c>
      <c r="Y1" s="8" t="str">
        <f t="shared" si="0"/>
        <v>Sat</v>
      </c>
      <c r="Z1" s="8" t="str">
        <f t="shared" si="0"/>
        <v>Sun</v>
      </c>
      <c r="AA1" s="8" t="str">
        <f t="shared" si="0"/>
        <v>Mon</v>
      </c>
      <c r="AB1" s="8" t="str">
        <f t="shared" si="0"/>
        <v>Tue</v>
      </c>
      <c r="AC1" s="8" t="str">
        <f t="shared" si="0"/>
        <v>Wed</v>
      </c>
      <c r="AD1" s="8" t="str">
        <f t="shared" si="0"/>
        <v>Thu</v>
      </c>
      <c r="AE1" s="8" t="str">
        <f t="shared" si="0"/>
        <v>Fri</v>
      </c>
      <c r="AF1" s="8" t="str">
        <f t="shared" si="0"/>
        <v>Sat</v>
      </c>
      <c r="AG1" s="8" t="str">
        <f t="shared" si="0"/>
        <v>Sun</v>
      </c>
      <c r="AH1" s="28" t="s">
        <v>75</v>
      </c>
      <c r="AI1" s="28" t="s">
        <v>76</v>
      </c>
      <c r="AJ1" s="30" t="s">
        <v>77</v>
      </c>
      <c r="AK1" s="28" t="s">
        <v>78</v>
      </c>
      <c r="AL1" s="29" t="s">
        <v>79</v>
      </c>
      <c r="AM1" s="29" t="s">
        <v>80</v>
      </c>
      <c r="AO1" s="5" t="s">
        <v>81</v>
      </c>
      <c r="AP1" s="10" t="s">
        <v>96</v>
      </c>
    </row>
    <row r="2" spans="1:42">
      <c r="A2" s="27"/>
      <c r="B2" s="1" t="s">
        <v>0</v>
      </c>
      <c r="C2" s="9">
        <f>IF(COLUMNS($C$2:C2)&gt;DAY($AP$4),"",$AP$3+COLUMNS($C$2:C2)-1)</f>
        <v>45352</v>
      </c>
      <c r="D2" s="9">
        <f>IF(COLUMNS($C$2:D2)&gt;DAY($AP$4),"",$AP$3+COLUMNS($C$2:D2)-1)</f>
        <v>45353</v>
      </c>
      <c r="E2" s="9">
        <f>IF(COLUMNS($C$2:E2)&gt;DAY($AP$4),"",$AP$3+COLUMNS($C$2:E2)-1)</f>
        <v>45354</v>
      </c>
      <c r="F2" s="9">
        <f>IF(COLUMNS($C$2:F2)&gt;DAY($AP$4),"",$AP$3+COLUMNS($C$2:F2)-1)</f>
        <v>45355</v>
      </c>
      <c r="G2" s="9">
        <f>IF(COLUMNS($C$2:G2)&gt;DAY($AP$4),"",$AP$3+COLUMNS($C$2:G2)-1)</f>
        <v>45356</v>
      </c>
      <c r="H2" s="9">
        <f>IF(COLUMNS($C$2:H2)&gt;DAY($AP$4),"",$AP$3+COLUMNS($C$2:H2)-1)</f>
        <v>45357</v>
      </c>
      <c r="I2" s="9">
        <f>IF(COLUMNS($C$2:I2)&gt;DAY($AP$4),"",$AP$3+COLUMNS($C$2:I2)-1)</f>
        <v>45358</v>
      </c>
      <c r="J2" s="9">
        <f>IF(COLUMNS($C$2:J2)&gt;DAY($AP$4),"",$AP$3+COLUMNS($C$2:J2)-1)</f>
        <v>45359</v>
      </c>
      <c r="K2" s="9">
        <f>IF(COLUMNS($C$2:K2)&gt;DAY($AP$4),"",$AP$3+COLUMNS($C$2:K2)-1)</f>
        <v>45360</v>
      </c>
      <c r="L2" s="9">
        <f>IF(COLUMNS($C$2:L2)&gt;DAY($AP$4),"",$AP$3+COLUMNS($C$2:L2)-1)</f>
        <v>45361</v>
      </c>
      <c r="M2" s="9">
        <f>IF(COLUMNS($C$2:M2)&gt;DAY($AP$4),"",$AP$3+COLUMNS($C$2:M2)-1)</f>
        <v>45362</v>
      </c>
      <c r="N2" s="9">
        <f>IF(COLUMNS($C$2:N2)&gt;DAY($AP$4),"",$AP$3+COLUMNS($C$2:N2)-1)</f>
        <v>45363</v>
      </c>
      <c r="O2" s="9">
        <f>IF(COLUMNS($C$2:O2)&gt;DAY($AP$4),"",$AP$3+COLUMNS($C$2:O2)-1)</f>
        <v>45364</v>
      </c>
      <c r="P2" s="9">
        <f>IF(COLUMNS($C$2:P2)&gt;DAY($AP$4),"",$AP$3+COLUMNS($C$2:P2)-1)</f>
        <v>45365</v>
      </c>
      <c r="Q2" s="9">
        <f>IF(COLUMNS($C$2:Q2)&gt;DAY($AP$4),"",$AP$3+COLUMNS($C$2:Q2)-1)</f>
        <v>45366</v>
      </c>
      <c r="R2" s="9">
        <f>IF(COLUMNS($C$2:R2)&gt;DAY($AP$4),"",$AP$3+COLUMNS($C$2:R2)-1)</f>
        <v>45367</v>
      </c>
      <c r="S2" s="9">
        <f>IF(COLUMNS($C$2:S2)&gt;DAY($AP$4),"",$AP$3+COLUMNS($C$2:S2)-1)</f>
        <v>45368</v>
      </c>
      <c r="T2" s="9">
        <f>IF(COLUMNS($C$2:T2)&gt;DAY($AP$4),"",$AP$3+COLUMNS($C$2:T2)-1)</f>
        <v>45369</v>
      </c>
      <c r="U2" s="9">
        <f>IF(COLUMNS($C$2:U2)&gt;DAY($AP$4),"",$AP$3+COLUMNS($C$2:U2)-1)</f>
        <v>45370</v>
      </c>
      <c r="V2" s="9">
        <f>IF(COLUMNS($C$2:V2)&gt;DAY($AP$4),"",$AP$3+COLUMNS($C$2:V2)-1)</f>
        <v>45371</v>
      </c>
      <c r="W2" s="9">
        <f>IF(COLUMNS($C$2:W2)&gt;DAY($AP$4),"",$AP$3+COLUMNS($C$2:W2)-1)</f>
        <v>45372</v>
      </c>
      <c r="X2" s="9">
        <f>IF(COLUMNS($C$2:X2)&gt;DAY($AP$4),"",$AP$3+COLUMNS($C$2:X2)-1)</f>
        <v>45373</v>
      </c>
      <c r="Y2" s="9">
        <f>IF(COLUMNS($C$2:Y2)&gt;DAY($AP$4),"",$AP$3+COLUMNS($C$2:Y2)-1)</f>
        <v>45374</v>
      </c>
      <c r="Z2" s="9">
        <f>IF(COLUMNS($C$2:Z2)&gt;DAY($AP$4),"",$AP$3+COLUMNS($C$2:Z2)-1)</f>
        <v>45375</v>
      </c>
      <c r="AA2" s="9">
        <f>IF(COLUMNS($C$2:AA2)&gt;DAY($AP$4),"",$AP$3+COLUMNS($C$2:AA2)-1)</f>
        <v>45376</v>
      </c>
      <c r="AB2" s="9">
        <f>IF(COLUMNS($C$2:AB2)&gt;DAY($AP$4),"",$AP$3+COLUMNS($C$2:AB2)-1)</f>
        <v>45377</v>
      </c>
      <c r="AC2" s="9">
        <f>IF(COLUMNS($C$2:AC2)&gt;DAY($AP$4),"",$AP$3+COLUMNS($C$2:AC2)-1)</f>
        <v>45378</v>
      </c>
      <c r="AD2" s="9">
        <f>IF(COLUMNS($C$2:AD2)&gt;DAY($AP$4),"",$AP$3+COLUMNS($C$2:AD2)-1)</f>
        <v>45379</v>
      </c>
      <c r="AE2" s="9">
        <f>IF(COLUMNS($C$2:AE2)&gt;DAY($AP$4),"",$AP$3+COLUMNS($C$2:AE2)-1)</f>
        <v>45380</v>
      </c>
      <c r="AF2" s="9">
        <f>IF(COLUMNS($C$2:AF2)&gt;DAY($AP$4),"",$AP$3+COLUMNS($C$2:AF2)-1)</f>
        <v>45381</v>
      </c>
      <c r="AG2" s="9">
        <f>IF(COLUMNS($C$2:AG2)&gt;DAY($AP$4),"",$AP$3+COLUMNS($C$2:AG2)-1)</f>
        <v>45382</v>
      </c>
      <c r="AH2" s="28"/>
      <c r="AI2" s="28"/>
      <c r="AJ2" s="30"/>
      <c r="AK2" s="28"/>
      <c r="AL2" s="29"/>
      <c r="AM2" s="29"/>
      <c r="AO2" s="6" t="s">
        <v>83</v>
      </c>
      <c r="AP2" s="11">
        <v>2024</v>
      </c>
    </row>
    <row r="3" spans="1:42">
      <c r="A3" s="27"/>
      <c r="B3" t="s">
        <v>18</v>
      </c>
      <c r="C3">
        <f ca="1">RANDBETWEEN(1,10)</f>
        <v>3</v>
      </c>
      <c r="D3">
        <f t="shared" ref="D3:AG12" ca="1" si="1">RANDBETWEEN(1,10)</f>
        <v>3</v>
      </c>
      <c r="E3">
        <f t="shared" ca="1" si="1"/>
        <v>1</v>
      </c>
      <c r="F3">
        <f t="shared" ca="1" si="1"/>
        <v>1</v>
      </c>
      <c r="G3">
        <f t="shared" ca="1" si="1"/>
        <v>5</v>
      </c>
      <c r="H3">
        <f t="shared" ca="1" si="1"/>
        <v>7</v>
      </c>
      <c r="I3">
        <f t="shared" ca="1" si="1"/>
        <v>7</v>
      </c>
      <c r="J3">
        <f t="shared" ca="1" si="1"/>
        <v>10</v>
      </c>
      <c r="K3">
        <f t="shared" ca="1" si="1"/>
        <v>3</v>
      </c>
      <c r="L3">
        <f t="shared" ca="1" si="1"/>
        <v>4</v>
      </c>
      <c r="M3">
        <f t="shared" ca="1" si="1"/>
        <v>1</v>
      </c>
      <c r="N3">
        <f t="shared" ca="1" si="1"/>
        <v>5</v>
      </c>
      <c r="O3">
        <f t="shared" ca="1" si="1"/>
        <v>5</v>
      </c>
      <c r="P3">
        <f t="shared" ca="1" si="1"/>
        <v>6</v>
      </c>
      <c r="Q3">
        <f t="shared" ca="1" si="1"/>
        <v>1</v>
      </c>
      <c r="R3">
        <f t="shared" ca="1" si="1"/>
        <v>5</v>
      </c>
      <c r="S3">
        <f t="shared" ca="1" si="1"/>
        <v>3</v>
      </c>
      <c r="T3">
        <f t="shared" ca="1" si="1"/>
        <v>10</v>
      </c>
      <c r="U3">
        <f t="shared" ca="1" si="1"/>
        <v>5</v>
      </c>
      <c r="V3">
        <f t="shared" ca="1" si="1"/>
        <v>3</v>
      </c>
      <c r="W3">
        <f t="shared" ca="1" si="1"/>
        <v>10</v>
      </c>
      <c r="X3">
        <f t="shared" ca="1" si="1"/>
        <v>9</v>
      </c>
      <c r="Y3">
        <f t="shared" ca="1" si="1"/>
        <v>9</v>
      </c>
      <c r="Z3">
        <f t="shared" ca="1" si="1"/>
        <v>8</v>
      </c>
      <c r="AA3">
        <f t="shared" ca="1" si="1"/>
        <v>1</v>
      </c>
      <c r="AB3">
        <f t="shared" ca="1" si="1"/>
        <v>10</v>
      </c>
      <c r="AC3">
        <f t="shared" ca="1" si="1"/>
        <v>10</v>
      </c>
      <c r="AD3">
        <f t="shared" ca="1" si="1"/>
        <v>6</v>
      </c>
      <c r="AE3">
        <f t="shared" ca="1" si="1"/>
        <v>1</v>
      </c>
      <c r="AF3">
        <f t="shared" ca="1" si="1"/>
        <v>8</v>
      </c>
      <c r="AG3">
        <f t="shared" ca="1" si="1"/>
        <v>6</v>
      </c>
      <c r="AH3" s="25">
        <f ca="1">IF(SUM($C3:$AG3)&gt;0,SUM($C3:$AG3),"")</f>
        <v>166</v>
      </c>
      <c r="AI3">
        <v>40</v>
      </c>
      <c r="AJ3">
        <v>80</v>
      </c>
      <c r="AK3">
        <f>AJ3-AI3</f>
        <v>40</v>
      </c>
      <c r="AL3" s="15">
        <f ca="1">AJ3*AH3</f>
        <v>13280</v>
      </c>
      <c r="AM3" s="15">
        <f ca="1">AK3*AH3</f>
        <v>6640</v>
      </c>
      <c r="AO3" s="7" t="s">
        <v>84</v>
      </c>
      <c r="AP3" s="4">
        <f>DATE(AP2,MONTH(AP1&amp;1),1)</f>
        <v>45352</v>
      </c>
    </row>
    <row r="4" spans="1:42">
      <c r="A4" s="27"/>
      <c r="B4" t="s">
        <v>20</v>
      </c>
      <c r="C4">
        <f t="shared" ref="C4:R19" ca="1" si="2">RANDBETWEEN(1,10)</f>
        <v>5</v>
      </c>
      <c r="D4">
        <f t="shared" ca="1" si="2"/>
        <v>2</v>
      </c>
      <c r="E4">
        <f t="shared" ca="1" si="2"/>
        <v>3</v>
      </c>
      <c r="F4">
        <f t="shared" ca="1" si="2"/>
        <v>3</v>
      </c>
      <c r="G4">
        <f t="shared" ca="1" si="2"/>
        <v>1</v>
      </c>
      <c r="H4">
        <f t="shared" ca="1" si="2"/>
        <v>6</v>
      </c>
      <c r="I4">
        <f t="shared" ca="1" si="2"/>
        <v>9</v>
      </c>
      <c r="J4">
        <f t="shared" ca="1" si="2"/>
        <v>6</v>
      </c>
      <c r="K4">
        <f t="shared" ca="1" si="2"/>
        <v>8</v>
      </c>
      <c r="L4">
        <f t="shared" ca="1" si="2"/>
        <v>8</v>
      </c>
      <c r="M4">
        <f t="shared" ca="1" si="2"/>
        <v>5</v>
      </c>
      <c r="N4">
        <f t="shared" ca="1" si="2"/>
        <v>3</v>
      </c>
      <c r="O4">
        <f t="shared" ca="1" si="2"/>
        <v>5</v>
      </c>
      <c r="P4">
        <f t="shared" ca="1" si="2"/>
        <v>1</v>
      </c>
      <c r="Q4">
        <f t="shared" ca="1" si="2"/>
        <v>6</v>
      </c>
      <c r="R4">
        <f t="shared" ca="1" si="2"/>
        <v>3</v>
      </c>
      <c r="S4">
        <f t="shared" ca="1" si="1"/>
        <v>5</v>
      </c>
      <c r="T4">
        <f t="shared" ca="1" si="1"/>
        <v>10</v>
      </c>
      <c r="U4">
        <f t="shared" ca="1" si="1"/>
        <v>8</v>
      </c>
      <c r="V4">
        <f t="shared" ca="1" si="1"/>
        <v>1</v>
      </c>
      <c r="W4">
        <f t="shared" ca="1" si="1"/>
        <v>6</v>
      </c>
      <c r="X4">
        <f t="shared" ca="1" si="1"/>
        <v>7</v>
      </c>
      <c r="Y4">
        <f t="shared" ca="1" si="1"/>
        <v>3</v>
      </c>
      <c r="Z4">
        <f t="shared" ca="1" si="1"/>
        <v>6</v>
      </c>
      <c r="AA4">
        <f t="shared" ca="1" si="1"/>
        <v>9</v>
      </c>
      <c r="AB4">
        <f t="shared" ca="1" si="1"/>
        <v>7</v>
      </c>
      <c r="AC4">
        <f t="shared" ca="1" si="1"/>
        <v>6</v>
      </c>
      <c r="AD4">
        <f t="shared" ca="1" si="1"/>
        <v>6</v>
      </c>
      <c r="AE4">
        <f t="shared" ca="1" si="1"/>
        <v>3</v>
      </c>
      <c r="AF4">
        <f t="shared" ca="1" si="1"/>
        <v>8</v>
      </c>
      <c r="AG4">
        <f t="shared" ca="1" si="1"/>
        <v>4</v>
      </c>
      <c r="AH4" s="25">
        <f ca="1">IF(SUM($C4:$AG4)&gt;0,SUM($C4:$AG4),"")</f>
        <v>163</v>
      </c>
      <c r="AI4">
        <v>7</v>
      </c>
      <c r="AJ4">
        <v>15</v>
      </c>
      <c r="AK4">
        <f t="shared" ref="AK4:AK57" si="3">AJ4-AI4</f>
        <v>8</v>
      </c>
      <c r="AL4" s="15">
        <f t="shared" ref="AL4:AL57" ca="1" si="4">AJ4*AH4</f>
        <v>2445</v>
      </c>
      <c r="AM4" s="15">
        <f t="shared" ref="AM4:AM57" ca="1" si="5">AK4*AH4</f>
        <v>1304</v>
      </c>
      <c r="AO4" s="7" t="s">
        <v>85</v>
      </c>
      <c r="AP4" s="4">
        <f>EOMONTH(AP3,0)</f>
        <v>45382</v>
      </c>
    </row>
    <row r="5" spans="1:42">
      <c r="A5" s="27"/>
      <c r="B5" t="s">
        <v>21</v>
      </c>
      <c r="C5">
        <f t="shared" ca="1" si="2"/>
        <v>3</v>
      </c>
      <c r="D5">
        <f t="shared" ca="1" si="1"/>
        <v>9</v>
      </c>
      <c r="E5">
        <f t="shared" ca="1" si="1"/>
        <v>3</v>
      </c>
      <c r="F5">
        <f t="shared" ca="1" si="1"/>
        <v>10</v>
      </c>
      <c r="G5">
        <f t="shared" ca="1" si="1"/>
        <v>3</v>
      </c>
      <c r="H5">
        <f t="shared" ca="1" si="1"/>
        <v>7</v>
      </c>
      <c r="I5">
        <f t="shared" ca="1" si="1"/>
        <v>4</v>
      </c>
      <c r="J5">
        <f t="shared" ca="1" si="1"/>
        <v>9</v>
      </c>
      <c r="K5">
        <f t="shared" ca="1" si="1"/>
        <v>5</v>
      </c>
      <c r="L5">
        <f t="shared" ca="1" si="1"/>
        <v>9</v>
      </c>
      <c r="M5">
        <f t="shared" ca="1" si="1"/>
        <v>10</v>
      </c>
      <c r="N5">
        <f t="shared" ca="1" si="1"/>
        <v>3</v>
      </c>
      <c r="O5">
        <f t="shared" ca="1" si="1"/>
        <v>5</v>
      </c>
      <c r="P5">
        <f t="shared" ca="1" si="1"/>
        <v>6</v>
      </c>
      <c r="Q5">
        <f t="shared" ca="1" si="1"/>
        <v>6</v>
      </c>
      <c r="R5">
        <f t="shared" ca="1" si="1"/>
        <v>7</v>
      </c>
      <c r="S5">
        <f t="shared" ca="1" si="1"/>
        <v>9</v>
      </c>
      <c r="T5">
        <f t="shared" ca="1" si="1"/>
        <v>9</v>
      </c>
      <c r="U5">
        <f t="shared" ca="1" si="1"/>
        <v>2</v>
      </c>
      <c r="V5">
        <f t="shared" ca="1" si="1"/>
        <v>1</v>
      </c>
      <c r="W5">
        <f t="shared" ca="1" si="1"/>
        <v>1</v>
      </c>
      <c r="X5">
        <f t="shared" ca="1" si="1"/>
        <v>9</v>
      </c>
      <c r="Y5">
        <f t="shared" ca="1" si="1"/>
        <v>7</v>
      </c>
      <c r="Z5">
        <f t="shared" ca="1" si="1"/>
        <v>6</v>
      </c>
      <c r="AA5">
        <f t="shared" ca="1" si="1"/>
        <v>7</v>
      </c>
      <c r="AB5">
        <f t="shared" ca="1" si="1"/>
        <v>6</v>
      </c>
      <c r="AC5">
        <f t="shared" ca="1" si="1"/>
        <v>1</v>
      </c>
      <c r="AD5">
        <f t="shared" ca="1" si="1"/>
        <v>4</v>
      </c>
      <c r="AE5">
        <f t="shared" ca="1" si="1"/>
        <v>5</v>
      </c>
      <c r="AF5">
        <f t="shared" ca="1" si="1"/>
        <v>7</v>
      </c>
      <c r="AG5">
        <f t="shared" ca="1" si="1"/>
        <v>9</v>
      </c>
      <c r="AH5" s="25">
        <f t="shared" ref="AH5:AH57" ca="1" si="6">IF(SUM($C5:$AG5)&gt;0,SUM($C5:$AG5),"")</f>
        <v>182</v>
      </c>
      <c r="AI5">
        <v>5</v>
      </c>
      <c r="AJ5">
        <v>10</v>
      </c>
      <c r="AK5">
        <f t="shared" si="3"/>
        <v>5</v>
      </c>
      <c r="AL5" s="15">
        <f t="shared" ca="1" si="4"/>
        <v>1820</v>
      </c>
      <c r="AM5" s="15">
        <f t="shared" ca="1" si="5"/>
        <v>910</v>
      </c>
    </row>
    <row r="6" spans="1:42">
      <c r="A6" s="27"/>
      <c r="B6" t="s">
        <v>23</v>
      </c>
      <c r="C6">
        <f t="shared" ca="1" si="2"/>
        <v>3</v>
      </c>
      <c r="D6">
        <f t="shared" ca="1" si="1"/>
        <v>2</v>
      </c>
      <c r="E6">
        <f t="shared" ca="1" si="1"/>
        <v>10</v>
      </c>
      <c r="F6">
        <f t="shared" ca="1" si="1"/>
        <v>9</v>
      </c>
      <c r="G6">
        <f t="shared" ca="1" si="1"/>
        <v>9</v>
      </c>
      <c r="H6">
        <f t="shared" ca="1" si="1"/>
        <v>9</v>
      </c>
      <c r="I6">
        <f t="shared" ca="1" si="1"/>
        <v>1</v>
      </c>
      <c r="J6">
        <f t="shared" ca="1" si="1"/>
        <v>9</v>
      </c>
      <c r="K6">
        <f t="shared" ca="1" si="1"/>
        <v>4</v>
      </c>
      <c r="L6">
        <f t="shared" ca="1" si="1"/>
        <v>6</v>
      </c>
      <c r="M6">
        <f t="shared" ca="1" si="1"/>
        <v>8</v>
      </c>
      <c r="N6">
        <f t="shared" ca="1" si="1"/>
        <v>10</v>
      </c>
      <c r="O6">
        <f t="shared" ca="1" si="1"/>
        <v>3</v>
      </c>
      <c r="P6">
        <f t="shared" ca="1" si="1"/>
        <v>2</v>
      </c>
      <c r="Q6">
        <f t="shared" ca="1" si="1"/>
        <v>8</v>
      </c>
      <c r="R6">
        <f t="shared" ca="1" si="1"/>
        <v>7</v>
      </c>
      <c r="S6">
        <f t="shared" ca="1" si="1"/>
        <v>9</v>
      </c>
      <c r="T6">
        <f t="shared" ca="1" si="1"/>
        <v>8</v>
      </c>
      <c r="U6">
        <f t="shared" ca="1" si="1"/>
        <v>3</v>
      </c>
      <c r="V6">
        <f t="shared" ca="1" si="1"/>
        <v>4</v>
      </c>
      <c r="W6">
        <f t="shared" ca="1" si="1"/>
        <v>3</v>
      </c>
      <c r="X6">
        <f t="shared" ca="1" si="1"/>
        <v>9</v>
      </c>
      <c r="Y6">
        <f t="shared" ca="1" si="1"/>
        <v>5</v>
      </c>
      <c r="Z6">
        <f t="shared" ca="1" si="1"/>
        <v>1</v>
      </c>
      <c r="AA6">
        <f t="shared" ca="1" si="1"/>
        <v>5</v>
      </c>
      <c r="AB6">
        <f t="shared" ca="1" si="1"/>
        <v>8</v>
      </c>
      <c r="AC6">
        <f t="shared" ca="1" si="1"/>
        <v>7</v>
      </c>
      <c r="AD6">
        <f t="shared" ca="1" si="1"/>
        <v>5</v>
      </c>
      <c r="AE6">
        <f t="shared" ca="1" si="1"/>
        <v>1</v>
      </c>
      <c r="AF6">
        <f t="shared" ca="1" si="1"/>
        <v>10</v>
      </c>
      <c r="AG6">
        <f t="shared" ca="1" si="1"/>
        <v>4</v>
      </c>
      <c r="AH6" s="25">
        <f t="shared" ca="1" si="6"/>
        <v>182</v>
      </c>
      <c r="AI6">
        <v>45</v>
      </c>
      <c r="AJ6">
        <v>80</v>
      </c>
      <c r="AK6">
        <f t="shared" si="3"/>
        <v>35</v>
      </c>
      <c r="AL6" s="15">
        <f t="shared" ca="1" si="4"/>
        <v>14560</v>
      </c>
      <c r="AM6" s="15">
        <f t="shared" ca="1" si="5"/>
        <v>6370</v>
      </c>
    </row>
    <row r="7" spans="1:42">
      <c r="A7" s="27"/>
      <c r="B7" t="s">
        <v>24</v>
      </c>
      <c r="C7">
        <f t="shared" ca="1" si="2"/>
        <v>4</v>
      </c>
      <c r="D7">
        <f t="shared" ca="1" si="1"/>
        <v>5</v>
      </c>
      <c r="E7">
        <f t="shared" ca="1" si="1"/>
        <v>10</v>
      </c>
      <c r="F7">
        <f t="shared" ca="1" si="1"/>
        <v>6</v>
      </c>
      <c r="G7">
        <f t="shared" ca="1" si="1"/>
        <v>3</v>
      </c>
      <c r="H7">
        <f t="shared" ca="1" si="1"/>
        <v>2</v>
      </c>
      <c r="I7">
        <f t="shared" ca="1" si="1"/>
        <v>5</v>
      </c>
      <c r="J7">
        <f t="shared" ca="1" si="1"/>
        <v>2</v>
      </c>
      <c r="K7">
        <f t="shared" ca="1" si="1"/>
        <v>2</v>
      </c>
      <c r="L7">
        <f t="shared" ca="1" si="1"/>
        <v>5</v>
      </c>
      <c r="M7">
        <f t="shared" ca="1" si="1"/>
        <v>7</v>
      </c>
      <c r="N7">
        <f t="shared" ca="1" si="1"/>
        <v>8</v>
      </c>
      <c r="O7">
        <f t="shared" ca="1" si="1"/>
        <v>10</v>
      </c>
      <c r="P7">
        <f t="shared" ca="1" si="1"/>
        <v>5</v>
      </c>
      <c r="Q7">
        <f t="shared" ca="1" si="1"/>
        <v>1</v>
      </c>
      <c r="R7">
        <f t="shared" ca="1" si="1"/>
        <v>5</v>
      </c>
      <c r="S7">
        <f t="shared" ca="1" si="1"/>
        <v>10</v>
      </c>
      <c r="T7">
        <f t="shared" ca="1" si="1"/>
        <v>10</v>
      </c>
      <c r="U7">
        <f t="shared" ca="1" si="1"/>
        <v>1</v>
      </c>
      <c r="V7">
        <f t="shared" ca="1" si="1"/>
        <v>10</v>
      </c>
      <c r="W7">
        <f t="shared" ca="1" si="1"/>
        <v>8</v>
      </c>
      <c r="X7">
        <f t="shared" ca="1" si="1"/>
        <v>2</v>
      </c>
      <c r="Y7">
        <f t="shared" ca="1" si="1"/>
        <v>4</v>
      </c>
      <c r="Z7">
        <f t="shared" ca="1" si="1"/>
        <v>10</v>
      </c>
      <c r="AA7">
        <f t="shared" ca="1" si="1"/>
        <v>10</v>
      </c>
      <c r="AB7">
        <f t="shared" ca="1" si="1"/>
        <v>4</v>
      </c>
      <c r="AC7">
        <f t="shared" ca="1" si="1"/>
        <v>8</v>
      </c>
      <c r="AD7">
        <f t="shared" ca="1" si="1"/>
        <v>5</v>
      </c>
      <c r="AE7">
        <f t="shared" ca="1" si="1"/>
        <v>8</v>
      </c>
      <c r="AF7">
        <f t="shared" ca="1" si="1"/>
        <v>10</v>
      </c>
      <c r="AG7">
        <f t="shared" ca="1" si="1"/>
        <v>1</v>
      </c>
      <c r="AH7" s="25">
        <f t="shared" ca="1" si="6"/>
        <v>181</v>
      </c>
      <c r="AI7">
        <v>392</v>
      </c>
      <c r="AJ7">
        <v>420</v>
      </c>
      <c r="AK7">
        <f t="shared" si="3"/>
        <v>28</v>
      </c>
      <c r="AL7" s="15">
        <f t="shared" ca="1" si="4"/>
        <v>76020</v>
      </c>
      <c r="AM7" s="15">
        <f t="shared" ca="1" si="5"/>
        <v>5068</v>
      </c>
      <c r="AO7" s="1" t="s">
        <v>86</v>
      </c>
    </row>
    <row r="8" spans="1:42">
      <c r="A8" s="27"/>
      <c r="B8" t="s">
        <v>25</v>
      </c>
      <c r="C8">
        <f t="shared" ca="1" si="2"/>
        <v>9</v>
      </c>
      <c r="D8">
        <f t="shared" ca="1" si="2"/>
        <v>6</v>
      </c>
      <c r="E8">
        <f t="shared" ca="1" si="2"/>
        <v>8</v>
      </c>
      <c r="F8">
        <f t="shared" ca="1" si="2"/>
        <v>6</v>
      </c>
      <c r="G8">
        <f t="shared" ca="1" si="2"/>
        <v>5</v>
      </c>
      <c r="H8">
        <f t="shared" ca="1" si="2"/>
        <v>9</v>
      </c>
      <c r="I8">
        <f t="shared" ca="1" si="2"/>
        <v>5</v>
      </c>
      <c r="J8">
        <f t="shared" ca="1" si="2"/>
        <v>6</v>
      </c>
      <c r="K8">
        <f t="shared" ca="1" si="2"/>
        <v>7</v>
      </c>
      <c r="L8">
        <f t="shared" ca="1" si="2"/>
        <v>3</v>
      </c>
      <c r="M8">
        <f t="shared" ca="1" si="2"/>
        <v>8</v>
      </c>
      <c r="N8">
        <f t="shared" ca="1" si="2"/>
        <v>1</v>
      </c>
      <c r="O8">
        <f t="shared" ca="1" si="2"/>
        <v>4</v>
      </c>
      <c r="P8">
        <f t="shared" ca="1" si="2"/>
        <v>1</v>
      </c>
      <c r="Q8">
        <f t="shared" ca="1" si="2"/>
        <v>3</v>
      </c>
      <c r="R8">
        <f t="shared" ca="1" si="2"/>
        <v>8</v>
      </c>
      <c r="S8">
        <f t="shared" ca="1" si="1"/>
        <v>5</v>
      </c>
      <c r="T8">
        <f t="shared" ca="1" si="1"/>
        <v>6</v>
      </c>
      <c r="U8">
        <f t="shared" ca="1" si="1"/>
        <v>1</v>
      </c>
      <c r="V8">
        <f t="shared" ca="1" si="1"/>
        <v>8</v>
      </c>
      <c r="W8">
        <f t="shared" ca="1" si="1"/>
        <v>1</v>
      </c>
      <c r="X8">
        <f t="shared" ca="1" si="1"/>
        <v>10</v>
      </c>
      <c r="Y8">
        <f t="shared" ca="1" si="1"/>
        <v>8</v>
      </c>
      <c r="Z8">
        <f t="shared" ca="1" si="1"/>
        <v>8</v>
      </c>
      <c r="AA8">
        <f t="shared" ca="1" si="1"/>
        <v>8</v>
      </c>
      <c r="AB8">
        <f t="shared" ca="1" si="1"/>
        <v>8</v>
      </c>
      <c r="AC8">
        <f t="shared" ca="1" si="1"/>
        <v>3</v>
      </c>
      <c r="AD8">
        <f t="shared" ca="1" si="1"/>
        <v>3</v>
      </c>
      <c r="AE8">
        <f t="shared" ca="1" si="1"/>
        <v>1</v>
      </c>
      <c r="AF8">
        <f t="shared" ca="1" si="1"/>
        <v>4</v>
      </c>
      <c r="AG8">
        <f t="shared" ca="1" si="1"/>
        <v>3</v>
      </c>
      <c r="AH8" s="25">
        <f t="shared" ca="1" si="6"/>
        <v>166</v>
      </c>
      <c r="AI8">
        <v>86</v>
      </c>
      <c r="AJ8">
        <v>100</v>
      </c>
      <c r="AK8">
        <f t="shared" si="3"/>
        <v>14</v>
      </c>
      <c r="AL8" s="15">
        <f t="shared" ca="1" si="4"/>
        <v>16600</v>
      </c>
      <c r="AM8" s="15">
        <f t="shared" ca="1" si="5"/>
        <v>2324</v>
      </c>
      <c r="AO8" t="s">
        <v>87</v>
      </c>
    </row>
    <row r="9" spans="1:42">
      <c r="A9" s="27"/>
      <c r="B9" t="s">
        <v>26</v>
      </c>
      <c r="C9">
        <f t="shared" ca="1" si="2"/>
        <v>7</v>
      </c>
      <c r="D9">
        <f t="shared" ca="1" si="1"/>
        <v>9</v>
      </c>
      <c r="E9">
        <f t="shared" ca="1" si="1"/>
        <v>7</v>
      </c>
      <c r="F9">
        <f t="shared" ca="1" si="1"/>
        <v>1</v>
      </c>
      <c r="G9">
        <f t="shared" ca="1" si="1"/>
        <v>9</v>
      </c>
      <c r="H9">
        <f t="shared" ca="1" si="1"/>
        <v>4</v>
      </c>
      <c r="I9">
        <f t="shared" ca="1" si="1"/>
        <v>7</v>
      </c>
      <c r="J9">
        <f t="shared" ca="1" si="1"/>
        <v>10</v>
      </c>
      <c r="K9">
        <f t="shared" ca="1" si="1"/>
        <v>9</v>
      </c>
      <c r="L9">
        <f t="shared" ca="1" si="1"/>
        <v>5</v>
      </c>
      <c r="M9">
        <f t="shared" ca="1" si="1"/>
        <v>1</v>
      </c>
      <c r="N9">
        <f t="shared" ca="1" si="1"/>
        <v>1</v>
      </c>
      <c r="O9">
        <f t="shared" ca="1" si="1"/>
        <v>6</v>
      </c>
      <c r="P9">
        <f t="shared" ca="1" si="1"/>
        <v>2</v>
      </c>
      <c r="Q9">
        <f t="shared" ca="1" si="1"/>
        <v>3</v>
      </c>
      <c r="R9">
        <f t="shared" ca="1" si="1"/>
        <v>5</v>
      </c>
      <c r="S9">
        <f t="shared" ca="1" si="1"/>
        <v>9</v>
      </c>
      <c r="T9">
        <f t="shared" ca="1" si="1"/>
        <v>8</v>
      </c>
      <c r="U9">
        <f t="shared" ca="1" si="1"/>
        <v>7</v>
      </c>
      <c r="V9">
        <f t="shared" ca="1" si="1"/>
        <v>4</v>
      </c>
      <c r="W9">
        <f t="shared" ca="1" si="1"/>
        <v>3</v>
      </c>
      <c r="X9">
        <f t="shared" ca="1" si="1"/>
        <v>3</v>
      </c>
      <c r="Y9">
        <f t="shared" ca="1" si="1"/>
        <v>1</v>
      </c>
      <c r="Z9">
        <f t="shared" ca="1" si="1"/>
        <v>7</v>
      </c>
      <c r="AA9">
        <f t="shared" ca="1" si="1"/>
        <v>6</v>
      </c>
      <c r="AB9">
        <f t="shared" ca="1" si="1"/>
        <v>7</v>
      </c>
      <c r="AC9">
        <f t="shared" ca="1" si="1"/>
        <v>8</v>
      </c>
      <c r="AD9">
        <f t="shared" ca="1" si="1"/>
        <v>5</v>
      </c>
      <c r="AE9">
        <f t="shared" ca="1" si="1"/>
        <v>8</v>
      </c>
      <c r="AF9">
        <f t="shared" ca="1" si="1"/>
        <v>5</v>
      </c>
      <c r="AG9">
        <f t="shared" ca="1" si="1"/>
        <v>3</v>
      </c>
      <c r="AH9" s="25">
        <f t="shared" ca="1" si="6"/>
        <v>170</v>
      </c>
      <c r="AI9">
        <v>271</v>
      </c>
      <c r="AJ9">
        <v>300</v>
      </c>
      <c r="AK9">
        <f t="shared" si="3"/>
        <v>29</v>
      </c>
      <c r="AL9" s="15">
        <f t="shared" ca="1" si="4"/>
        <v>51000</v>
      </c>
      <c r="AM9" s="15">
        <f t="shared" ca="1" si="5"/>
        <v>4930</v>
      </c>
      <c r="AO9" t="s">
        <v>88</v>
      </c>
      <c r="AP9" s="13">
        <f>'Attendence (March)'!AL3</f>
        <v>48333.333333333336</v>
      </c>
    </row>
    <row r="10" spans="1:42">
      <c r="A10" s="27"/>
      <c r="B10" t="s">
        <v>27</v>
      </c>
      <c r="C10">
        <f t="shared" ca="1" si="2"/>
        <v>1</v>
      </c>
      <c r="D10">
        <f t="shared" ca="1" si="1"/>
        <v>3</v>
      </c>
      <c r="E10">
        <f t="shared" ca="1" si="1"/>
        <v>9</v>
      </c>
      <c r="F10">
        <f t="shared" ca="1" si="1"/>
        <v>1</v>
      </c>
      <c r="G10">
        <f t="shared" ca="1" si="1"/>
        <v>1</v>
      </c>
      <c r="H10">
        <f t="shared" ca="1" si="1"/>
        <v>5</v>
      </c>
      <c r="I10">
        <f t="shared" ca="1" si="1"/>
        <v>2</v>
      </c>
      <c r="J10">
        <f t="shared" ca="1" si="1"/>
        <v>2</v>
      </c>
      <c r="K10">
        <f t="shared" ca="1" si="1"/>
        <v>10</v>
      </c>
      <c r="L10">
        <f t="shared" ca="1" si="1"/>
        <v>9</v>
      </c>
      <c r="M10">
        <f t="shared" ca="1" si="1"/>
        <v>8</v>
      </c>
      <c r="N10">
        <f t="shared" ca="1" si="1"/>
        <v>6</v>
      </c>
      <c r="O10">
        <f t="shared" ca="1" si="1"/>
        <v>2</v>
      </c>
      <c r="P10">
        <f t="shared" ca="1" si="1"/>
        <v>1</v>
      </c>
      <c r="Q10">
        <f t="shared" ca="1" si="1"/>
        <v>8</v>
      </c>
      <c r="R10">
        <f t="shared" ca="1" si="1"/>
        <v>7</v>
      </c>
      <c r="S10">
        <f t="shared" ca="1" si="1"/>
        <v>8</v>
      </c>
      <c r="T10">
        <f t="shared" ca="1" si="1"/>
        <v>4</v>
      </c>
      <c r="U10">
        <f t="shared" ca="1" si="1"/>
        <v>10</v>
      </c>
      <c r="V10">
        <f t="shared" ca="1" si="1"/>
        <v>6</v>
      </c>
      <c r="W10">
        <f t="shared" ca="1" si="1"/>
        <v>3</v>
      </c>
      <c r="X10">
        <f t="shared" ca="1" si="1"/>
        <v>10</v>
      </c>
      <c r="Y10">
        <f t="shared" ca="1" si="1"/>
        <v>5</v>
      </c>
      <c r="Z10">
        <f t="shared" ca="1" si="1"/>
        <v>9</v>
      </c>
      <c r="AA10">
        <f t="shared" ca="1" si="1"/>
        <v>5</v>
      </c>
      <c r="AB10">
        <f t="shared" ca="1" si="1"/>
        <v>8</v>
      </c>
      <c r="AC10">
        <f t="shared" ca="1" si="1"/>
        <v>8</v>
      </c>
      <c r="AD10">
        <f t="shared" ca="1" si="1"/>
        <v>9</v>
      </c>
      <c r="AE10">
        <f t="shared" ca="1" si="1"/>
        <v>7</v>
      </c>
      <c r="AF10">
        <f t="shared" ca="1" si="1"/>
        <v>1</v>
      </c>
      <c r="AG10">
        <f t="shared" ca="1" si="1"/>
        <v>9</v>
      </c>
      <c r="AH10" s="25">
        <f t="shared" ca="1" si="6"/>
        <v>177</v>
      </c>
      <c r="AI10">
        <v>226</v>
      </c>
      <c r="AJ10">
        <v>250</v>
      </c>
      <c r="AK10">
        <f t="shared" si="3"/>
        <v>24</v>
      </c>
      <c r="AL10" s="15">
        <f t="shared" ca="1" si="4"/>
        <v>44250</v>
      </c>
      <c r="AM10" s="15">
        <f t="shared" ca="1" si="5"/>
        <v>4248</v>
      </c>
      <c r="AO10" t="s">
        <v>89</v>
      </c>
      <c r="AP10" s="13">
        <f>'Attendence (March)'!AL4</f>
        <v>14000</v>
      </c>
    </row>
    <row r="11" spans="1:42">
      <c r="A11" s="27"/>
      <c r="B11" t="s">
        <v>28</v>
      </c>
      <c r="C11">
        <f t="shared" ca="1" si="2"/>
        <v>1</v>
      </c>
      <c r="D11">
        <f t="shared" ca="1" si="1"/>
        <v>5</v>
      </c>
      <c r="E11">
        <f t="shared" ca="1" si="1"/>
        <v>10</v>
      </c>
      <c r="F11">
        <f t="shared" ca="1" si="1"/>
        <v>7</v>
      </c>
      <c r="G11">
        <f t="shared" ca="1" si="1"/>
        <v>8</v>
      </c>
      <c r="H11">
        <f t="shared" ca="1" si="1"/>
        <v>1</v>
      </c>
      <c r="I11">
        <f t="shared" ca="1" si="1"/>
        <v>6</v>
      </c>
      <c r="J11">
        <f t="shared" ca="1" si="1"/>
        <v>6</v>
      </c>
      <c r="K11">
        <f t="shared" ca="1" si="1"/>
        <v>1</v>
      </c>
      <c r="L11">
        <f t="shared" ca="1" si="1"/>
        <v>4</v>
      </c>
      <c r="M11">
        <f t="shared" ca="1" si="1"/>
        <v>7</v>
      </c>
      <c r="N11">
        <f t="shared" ca="1" si="1"/>
        <v>6</v>
      </c>
      <c r="O11">
        <f t="shared" ca="1" si="1"/>
        <v>9</v>
      </c>
      <c r="P11">
        <f t="shared" ca="1" si="1"/>
        <v>6</v>
      </c>
      <c r="Q11">
        <f t="shared" ca="1" si="1"/>
        <v>3</v>
      </c>
      <c r="R11">
        <f t="shared" ca="1" si="1"/>
        <v>7</v>
      </c>
      <c r="S11">
        <f t="shared" ca="1" si="1"/>
        <v>10</v>
      </c>
      <c r="T11">
        <f t="shared" ca="1" si="1"/>
        <v>8</v>
      </c>
      <c r="U11">
        <f t="shared" ca="1" si="1"/>
        <v>3</v>
      </c>
      <c r="V11">
        <f t="shared" ca="1" si="1"/>
        <v>6</v>
      </c>
      <c r="W11">
        <f t="shared" ca="1" si="1"/>
        <v>8</v>
      </c>
      <c r="X11">
        <f t="shared" ca="1" si="1"/>
        <v>6</v>
      </c>
      <c r="Y11">
        <f t="shared" ca="1" si="1"/>
        <v>6</v>
      </c>
      <c r="Z11">
        <f t="shared" ca="1" si="1"/>
        <v>9</v>
      </c>
      <c r="AA11">
        <f t="shared" ca="1" si="1"/>
        <v>4</v>
      </c>
      <c r="AB11">
        <f t="shared" ca="1" si="1"/>
        <v>5</v>
      </c>
      <c r="AC11">
        <f t="shared" ca="1" si="1"/>
        <v>5</v>
      </c>
      <c r="AD11">
        <f t="shared" ca="1" si="1"/>
        <v>10</v>
      </c>
      <c r="AE11">
        <f t="shared" ca="1" si="1"/>
        <v>8</v>
      </c>
      <c r="AF11">
        <f t="shared" ca="1" si="1"/>
        <v>3</v>
      </c>
      <c r="AG11">
        <f t="shared" ca="1" si="1"/>
        <v>1</v>
      </c>
      <c r="AH11" s="25">
        <f t="shared" ca="1" si="6"/>
        <v>179</v>
      </c>
      <c r="AI11">
        <v>390</v>
      </c>
      <c r="AJ11">
        <v>450</v>
      </c>
      <c r="AK11">
        <f t="shared" si="3"/>
        <v>60</v>
      </c>
      <c r="AL11" s="15">
        <f t="shared" ca="1" si="4"/>
        <v>80550</v>
      </c>
      <c r="AM11" s="15">
        <f t="shared" ca="1" si="5"/>
        <v>10740</v>
      </c>
      <c r="AO11" t="s">
        <v>90</v>
      </c>
      <c r="AP11" s="13">
        <f>'Attendence (March)'!AL5</f>
        <v>18000</v>
      </c>
    </row>
    <row r="12" spans="1:42">
      <c r="A12" s="27"/>
      <c r="B12" t="s">
        <v>29</v>
      </c>
      <c r="C12">
        <f t="shared" ca="1" si="2"/>
        <v>6</v>
      </c>
      <c r="D12">
        <f t="shared" ca="1" si="1"/>
        <v>5</v>
      </c>
      <c r="E12">
        <f t="shared" ca="1" si="1"/>
        <v>3</v>
      </c>
      <c r="F12">
        <f t="shared" ca="1" si="1"/>
        <v>3</v>
      </c>
      <c r="G12">
        <f t="shared" ca="1" si="1"/>
        <v>8</v>
      </c>
      <c r="H12">
        <f t="shared" ca="1" si="1"/>
        <v>6</v>
      </c>
      <c r="I12">
        <f t="shared" ca="1" si="1"/>
        <v>7</v>
      </c>
      <c r="J12">
        <f t="shared" ca="1" si="1"/>
        <v>9</v>
      </c>
      <c r="K12">
        <f t="shared" ca="1" si="1"/>
        <v>8</v>
      </c>
      <c r="L12">
        <f t="shared" ca="1" si="1"/>
        <v>4</v>
      </c>
      <c r="M12">
        <f t="shared" ca="1" si="1"/>
        <v>8</v>
      </c>
      <c r="N12">
        <f t="shared" ca="1" si="1"/>
        <v>5</v>
      </c>
      <c r="O12">
        <f t="shared" ca="1" si="1"/>
        <v>1</v>
      </c>
      <c r="P12">
        <f t="shared" ca="1" si="1"/>
        <v>1</v>
      </c>
      <c r="Q12">
        <f t="shared" ca="1" si="1"/>
        <v>9</v>
      </c>
      <c r="R12">
        <f t="shared" ca="1" si="1"/>
        <v>8</v>
      </c>
      <c r="S12">
        <f t="shared" ref="S12:AG27" ca="1" si="7">RANDBETWEEN(1,10)</f>
        <v>6</v>
      </c>
      <c r="T12">
        <f t="shared" ca="1" si="7"/>
        <v>4</v>
      </c>
      <c r="U12">
        <f t="shared" ca="1" si="7"/>
        <v>5</v>
      </c>
      <c r="V12">
        <f t="shared" ca="1" si="7"/>
        <v>8</v>
      </c>
      <c r="W12">
        <f t="shared" ca="1" si="7"/>
        <v>6</v>
      </c>
      <c r="X12">
        <f t="shared" ca="1" si="7"/>
        <v>8</v>
      </c>
      <c r="Y12">
        <f t="shared" ca="1" si="7"/>
        <v>9</v>
      </c>
      <c r="Z12">
        <f t="shared" ca="1" si="7"/>
        <v>7</v>
      </c>
      <c r="AA12">
        <f t="shared" ca="1" si="7"/>
        <v>9</v>
      </c>
      <c r="AB12">
        <f t="shared" ca="1" si="7"/>
        <v>7</v>
      </c>
      <c r="AC12">
        <f t="shared" ca="1" si="7"/>
        <v>2</v>
      </c>
      <c r="AD12">
        <f t="shared" ca="1" si="7"/>
        <v>3</v>
      </c>
      <c r="AE12">
        <f t="shared" ca="1" si="7"/>
        <v>8</v>
      </c>
      <c r="AF12">
        <f t="shared" ca="1" si="7"/>
        <v>7</v>
      </c>
      <c r="AG12">
        <f t="shared" ca="1" si="7"/>
        <v>3</v>
      </c>
      <c r="AH12" s="25">
        <f t="shared" ca="1" si="6"/>
        <v>183</v>
      </c>
      <c r="AI12">
        <v>379</v>
      </c>
      <c r="AJ12">
        <v>430</v>
      </c>
      <c r="AK12">
        <f t="shared" si="3"/>
        <v>51</v>
      </c>
      <c r="AL12" s="15">
        <f t="shared" ca="1" si="4"/>
        <v>78690</v>
      </c>
      <c r="AM12" s="15">
        <f t="shared" ca="1" si="5"/>
        <v>9333</v>
      </c>
      <c r="AO12" t="s">
        <v>91</v>
      </c>
      <c r="AP12" s="13">
        <f>'Attendence (March)'!AL6</f>
        <v>9666.6666666666661</v>
      </c>
    </row>
    <row r="13" spans="1:42">
      <c r="A13" s="27"/>
      <c r="B13" t="s">
        <v>30</v>
      </c>
      <c r="C13">
        <f t="shared" ca="1" si="2"/>
        <v>10</v>
      </c>
      <c r="D13">
        <f t="shared" ca="1" si="2"/>
        <v>8</v>
      </c>
      <c r="E13">
        <f t="shared" ca="1" si="2"/>
        <v>1</v>
      </c>
      <c r="F13">
        <f t="shared" ca="1" si="2"/>
        <v>6</v>
      </c>
      <c r="G13">
        <f t="shared" ca="1" si="2"/>
        <v>10</v>
      </c>
      <c r="H13">
        <f t="shared" ca="1" si="2"/>
        <v>6</v>
      </c>
      <c r="I13">
        <f t="shared" ca="1" si="2"/>
        <v>4</v>
      </c>
      <c r="J13">
        <f t="shared" ca="1" si="2"/>
        <v>4</v>
      </c>
      <c r="K13">
        <f t="shared" ca="1" si="2"/>
        <v>7</v>
      </c>
      <c r="L13">
        <f t="shared" ca="1" si="2"/>
        <v>10</v>
      </c>
      <c r="M13">
        <f t="shared" ca="1" si="2"/>
        <v>5</v>
      </c>
      <c r="N13">
        <f t="shared" ca="1" si="2"/>
        <v>10</v>
      </c>
      <c r="O13">
        <f t="shared" ca="1" si="2"/>
        <v>3</v>
      </c>
      <c r="P13">
        <f t="shared" ca="1" si="2"/>
        <v>3</v>
      </c>
      <c r="Q13">
        <f t="shared" ca="1" si="2"/>
        <v>1</v>
      </c>
      <c r="R13">
        <f t="shared" ca="1" si="2"/>
        <v>2</v>
      </c>
      <c r="S13">
        <f t="shared" ca="1" si="7"/>
        <v>10</v>
      </c>
      <c r="T13">
        <f t="shared" ca="1" si="7"/>
        <v>7</v>
      </c>
      <c r="U13">
        <f t="shared" ca="1" si="7"/>
        <v>1</v>
      </c>
      <c r="V13">
        <f t="shared" ca="1" si="7"/>
        <v>9</v>
      </c>
      <c r="W13">
        <f t="shared" ca="1" si="7"/>
        <v>4</v>
      </c>
      <c r="X13">
        <f t="shared" ca="1" si="7"/>
        <v>10</v>
      </c>
      <c r="Y13">
        <f t="shared" ca="1" si="7"/>
        <v>8</v>
      </c>
      <c r="Z13">
        <f t="shared" ca="1" si="7"/>
        <v>3</v>
      </c>
      <c r="AA13">
        <f t="shared" ca="1" si="7"/>
        <v>3</v>
      </c>
      <c r="AB13">
        <f t="shared" ca="1" si="7"/>
        <v>10</v>
      </c>
      <c r="AC13">
        <f t="shared" ca="1" si="7"/>
        <v>3</v>
      </c>
      <c r="AD13">
        <f t="shared" ca="1" si="7"/>
        <v>7</v>
      </c>
      <c r="AE13">
        <f t="shared" ca="1" si="7"/>
        <v>1</v>
      </c>
      <c r="AF13">
        <f t="shared" ca="1" si="7"/>
        <v>8</v>
      </c>
      <c r="AG13">
        <f t="shared" ca="1" si="7"/>
        <v>9</v>
      </c>
      <c r="AH13" s="25">
        <f t="shared" ca="1" si="6"/>
        <v>183</v>
      </c>
      <c r="AI13">
        <v>368</v>
      </c>
      <c r="AJ13">
        <v>435</v>
      </c>
      <c r="AK13">
        <f t="shared" si="3"/>
        <v>67</v>
      </c>
      <c r="AL13" s="15">
        <f t="shared" ca="1" si="4"/>
        <v>79605</v>
      </c>
      <c r="AM13" s="15">
        <f t="shared" ca="1" si="5"/>
        <v>12261</v>
      </c>
      <c r="AO13" t="s">
        <v>92</v>
      </c>
      <c r="AP13" s="13">
        <v>10000</v>
      </c>
    </row>
    <row r="14" spans="1:42">
      <c r="A14" s="27"/>
      <c r="B14" t="s">
        <v>31</v>
      </c>
      <c r="C14">
        <f t="shared" ca="1" si="2"/>
        <v>10</v>
      </c>
      <c r="D14">
        <f t="shared" ca="1" si="2"/>
        <v>2</v>
      </c>
      <c r="E14">
        <f t="shared" ca="1" si="2"/>
        <v>1</v>
      </c>
      <c r="F14">
        <f t="shared" ca="1" si="2"/>
        <v>4</v>
      </c>
      <c r="G14">
        <f t="shared" ca="1" si="2"/>
        <v>2</v>
      </c>
      <c r="H14">
        <f t="shared" ca="1" si="2"/>
        <v>4</v>
      </c>
      <c r="I14">
        <f t="shared" ca="1" si="2"/>
        <v>2</v>
      </c>
      <c r="J14">
        <f t="shared" ca="1" si="2"/>
        <v>10</v>
      </c>
      <c r="K14">
        <f t="shared" ca="1" si="2"/>
        <v>4</v>
      </c>
      <c r="L14">
        <f t="shared" ca="1" si="2"/>
        <v>9</v>
      </c>
      <c r="M14">
        <f t="shared" ca="1" si="2"/>
        <v>1</v>
      </c>
      <c r="N14">
        <f t="shared" ca="1" si="2"/>
        <v>4</v>
      </c>
      <c r="O14">
        <f t="shared" ca="1" si="2"/>
        <v>1</v>
      </c>
      <c r="P14">
        <f t="shared" ca="1" si="2"/>
        <v>9</v>
      </c>
      <c r="Q14">
        <f t="shared" ca="1" si="2"/>
        <v>3</v>
      </c>
      <c r="R14">
        <f t="shared" ca="1" si="2"/>
        <v>4</v>
      </c>
      <c r="S14">
        <f t="shared" ca="1" si="7"/>
        <v>8</v>
      </c>
      <c r="T14">
        <f t="shared" ca="1" si="7"/>
        <v>7</v>
      </c>
      <c r="U14">
        <f t="shared" ca="1" si="7"/>
        <v>10</v>
      </c>
      <c r="V14">
        <f t="shared" ca="1" si="7"/>
        <v>4</v>
      </c>
      <c r="W14">
        <f t="shared" ca="1" si="7"/>
        <v>2</v>
      </c>
      <c r="X14">
        <f t="shared" ca="1" si="7"/>
        <v>8</v>
      </c>
      <c r="Y14">
        <f t="shared" ca="1" si="7"/>
        <v>2</v>
      </c>
      <c r="Z14">
        <f t="shared" ca="1" si="7"/>
        <v>10</v>
      </c>
      <c r="AA14">
        <f t="shared" ca="1" si="7"/>
        <v>8</v>
      </c>
      <c r="AB14">
        <f t="shared" ca="1" si="7"/>
        <v>8</v>
      </c>
      <c r="AC14">
        <f t="shared" ca="1" si="7"/>
        <v>7</v>
      </c>
      <c r="AD14">
        <f t="shared" ca="1" si="7"/>
        <v>1</v>
      </c>
      <c r="AE14">
        <f t="shared" ca="1" si="7"/>
        <v>1</v>
      </c>
      <c r="AF14">
        <f t="shared" ca="1" si="7"/>
        <v>10</v>
      </c>
      <c r="AG14">
        <f t="shared" ca="1" si="7"/>
        <v>10</v>
      </c>
      <c r="AH14" s="25">
        <f t="shared" ca="1" si="6"/>
        <v>166</v>
      </c>
      <c r="AI14">
        <v>88</v>
      </c>
      <c r="AJ14">
        <v>99</v>
      </c>
      <c r="AK14">
        <f t="shared" si="3"/>
        <v>11</v>
      </c>
      <c r="AL14" s="15">
        <f t="shared" ca="1" si="4"/>
        <v>16434</v>
      </c>
      <c r="AM14" s="15">
        <f t="shared" ca="1" si="5"/>
        <v>1826</v>
      </c>
      <c r="AO14" t="s">
        <v>93</v>
      </c>
      <c r="AP14" s="13">
        <v>2000</v>
      </c>
    </row>
    <row r="15" spans="1:42">
      <c r="A15" s="27"/>
      <c r="B15" t="s">
        <v>32</v>
      </c>
      <c r="C15">
        <f t="shared" ca="1" si="2"/>
        <v>1</v>
      </c>
      <c r="D15">
        <f t="shared" ca="1" si="2"/>
        <v>6</v>
      </c>
      <c r="E15">
        <f t="shared" ca="1" si="2"/>
        <v>8</v>
      </c>
      <c r="F15">
        <f t="shared" ca="1" si="2"/>
        <v>4</v>
      </c>
      <c r="G15">
        <f t="shared" ca="1" si="2"/>
        <v>6</v>
      </c>
      <c r="H15">
        <f t="shared" ca="1" si="2"/>
        <v>6</v>
      </c>
      <c r="I15">
        <f t="shared" ca="1" si="2"/>
        <v>2</v>
      </c>
      <c r="J15">
        <f t="shared" ca="1" si="2"/>
        <v>5</v>
      </c>
      <c r="K15">
        <f t="shared" ca="1" si="2"/>
        <v>5</v>
      </c>
      <c r="L15">
        <f t="shared" ca="1" si="2"/>
        <v>3</v>
      </c>
      <c r="M15">
        <f t="shared" ca="1" si="2"/>
        <v>7</v>
      </c>
      <c r="N15">
        <f t="shared" ca="1" si="2"/>
        <v>10</v>
      </c>
      <c r="O15">
        <f t="shared" ca="1" si="2"/>
        <v>9</v>
      </c>
      <c r="P15">
        <f t="shared" ca="1" si="2"/>
        <v>2</v>
      </c>
      <c r="Q15">
        <f t="shared" ca="1" si="2"/>
        <v>5</v>
      </c>
      <c r="R15">
        <f t="shared" ca="1" si="2"/>
        <v>9</v>
      </c>
      <c r="S15">
        <f t="shared" ca="1" si="7"/>
        <v>4</v>
      </c>
      <c r="T15">
        <f t="shared" ca="1" si="7"/>
        <v>8</v>
      </c>
      <c r="U15">
        <f t="shared" ca="1" si="7"/>
        <v>1</v>
      </c>
      <c r="V15">
        <f t="shared" ca="1" si="7"/>
        <v>2</v>
      </c>
      <c r="W15">
        <f t="shared" ca="1" si="7"/>
        <v>7</v>
      </c>
      <c r="X15">
        <f t="shared" ca="1" si="7"/>
        <v>5</v>
      </c>
      <c r="Y15">
        <f t="shared" ca="1" si="7"/>
        <v>5</v>
      </c>
      <c r="Z15">
        <f t="shared" ca="1" si="7"/>
        <v>7</v>
      </c>
      <c r="AA15">
        <f t="shared" ca="1" si="7"/>
        <v>10</v>
      </c>
      <c r="AB15">
        <f t="shared" ca="1" si="7"/>
        <v>4</v>
      </c>
      <c r="AC15">
        <f t="shared" ca="1" si="7"/>
        <v>3</v>
      </c>
      <c r="AD15">
        <f t="shared" ca="1" si="7"/>
        <v>6</v>
      </c>
      <c r="AE15">
        <f t="shared" ca="1" si="7"/>
        <v>5</v>
      </c>
      <c r="AF15">
        <f t="shared" ca="1" si="7"/>
        <v>6</v>
      </c>
      <c r="AG15">
        <f t="shared" ca="1" si="7"/>
        <v>4</v>
      </c>
      <c r="AH15" s="25">
        <f t="shared" ca="1" si="6"/>
        <v>165</v>
      </c>
      <c r="AI15">
        <v>391</v>
      </c>
      <c r="AJ15">
        <v>500</v>
      </c>
      <c r="AK15">
        <f t="shared" si="3"/>
        <v>109</v>
      </c>
      <c r="AL15" s="15">
        <f t="shared" ca="1" si="4"/>
        <v>82500</v>
      </c>
      <c r="AM15" s="15">
        <f t="shared" ca="1" si="5"/>
        <v>17985</v>
      </c>
      <c r="AO15" t="s">
        <v>80</v>
      </c>
      <c r="AP15" s="13">
        <f ca="1">SUM(AM3:AM57)</f>
        <v>295515</v>
      </c>
    </row>
    <row r="16" spans="1:42">
      <c r="A16" s="27"/>
      <c r="B16" t="s">
        <v>33</v>
      </c>
      <c r="C16">
        <f t="shared" ca="1" si="2"/>
        <v>9</v>
      </c>
      <c r="D16">
        <f t="shared" ca="1" si="2"/>
        <v>8</v>
      </c>
      <c r="E16">
        <f t="shared" ca="1" si="2"/>
        <v>10</v>
      </c>
      <c r="F16">
        <f t="shared" ca="1" si="2"/>
        <v>8</v>
      </c>
      <c r="G16">
        <f t="shared" ca="1" si="2"/>
        <v>3</v>
      </c>
      <c r="H16">
        <f t="shared" ca="1" si="2"/>
        <v>3</v>
      </c>
      <c r="I16">
        <f t="shared" ca="1" si="2"/>
        <v>2</v>
      </c>
      <c r="J16">
        <f t="shared" ca="1" si="2"/>
        <v>7</v>
      </c>
      <c r="K16">
        <f t="shared" ca="1" si="2"/>
        <v>3</v>
      </c>
      <c r="L16">
        <f t="shared" ca="1" si="2"/>
        <v>3</v>
      </c>
      <c r="M16">
        <f t="shared" ca="1" si="2"/>
        <v>9</v>
      </c>
      <c r="N16">
        <f t="shared" ca="1" si="2"/>
        <v>10</v>
      </c>
      <c r="O16">
        <f t="shared" ca="1" si="2"/>
        <v>1</v>
      </c>
      <c r="P16">
        <f t="shared" ca="1" si="2"/>
        <v>8</v>
      </c>
      <c r="Q16">
        <f t="shared" ca="1" si="2"/>
        <v>2</v>
      </c>
      <c r="R16">
        <f t="shared" ca="1" si="2"/>
        <v>4</v>
      </c>
      <c r="S16">
        <f t="shared" ca="1" si="7"/>
        <v>2</v>
      </c>
      <c r="T16">
        <f t="shared" ca="1" si="7"/>
        <v>8</v>
      </c>
      <c r="U16">
        <f t="shared" ca="1" si="7"/>
        <v>10</v>
      </c>
      <c r="V16">
        <f t="shared" ca="1" si="7"/>
        <v>1</v>
      </c>
      <c r="W16">
        <f t="shared" ca="1" si="7"/>
        <v>1</v>
      </c>
      <c r="X16">
        <f t="shared" ca="1" si="7"/>
        <v>7</v>
      </c>
      <c r="Y16">
        <f t="shared" ca="1" si="7"/>
        <v>4</v>
      </c>
      <c r="Z16">
        <f t="shared" ca="1" si="7"/>
        <v>2</v>
      </c>
      <c r="AA16">
        <f t="shared" ca="1" si="7"/>
        <v>3</v>
      </c>
      <c r="AB16">
        <f t="shared" ca="1" si="7"/>
        <v>6</v>
      </c>
      <c r="AC16">
        <f t="shared" ca="1" si="7"/>
        <v>9</v>
      </c>
      <c r="AD16">
        <f t="shared" ca="1" si="7"/>
        <v>7</v>
      </c>
      <c r="AE16">
        <f t="shared" ca="1" si="7"/>
        <v>1</v>
      </c>
      <c r="AF16">
        <f t="shared" ca="1" si="7"/>
        <v>7</v>
      </c>
      <c r="AG16">
        <f t="shared" ca="1" si="7"/>
        <v>1</v>
      </c>
      <c r="AH16" s="25">
        <f t="shared" ca="1" si="6"/>
        <v>159</v>
      </c>
      <c r="AI16">
        <v>261</v>
      </c>
      <c r="AJ16">
        <v>300</v>
      </c>
      <c r="AK16">
        <f t="shared" si="3"/>
        <v>39</v>
      </c>
      <c r="AL16" s="15">
        <f t="shared" ca="1" si="4"/>
        <v>47700</v>
      </c>
      <c r="AM16" s="15">
        <f t="shared" ca="1" si="5"/>
        <v>6201</v>
      </c>
      <c r="AO16" s="1" t="s">
        <v>94</v>
      </c>
      <c r="AP16" s="14">
        <f ca="1">AP15-(AP9+AP10+AP11+AP12+AP13+AP14)</f>
        <v>193515</v>
      </c>
    </row>
    <row r="17" spans="1:39">
      <c r="A17" s="27"/>
      <c r="B17" t="s">
        <v>34</v>
      </c>
      <c r="C17">
        <f t="shared" ca="1" si="2"/>
        <v>3</v>
      </c>
      <c r="D17">
        <f t="shared" ca="1" si="2"/>
        <v>8</v>
      </c>
      <c r="E17">
        <f t="shared" ca="1" si="2"/>
        <v>6</v>
      </c>
      <c r="F17">
        <f t="shared" ca="1" si="2"/>
        <v>6</v>
      </c>
      <c r="G17">
        <f t="shared" ca="1" si="2"/>
        <v>6</v>
      </c>
      <c r="H17">
        <f t="shared" ca="1" si="2"/>
        <v>1</v>
      </c>
      <c r="I17">
        <f t="shared" ca="1" si="2"/>
        <v>2</v>
      </c>
      <c r="J17">
        <f t="shared" ca="1" si="2"/>
        <v>4</v>
      </c>
      <c r="K17">
        <f t="shared" ca="1" si="2"/>
        <v>4</v>
      </c>
      <c r="L17">
        <f t="shared" ca="1" si="2"/>
        <v>4</v>
      </c>
      <c r="M17">
        <f t="shared" ca="1" si="2"/>
        <v>7</v>
      </c>
      <c r="N17">
        <f t="shared" ca="1" si="2"/>
        <v>8</v>
      </c>
      <c r="O17">
        <f t="shared" ca="1" si="2"/>
        <v>7</v>
      </c>
      <c r="P17">
        <f t="shared" ca="1" si="2"/>
        <v>7</v>
      </c>
      <c r="Q17">
        <f t="shared" ca="1" si="2"/>
        <v>5</v>
      </c>
      <c r="R17">
        <f t="shared" ca="1" si="2"/>
        <v>6</v>
      </c>
      <c r="S17">
        <f t="shared" ca="1" si="7"/>
        <v>2</v>
      </c>
      <c r="T17">
        <f t="shared" ca="1" si="7"/>
        <v>9</v>
      </c>
      <c r="U17">
        <f t="shared" ca="1" si="7"/>
        <v>6</v>
      </c>
      <c r="V17">
        <f t="shared" ca="1" si="7"/>
        <v>9</v>
      </c>
      <c r="W17">
        <f t="shared" ca="1" si="7"/>
        <v>6</v>
      </c>
      <c r="X17">
        <f t="shared" ca="1" si="7"/>
        <v>7</v>
      </c>
      <c r="Y17">
        <f t="shared" ca="1" si="7"/>
        <v>4</v>
      </c>
      <c r="Z17">
        <f t="shared" ca="1" si="7"/>
        <v>8</v>
      </c>
      <c r="AA17">
        <f t="shared" ca="1" si="7"/>
        <v>3</v>
      </c>
      <c r="AB17">
        <f t="shared" ca="1" si="7"/>
        <v>10</v>
      </c>
      <c r="AC17">
        <f t="shared" ca="1" si="7"/>
        <v>1</v>
      </c>
      <c r="AD17">
        <f t="shared" ca="1" si="7"/>
        <v>9</v>
      </c>
      <c r="AE17">
        <f t="shared" ca="1" si="7"/>
        <v>7</v>
      </c>
      <c r="AF17">
        <f t="shared" ca="1" si="7"/>
        <v>5</v>
      </c>
      <c r="AG17">
        <f t="shared" ca="1" si="7"/>
        <v>5</v>
      </c>
      <c r="AH17" s="25">
        <f t="shared" ca="1" si="6"/>
        <v>175</v>
      </c>
      <c r="AI17">
        <v>67</v>
      </c>
      <c r="AJ17">
        <v>99</v>
      </c>
      <c r="AK17">
        <f t="shared" si="3"/>
        <v>32</v>
      </c>
      <c r="AL17" s="15">
        <f t="shared" ca="1" si="4"/>
        <v>17325</v>
      </c>
      <c r="AM17" s="15">
        <f t="shared" ca="1" si="5"/>
        <v>5600</v>
      </c>
    </row>
    <row r="18" spans="1:39">
      <c r="A18" s="27"/>
      <c r="B18" t="s">
        <v>35</v>
      </c>
      <c r="C18">
        <f t="shared" ca="1" si="2"/>
        <v>1</v>
      </c>
      <c r="D18">
        <f t="shared" ca="1" si="2"/>
        <v>10</v>
      </c>
      <c r="E18">
        <f t="shared" ca="1" si="2"/>
        <v>9</v>
      </c>
      <c r="F18">
        <f t="shared" ca="1" si="2"/>
        <v>8</v>
      </c>
      <c r="G18">
        <f t="shared" ca="1" si="2"/>
        <v>6</v>
      </c>
      <c r="H18">
        <f t="shared" ca="1" si="2"/>
        <v>5</v>
      </c>
      <c r="I18">
        <f t="shared" ca="1" si="2"/>
        <v>1</v>
      </c>
      <c r="J18">
        <f t="shared" ca="1" si="2"/>
        <v>9</v>
      </c>
      <c r="K18">
        <f t="shared" ca="1" si="2"/>
        <v>2</v>
      </c>
      <c r="L18">
        <f t="shared" ca="1" si="2"/>
        <v>8</v>
      </c>
      <c r="M18">
        <f t="shared" ca="1" si="2"/>
        <v>7</v>
      </c>
      <c r="N18">
        <f t="shared" ca="1" si="2"/>
        <v>4</v>
      </c>
      <c r="O18">
        <f t="shared" ca="1" si="2"/>
        <v>3</v>
      </c>
      <c r="P18">
        <f t="shared" ca="1" si="2"/>
        <v>8</v>
      </c>
      <c r="Q18">
        <f t="shared" ca="1" si="2"/>
        <v>5</v>
      </c>
      <c r="R18">
        <f t="shared" ca="1" si="2"/>
        <v>1</v>
      </c>
      <c r="S18">
        <f t="shared" ca="1" si="7"/>
        <v>4</v>
      </c>
      <c r="T18">
        <f t="shared" ca="1" si="7"/>
        <v>2</v>
      </c>
      <c r="U18">
        <f t="shared" ca="1" si="7"/>
        <v>8</v>
      </c>
      <c r="V18">
        <f t="shared" ca="1" si="7"/>
        <v>6</v>
      </c>
      <c r="W18">
        <f t="shared" ca="1" si="7"/>
        <v>5</v>
      </c>
      <c r="X18">
        <f t="shared" ca="1" si="7"/>
        <v>9</v>
      </c>
      <c r="Y18">
        <f t="shared" ca="1" si="7"/>
        <v>1</v>
      </c>
      <c r="Z18">
        <f t="shared" ca="1" si="7"/>
        <v>2</v>
      </c>
      <c r="AA18">
        <f t="shared" ca="1" si="7"/>
        <v>1</v>
      </c>
      <c r="AB18">
        <f t="shared" ca="1" si="7"/>
        <v>8</v>
      </c>
      <c r="AC18">
        <f t="shared" ca="1" si="7"/>
        <v>4</v>
      </c>
      <c r="AD18">
        <f t="shared" ca="1" si="7"/>
        <v>5</v>
      </c>
      <c r="AE18">
        <f t="shared" ca="1" si="7"/>
        <v>4</v>
      </c>
      <c r="AF18">
        <f t="shared" ca="1" si="7"/>
        <v>8</v>
      </c>
      <c r="AG18">
        <f t="shared" ca="1" si="7"/>
        <v>2</v>
      </c>
      <c r="AH18" s="25">
        <f t="shared" ca="1" si="6"/>
        <v>156</v>
      </c>
      <c r="AI18">
        <v>138</v>
      </c>
      <c r="AJ18">
        <v>150</v>
      </c>
      <c r="AK18">
        <f t="shared" si="3"/>
        <v>12</v>
      </c>
      <c r="AL18" s="15">
        <f t="shared" ca="1" si="4"/>
        <v>23400</v>
      </c>
      <c r="AM18" s="15">
        <f t="shared" ca="1" si="5"/>
        <v>1872</v>
      </c>
    </row>
    <row r="19" spans="1:39">
      <c r="A19" s="27"/>
      <c r="B19" t="s">
        <v>36</v>
      </c>
      <c r="C19">
        <f t="shared" ca="1" si="2"/>
        <v>8</v>
      </c>
      <c r="D19">
        <f t="shared" ca="1" si="2"/>
        <v>10</v>
      </c>
      <c r="E19">
        <f t="shared" ca="1" si="2"/>
        <v>8</v>
      </c>
      <c r="F19">
        <f t="shared" ca="1" si="2"/>
        <v>9</v>
      </c>
      <c r="G19">
        <f t="shared" ca="1" si="2"/>
        <v>7</v>
      </c>
      <c r="H19">
        <f t="shared" ca="1" si="2"/>
        <v>7</v>
      </c>
      <c r="I19">
        <f t="shared" ca="1" si="2"/>
        <v>10</v>
      </c>
      <c r="J19">
        <f t="shared" ca="1" si="2"/>
        <v>6</v>
      </c>
      <c r="K19">
        <f t="shared" ca="1" si="2"/>
        <v>9</v>
      </c>
      <c r="L19">
        <f t="shared" ca="1" si="2"/>
        <v>1</v>
      </c>
      <c r="M19">
        <f t="shared" ca="1" si="2"/>
        <v>3</v>
      </c>
      <c r="N19">
        <f t="shared" ca="1" si="2"/>
        <v>8</v>
      </c>
      <c r="O19">
        <f t="shared" ca="1" si="2"/>
        <v>2</v>
      </c>
      <c r="P19">
        <f t="shared" ca="1" si="2"/>
        <v>5</v>
      </c>
      <c r="Q19">
        <f t="shared" ca="1" si="2"/>
        <v>2</v>
      </c>
      <c r="R19">
        <f t="shared" ca="1" si="2"/>
        <v>3</v>
      </c>
      <c r="S19">
        <f t="shared" ca="1" si="7"/>
        <v>7</v>
      </c>
      <c r="T19">
        <f t="shared" ca="1" si="7"/>
        <v>6</v>
      </c>
      <c r="U19">
        <f t="shared" ca="1" si="7"/>
        <v>5</v>
      </c>
      <c r="V19">
        <f t="shared" ca="1" si="7"/>
        <v>9</v>
      </c>
      <c r="W19">
        <f t="shared" ca="1" si="7"/>
        <v>4</v>
      </c>
      <c r="X19">
        <f t="shared" ca="1" si="7"/>
        <v>2</v>
      </c>
      <c r="Y19">
        <f t="shared" ca="1" si="7"/>
        <v>3</v>
      </c>
      <c r="Z19">
        <f t="shared" ca="1" si="7"/>
        <v>3</v>
      </c>
      <c r="AA19">
        <f t="shared" ca="1" si="7"/>
        <v>9</v>
      </c>
      <c r="AB19">
        <f t="shared" ca="1" si="7"/>
        <v>10</v>
      </c>
      <c r="AC19">
        <f t="shared" ca="1" si="7"/>
        <v>4</v>
      </c>
      <c r="AD19">
        <f t="shared" ca="1" si="7"/>
        <v>6</v>
      </c>
      <c r="AE19">
        <f t="shared" ca="1" si="7"/>
        <v>10</v>
      </c>
      <c r="AF19">
        <f t="shared" ca="1" si="7"/>
        <v>1</v>
      </c>
      <c r="AG19">
        <f t="shared" ca="1" si="7"/>
        <v>5</v>
      </c>
      <c r="AH19" s="25">
        <f t="shared" ca="1" si="6"/>
        <v>182</v>
      </c>
      <c r="AI19">
        <v>60</v>
      </c>
      <c r="AJ19">
        <v>80</v>
      </c>
      <c r="AK19">
        <f t="shared" si="3"/>
        <v>20</v>
      </c>
      <c r="AL19" s="15">
        <f t="shared" ca="1" si="4"/>
        <v>14560</v>
      </c>
      <c r="AM19" s="15">
        <f t="shared" ca="1" si="5"/>
        <v>3640</v>
      </c>
    </row>
    <row r="20" spans="1:39">
      <c r="A20" s="27"/>
      <c r="B20" t="s">
        <v>37</v>
      </c>
      <c r="C20">
        <f t="shared" ref="C20:R35" ca="1" si="8">RANDBETWEEN(1,10)</f>
        <v>8</v>
      </c>
      <c r="D20">
        <f t="shared" ca="1" si="8"/>
        <v>6</v>
      </c>
      <c r="E20">
        <f t="shared" ca="1" si="8"/>
        <v>4</v>
      </c>
      <c r="F20">
        <f t="shared" ca="1" si="8"/>
        <v>7</v>
      </c>
      <c r="G20">
        <f t="shared" ca="1" si="8"/>
        <v>1</v>
      </c>
      <c r="H20">
        <f t="shared" ca="1" si="8"/>
        <v>7</v>
      </c>
      <c r="I20">
        <f t="shared" ca="1" si="8"/>
        <v>1</v>
      </c>
      <c r="J20">
        <f t="shared" ca="1" si="8"/>
        <v>9</v>
      </c>
      <c r="K20">
        <f t="shared" ca="1" si="8"/>
        <v>5</v>
      </c>
      <c r="L20">
        <f t="shared" ca="1" si="8"/>
        <v>2</v>
      </c>
      <c r="M20">
        <f t="shared" ca="1" si="8"/>
        <v>6</v>
      </c>
      <c r="N20">
        <f t="shared" ca="1" si="8"/>
        <v>2</v>
      </c>
      <c r="O20">
        <f t="shared" ca="1" si="8"/>
        <v>6</v>
      </c>
      <c r="P20">
        <f t="shared" ca="1" si="8"/>
        <v>1</v>
      </c>
      <c r="Q20">
        <f t="shared" ca="1" si="8"/>
        <v>3</v>
      </c>
      <c r="R20">
        <f t="shared" ca="1" si="8"/>
        <v>6</v>
      </c>
      <c r="S20">
        <f t="shared" ca="1" si="7"/>
        <v>2</v>
      </c>
      <c r="T20">
        <f t="shared" ca="1" si="7"/>
        <v>10</v>
      </c>
      <c r="U20">
        <f t="shared" ca="1" si="7"/>
        <v>3</v>
      </c>
      <c r="V20">
        <f t="shared" ca="1" si="7"/>
        <v>7</v>
      </c>
      <c r="W20">
        <f t="shared" ca="1" si="7"/>
        <v>7</v>
      </c>
      <c r="X20">
        <f t="shared" ca="1" si="7"/>
        <v>2</v>
      </c>
      <c r="Y20">
        <f t="shared" ca="1" si="7"/>
        <v>6</v>
      </c>
      <c r="Z20">
        <f t="shared" ca="1" si="7"/>
        <v>3</v>
      </c>
      <c r="AA20">
        <f t="shared" ca="1" si="7"/>
        <v>2</v>
      </c>
      <c r="AB20">
        <f t="shared" ca="1" si="7"/>
        <v>5</v>
      </c>
      <c r="AC20">
        <f t="shared" ca="1" si="7"/>
        <v>3</v>
      </c>
      <c r="AD20">
        <f t="shared" ca="1" si="7"/>
        <v>7</v>
      </c>
      <c r="AE20">
        <f t="shared" ca="1" si="7"/>
        <v>9</v>
      </c>
      <c r="AF20">
        <f t="shared" ca="1" si="7"/>
        <v>2</v>
      </c>
      <c r="AG20">
        <f t="shared" ca="1" si="7"/>
        <v>2</v>
      </c>
      <c r="AH20" s="25">
        <f t="shared" ca="1" si="6"/>
        <v>144</v>
      </c>
      <c r="AI20">
        <v>44</v>
      </c>
      <c r="AJ20">
        <v>50</v>
      </c>
      <c r="AK20">
        <f t="shared" si="3"/>
        <v>6</v>
      </c>
      <c r="AL20" s="15">
        <f t="shared" ca="1" si="4"/>
        <v>7200</v>
      </c>
      <c r="AM20" s="15">
        <f t="shared" ca="1" si="5"/>
        <v>864</v>
      </c>
    </row>
    <row r="21" spans="1:39">
      <c r="A21" s="27"/>
      <c r="B21" t="s">
        <v>38</v>
      </c>
      <c r="C21">
        <f t="shared" ca="1" si="8"/>
        <v>6</v>
      </c>
      <c r="D21">
        <f t="shared" ca="1" si="8"/>
        <v>5</v>
      </c>
      <c r="E21">
        <f t="shared" ca="1" si="8"/>
        <v>3</v>
      </c>
      <c r="F21">
        <f t="shared" ca="1" si="8"/>
        <v>3</v>
      </c>
      <c r="G21">
        <f t="shared" ca="1" si="8"/>
        <v>5</v>
      </c>
      <c r="H21">
        <f t="shared" ca="1" si="8"/>
        <v>4</v>
      </c>
      <c r="I21">
        <f t="shared" ca="1" si="8"/>
        <v>2</v>
      </c>
      <c r="J21">
        <f t="shared" ca="1" si="8"/>
        <v>4</v>
      </c>
      <c r="K21">
        <f t="shared" ca="1" si="8"/>
        <v>1</v>
      </c>
      <c r="L21">
        <f t="shared" ca="1" si="8"/>
        <v>1</v>
      </c>
      <c r="M21">
        <f t="shared" ca="1" si="8"/>
        <v>5</v>
      </c>
      <c r="N21">
        <f t="shared" ca="1" si="8"/>
        <v>6</v>
      </c>
      <c r="O21">
        <f t="shared" ca="1" si="8"/>
        <v>9</v>
      </c>
      <c r="P21">
        <f t="shared" ca="1" si="8"/>
        <v>5</v>
      </c>
      <c r="Q21">
        <f t="shared" ca="1" si="8"/>
        <v>7</v>
      </c>
      <c r="R21">
        <f t="shared" ca="1" si="8"/>
        <v>1</v>
      </c>
      <c r="S21">
        <f t="shared" ca="1" si="7"/>
        <v>2</v>
      </c>
      <c r="T21">
        <f t="shared" ca="1" si="7"/>
        <v>2</v>
      </c>
      <c r="U21">
        <f t="shared" ca="1" si="7"/>
        <v>4</v>
      </c>
      <c r="V21">
        <f t="shared" ca="1" si="7"/>
        <v>7</v>
      </c>
      <c r="W21">
        <f t="shared" ca="1" si="7"/>
        <v>8</v>
      </c>
      <c r="X21">
        <f t="shared" ca="1" si="7"/>
        <v>2</v>
      </c>
      <c r="Y21">
        <f t="shared" ca="1" si="7"/>
        <v>1</v>
      </c>
      <c r="Z21">
        <f t="shared" ca="1" si="7"/>
        <v>6</v>
      </c>
      <c r="AA21">
        <f t="shared" ca="1" si="7"/>
        <v>3</v>
      </c>
      <c r="AB21">
        <f t="shared" ca="1" si="7"/>
        <v>4</v>
      </c>
      <c r="AC21">
        <f t="shared" ca="1" si="7"/>
        <v>5</v>
      </c>
      <c r="AD21">
        <f t="shared" ca="1" si="7"/>
        <v>9</v>
      </c>
      <c r="AE21">
        <f t="shared" ca="1" si="7"/>
        <v>10</v>
      </c>
      <c r="AF21">
        <f t="shared" ca="1" si="7"/>
        <v>4</v>
      </c>
      <c r="AG21">
        <f t="shared" ca="1" si="7"/>
        <v>5</v>
      </c>
      <c r="AH21" s="25">
        <f t="shared" ca="1" si="6"/>
        <v>139</v>
      </c>
      <c r="AI21">
        <v>308</v>
      </c>
      <c r="AJ21">
        <v>320</v>
      </c>
      <c r="AK21">
        <f t="shared" si="3"/>
        <v>12</v>
      </c>
      <c r="AL21" s="15">
        <f t="shared" ca="1" si="4"/>
        <v>44480</v>
      </c>
      <c r="AM21" s="15">
        <f t="shared" ca="1" si="5"/>
        <v>1668</v>
      </c>
    </row>
    <row r="22" spans="1:39">
      <c r="A22" s="27"/>
      <c r="B22" t="s">
        <v>39</v>
      </c>
      <c r="C22">
        <f t="shared" ca="1" si="8"/>
        <v>7</v>
      </c>
      <c r="D22">
        <f t="shared" ca="1" si="8"/>
        <v>7</v>
      </c>
      <c r="E22">
        <f t="shared" ca="1" si="8"/>
        <v>5</v>
      </c>
      <c r="F22">
        <f t="shared" ca="1" si="8"/>
        <v>10</v>
      </c>
      <c r="G22">
        <f t="shared" ca="1" si="8"/>
        <v>5</v>
      </c>
      <c r="H22">
        <f t="shared" ca="1" si="8"/>
        <v>6</v>
      </c>
      <c r="I22">
        <f t="shared" ca="1" si="8"/>
        <v>3</v>
      </c>
      <c r="J22">
        <f t="shared" ca="1" si="8"/>
        <v>6</v>
      </c>
      <c r="K22">
        <f t="shared" ca="1" si="8"/>
        <v>3</v>
      </c>
      <c r="L22">
        <f t="shared" ca="1" si="8"/>
        <v>1</v>
      </c>
      <c r="M22">
        <f t="shared" ca="1" si="8"/>
        <v>2</v>
      </c>
      <c r="N22">
        <f t="shared" ca="1" si="8"/>
        <v>8</v>
      </c>
      <c r="O22">
        <f t="shared" ca="1" si="8"/>
        <v>2</v>
      </c>
      <c r="P22">
        <f t="shared" ca="1" si="8"/>
        <v>2</v>
      </c>
      <c r="Q22">
        <f t="shared" ca="1" si="8"/>
        <v>7</v>
      </c>
      <c r="R22">
        <f t="shared" ca="1" si="8"/>
        <v>5</v>
      </c>
      <c r="S22">
        <f t="shared" ca="1" si="7"/>
        <v>10</v>
      </c>
      <c r="T22">
        <f t="shared" ca="1" si="7"/>
        <v>9</v>
      </c>
      <c r="U22">
        <f t="shared" ca="1" si="7"/>
        <v>4</v>
      </c>
      <c r="V22">
        <f t="shared" ca="1" si="7"/>
        <v>5</v>
      </c>
      <c r="W22">
        <f t="shared" ca="1" si="7"/>
        <v>5</v>
      </c>
      <c r="X22">
        <f t="shared" ca="1" si="7"/>
        <v>5</v>
      </c>
      <c r="Y22">
        <f t="shared" ca="1" si="7"/>
        <v>10</v>
      </c>
      <c r="Z22">
        <f t="shared" ca="1" si="7"/>
        <v>7</v>
      </c>
      <c r="AA22">
        <f t="shared" ca="1" si="7"/>
        <v>4</v>
      </c>
      <c r="AB22">
        <f t="shared" ca="1" si="7"/>
        <v>2</v>
      </c>
      <c r="AC22">
        <f t="shared" ca="1" si="7"/>
        <v>4</v>
      </c>
      <c r="AD22">
        <f t="shared" ca="1" si="7"/>
        <v>1</v>
      </c>
      <c r="AE22">
        <f t="shared" ca="1" si="7"/>
        <v>1</v>
      </c>
      <c r="AF22">
        <f t="shared" ca="1" si="7"/>
        <v>7</v>
      </c>
      <c r="AG22">
        <f t="shared" ca="1" si="7"/>
        <v>9</v>
      </c>
      <c r="AH22" s="25">
        <f t="shared" ca="1" si="6"/>
        <v>162</v>
      </c>
      <c r="AI22">
        <v>234</v>
      </c>
      <c r="AJ22">
        <v>250</v>
      </c>
      <c r="AK22">
        <f t="shared" si="3"/>
        <v>16</v>
      </c>
      <c r="AL22" s="15">
        <f t="shared" ca="1" si="4"/>
        <v>40500</v>
      </c>
      <c r="AM22" s="15">
        <f t="shared" ca="1" si="5"/>
        <v>2592</v>
      </c>
    </row>
    <row r="23" spans="1:39">
      <c r="A23" s="27"/>
      <c r="B23" t="s">
        <v>40</v>
      </c>
      <c r="C23">
        <f t="shared" ca="1" si="8"/>
        <v>1</v>
      </c>
      <c r="D23">
        <f t="shared" ca="1" si="8"/>
        <v>2</v>
      </c>
      <c r="E23">
        <f t="shared" ca="1" si="8"/>
        <v>9</v>
      </c>
      <c r="F23">
        <f t="shared" ca="1" si="8"/>
        <v>4</v>
      </c>
      <c r="G23">
        <f t="shared" ca="1" si="8"/>
        <v>6</v>
      </c>
      <c r="H23">
        <f t="shared" ca="1" si="8"/>
        <v>8</v>
      </c>
      <c r="I23">
        <f t="shared" ca="1" si="8"/>
        <v>7</v>
      </c>
      <c r="J23">
        <f t="shared" ca="1" si="8"/>
        <v>8</v>
      </c>
      <c r="K23">
        <f t="shared" ca="1" si="8"/>
        <v>1</v>
      </c>
      <c r="L23">
        <f t="shared" ca="1" si="8"/>
        <v>6</v>
      </c>
      <c r="M23">
        <f t="shared" ca="1" si="8"/>
        <v>6</v>
      </c>
      <c r="N23">
        <f t="shared" ca="1" si="8"/>
        <v>2</v>
      </c>
      <c r="O23">
        <f t="shared" ca="1" si="8"/>
        <v>6</v>
      </c>
      <c r="P23">
        <f t="shared" ca="1" si="8"/>
        <v>3</v>
      </c>
      <c r="Q23">
        <f t="shared" ca="1" si="8"/>
        <v>2</v>
      </c>
      <c r="R23">
        <f t="shared" ca="1" si="8"/>
        <v>3</v>
      </c>
      <c r="S23">
        <f t="shared" ca="1" si="7"/>
        <v>4</v>
      </c>
      <c r="T23">
        <f t="shared" ca="1" si="7"/>
        <v>6</v>
      </c>
      <c r="U23">
        <f t="shared" ca="1" si="7"/>
        <v>7</v>
      </c>
      <c r="V23">
        <f t="shared" ca="1" si="7"/>
        <v>3</v>
      </c>
      <c r="W23">
        <f t="shared" ca="1" si="7"/>
        <v>9</v>
      </c>
      <c r="X23">
        <f t="shared" ca="1" si="7"/>
        <v>4</v>
      </c>
      <c r="Y23">
        <f t="shared" ca="1" si="7"/>
        <v>6</v>
      </c>
      <c r="Z23">
        <f t="shared" ca="1" si="7"/>
        <v>3</v>
      </c>
      <c r="AA23">
        <f t="shared" ca="1" si="7"/>
        <v>5</v>
      </c>
      <c r="AB23">
        <f t="shared" ca="1" si="7"/>
        <v>2</v>
      </c>
      <c r="AC23">
        <f t="shared" ca="1" si="7"/>
        <v>10</v>
      </c>
      <c r="AD23">
        <f t="shared" ca="1" si="7"/>
        <v>9</v>
      </c>
      <c r="AE23">
        <f t="shared" ca="1" si="7"/>
        <v>8</v>
      </c>
      <c r="AF23">
        <f t="shared" ca="1" si="7"/>
        <v>3</v>
      </c>
      <c r="AG23">
        <f t="shared" ca="1" si="7"/>
        <v>3</v>
      </c>
      <c r="AH23" s="25">
        <f t="shared" ca="1" si="6"/>
        <v>156</v>
      </c>
      <c r="AI23">
        <v>121</v>
      </c>
      <c r="AJ23">
        <v>140</v>
      </c>
      <c r="AK23">
        <f t="shared" si="3"/>
        <v>19</v>
      </c>
      <c r="AL23" s="15">
        <f t="shared" ca="1" si="4"/>
        <v>21840</v>
      </c>
      <c r="AM23" s="15">
        <f t="shared" ca="1" si="5"/>
        <v>2964</v>
      </c>
    </row>
    <row r="24" spans="1:39">
      <c r="A24" s="27"/>
      <c r="B24" t="s">
        <v>41</v>
      </c>
      <c r="C24">
        <f t="shared" ca="1" si="8"/>
        <v>9</v>
      </c>
      <c r="D24">
        <f t="shared" ca="1" si="8"/>
        <v>9</v>
      </c>
      <c r="E24">
        <f t="shared" ca="1" si="8"/>
        <v>6</v>
      </c>
      <c r="F24">
        <f t="shared" ca="1" si="8"/>
        <v>1</v>
      </c>
      <c r="G24">
        <f t="shared" ca="1" si="8"/>
        <v>9</v>
      </c>
      <c r="H24">
        <f t="shared" ca="1" si="8"/>
        <v>9</v>
      </c>
      <c r="I24">
        <f t="shared" ca="1" si="8"/>
        <v>5</v>
      </c>
      <c r="J24">
        <f t="shared" ca="1" si="8"/>
        <v>2</v>
      </c>
      <c r="K24">
        <f t="shared" ca="1" si="8"/>
        <v>7</v>
      </c>
      <c r="L24">
        <f t="shared" ca="1" si="8"/>
        <v>10</v>
      </c>
      <c r="M24">
        <f t="shared" ca="1" si="8"/>
        <v>2</v>
      </c>
      <c r="N24">
        <f t="shared" ca="1" si="8"/>
        <v>9</v>
      </c>
      <c r="O24">
        <f t="shared" ca="1" si="8"/>
        <v>9</v>
      </c>
      <c r="P24">
        <f t="shared" ca="1" si="8"/>
        <v>3</v>
      </c>
      <c r="Q24">
        <f t="shared" ca="1" si="8"/>
        <v>9</v>
      </c>
      <c r="R24">
        <f t="shared" ca="1" si="8"/>
        <v>9</v>
      </c>
      <c r="S24">
        <f t="shared" ca="1" si="7"/>
        <v>1</v>
      </c>
      <c r="T24">
        <f t="shared" ca="1" si="7"/>
        <v>2</v>
      </c>
      <c r="U24">
        <f t="shared" ca="1" si="7"/>
        <v>7</v>
      </c>
      <c r="V24">
        <f t="shared" ca="1" si="7"/>
        <v>7</v>
      </c>
      <c r="W24">
        <f t="shared" ca="1" si="7"/>
        <v>8</v>
      </c>
      <c r="X24">
        <f t="shared" ca="1" si="7"/>
        <v>3</v>
      </c>
      <c r="Y24">
        <f t="shared" ca="1" si="7"/>
        <v>9</v>
      </c>
      <c r="Z24">
        <f t="shared" ca="1" si="7"/>
        <v>2</v>
      </c>
      <c r="AA24">
        <f t="shared" ca="1" si="7"/>
        <v>2</v>
      </c>
      <c r="AB24">
        <f t="shared" ca="1" si="7"/>
        <v>3</v>
      </c>
      <c r="AC24">
        <f t="shared" ca="1" si="7"/>
        <v>7</v>
      </c>
      <c r="AD24">
        <f t="shared" ca="1" si="7"/>
        <v>3</v>
      </c>
      <c r="AE24">
        <f t="shared" ca="1" si="7"/>
        <v>9</v>
      </c>
      <c r="AF24">
        <f t="shared" ca="1" si="7"/>
        <v>2</v>
      </c>
      <c r="AG24">
        <f t="shared" ca="1" si="7"/>
        <v>5</v>
      </c>
      <c r="AH24" s="25">
        <f t="shared" ca="1" si="6"/>
        <v>178</v>
      </c>
      <c r="AI24">
        <v>350</v>
      </c>
      <c r="AJ24">
        <v>390</v>
      </c>
      <c r="AK24">
        <f t="shared" si="3"/>
        <v>40</v>
      </c>
      <c r="AL24" s="15">
        <f t="shared" ca="1" si="4"/>
        <v>69420</v>
      </c>
      <c r="AM24" s="15">
        <f t="shared" ca="1" si="5"/>
        <v>7120</v>
      </c>
    </row>
    <row r="25" spans="1:39">
      <c r="A25" s="27"/>
      <c r="B25" t="s">
        <v>42</v>
      </c>
      <c r="C25">
        <f t="shared" ca="1" si="8"/>
        <v>2</v>
      </c>
      <c r="D25">
        <f t="shared" ca="1" si="8"/>
        <v>2</v>
      </c>
      <c r="E25">
        <f t="shared" ca="1" si="8"/>
        <v>9</v>
      </c>
      <c r="F25">
        <f t="shared" ca="1" si="8"/>
        <v>10</v>
      </c>
      <c r="G25">
        <f t="shared" ca="1" si="8"/>
        <v>5</v>
      </c>
      <c r="H25">
        <f t="shared" ca="1" si="8"/>
        <v>6</v>
      </c>
      <c r="I25">
        <f t="shared" ca="1" si="8"/>
        <v>2</v>
      </c>
      <c r="J25">
        <f t="shared" ca="1" si="8"/>
        <v>5</v>
      </c>
      <c r="K25">
        <f t="shared" ca="1" si="8"/>
        <v>7</v>
      </c>
      <c r="L25">
        <f t="shared" ca="1" si="8"/>
        <v>8</v>
      </c>
      <c r="M25">
        <f t="shared" ca="1" si="8"/>
        <v>1</v>
      </c>
      <c r="N25">
        <f t="shared" ca="1" si="8"/>
        <v>9</v>
      </c>
      <c r="O25">
        <f t="shared" ca="1" si="8"/>
        <v>4</v>
      </c>
      <c r="P25">
        <f t="shared" ca="1" si="8"/>
        <v>3</v>
      </c>
      <c r="Q25">
        <f t="shared" ca="1" si="8"/>
        <v>7</v>
      </c>
      <c r="R25">
        <f t="shared" ca="1" si="8"/>
        <v>6</v>
      </c>
      <c r="S25">
        <f t="shared" ca="1" si="7"/>
        <v>2</v>
      </c>
      <c r="T25">
        <f t="shared" ca="1" si="7"/>
        <v>2</v>
      </c>
      <c r="U25">
        <f t="shared" ca="1" si="7"/>
        <v>7</v>
      </c>
      <c r="V25">
        <f t="shared" ca="1" si="7"/>
        <v>2</v>
      </c>
      <c r="W25">
        <f t="shared" ca="1" si="7"/>
        <v>2</v>
      </c>
      <c r="X25">
        <f t="shared" ca="1" si="7"/>
        <v>9</v>
      </c>
      <c r="Y25">
        <f t="shared" ca="1" si="7"/>
        <v>2</v>
      </c>
      <c r="Z25">
        <f t="shared" ca="1" si="7"/>
        <v>4</v>
      </c>
      <c r="AA25">
        <f t="shared" ca="1" si="7"/>
        <v>3</v>
      </c>
      <c r="AB25">
        <f t="shared" ca="1" si="7"/>
        <v>10</v>
      </c>
      <c r="AC25">
        <f t="shared" ca="1" si="7"/>
        <v>7</v>
      </c>
      <c r="AD25">
        <f t="shared" ca="1" si="7"/>
        <v>7</v>
      </c>
      <c r="AE25">
        <f t="shared" ca="1" si="7"/>
        <v>8</v>
      </c>
      <c r="AF25">
        <f t="shared" ca="1" si="7"/>
        <v>8</v>
      </c>
      <c r="AG25">
        <f t="shared" ca="1" si="7"/>
        <v>2</v>
      </c>
      <c r="AH25" s="25">
        <f t="shared" ca="1" si="6"/>
        <v>161</v>
      </c>
      <c r="AI25">
        <v>211</v>
      </c>
      <c r="AJ25">
        <v>240</v>
      </c>
      <c r="AK25">
        <f t="shared" si="3"/>
        <v>29</v>
      </c>
      <c r="AL25" s="15">
        <f t="shared" ca="1" si="4"/>
        <v>38640</v>
      </c>
      <c r="AM25" s="15">
        <f t="shared" ca="1" si="5"/>
        <v>4669</v>
      </c>
    </row>
    <row r="26" spans="1:39">
      <c r="A26" s="27"/>
      <c r="B26" t="s">
        <v>43</v>
      </c>
      <c r="C26">
        <f t="shared" ca="1" si="8"/>
        <v>1</v>
      </c>
      <c r="D26">
        <f t="shared" ca="1" si="8"/>
        <v>10</v>
      </c>
      <c r="E26">
        <f t="shared" ca="1" si="8"/>
        <v>6</v>
      </c>
      <c r="F26">
        <f t="shared" ca="1" si="8"/>
        <v>7</v>
      </c>
      <c r="G26">
        <f t="shared" ca="1" si="8"/>
        <v>3</v>
      </c>
      <c r="H26">
        <f t="shared" ca="1" si="8"/>
        <v>3</v>
      </c>
      <c r="I26">
        <f t="shared" ca="1" si="8"/>
        <v>6</v>
      </c>
      <c r="J26">
        <f t="shared" ca="1" si="8"/>
        <v>3</v>
      </c>
      <c r="K26">
        <f t="shared" ca="1" si="8"/>
        <v>4</v>
      </c>
      <c r="L26">
        <f t="shared" ca="1" si="8"/>
        <v>8</v>
      </c>
      <c r="M26">
        <f t="shared" ca="1" si="8"/>
        <v>8</v>
      </c>
      <c r="N26">
        <f t="shared" ca="1" si="8"/>
        <v>4</v>
      </c>
      <c r="O26">
        <f t="shared" ca="1" si="8"/>
        <v>5</v>
      </c>
      <c r="P26">
        <f t="shared" ca="1" si="8"/>
        <v>3</v>
      </c>
      <c r="Q26">
        <f t="shared" ca="1" si="8"/>
        <v>3</v>
      </c>
      <c r="R26">
        <f t="shared" ca="1" si="8"/>
        <v>5</v>
      </c>
      <c r="S26">
        <f t="shared" ca="1" si="7"/>
        <v>10</v>
      </c>
      <c r="T26">
        <f t="shared" ca="1" si="7"/>
        <v>4</v>
      </c>
      <c r="U26">
        <f t="shared" ca="1" si="7"/>
        <v>4</v>
      </c>
      <c r="V26">
        <f t="shared" ca="1" si="7"/>
        <v>7</v>
      </c>
      <c r="W26">
        <f t="shared" ca="1" si="7"/>
        <v>3</v>
      </c>
      <c r="X26">
        <f t="shared" ca="1" si="7"/>
        <v>1</v>
      </c>
      <c r="Y26">
        <f t="shared" ca="1" si="7"/>
        <v>3</v>
      </c>
      <c r="Z26">
        <f t="shared" ca="1" si="7"/>
        <v>4</v>
      </c>
      <c r="AA26">
        <f t="shared" ca="1" si="7"/>
        <v>4</v>
      </c>
      <c r="AB26">
        <f t="shared" ca="1" si="7"/>
        <v>1</v>
      </c>
      <c r="AC26">
        <f t="shared" ca="1" si="7"/>
        <v>5</v>
      </c>
      <c r="AD26">
        <f t="shared" ca="1" si="7"/>
        <v>7</v>
      </c>
      <c r="AE26">
        <f t="shared" ca="1" si="7"/>
        <v>1</v>
      </c>
      <c r="AF26">
        <f t="shared" ca="1" si="7"/>
        <v>5</v>
      </c>
      <c r="AG26">
        <f t="shared" ca="1" si="7"/>
        <v>8</v>
      </c>
      <c r="AH26" s="25">
        <f t="shared" ca="1" si="6"/>
        <v>146</v>
      </c>
      <c r="AI26">
        <v>247</v>
      </c>
      <c r="AJ26">
        <v>280</v>
      </c>
      <c r="AK26">
        <f t="shared" si="3"/>
        <v>33</v>
      </c>
      <c r="AL26" s="15">
        <f t="shared" ca="1" si="4"/>
        <v>40880</v>
      </c>
      <c r="AM26" s="15">
        <f t="shared" ca="1" si="5"/>
        <v>4818</v>
      </c>
    </row>
    <row r="27" spans="1:39">
      <c r="A27" s="27"/>
      <c r="B27" t="s">
        <v>44</v>
      </c>
      <c r="C27">
        <f t="shared" ca="1" si="8"/>
        <v>3</v>
      </c>
      <c r="D27">
        <f t="shared" ca="1" si="8"/>
        <v>7</v>
      </c>
      <c r="E27">
        <f t="shared" ca="1" si="8"/>
        <v>4</v>
      </c>
      <c r="F27">
        <f t="shared" ca="1" si="8"/>
        <v>2</v>
      </c>
      <c r="G27">
        <f t="shared" ca="1" si="8"/>
        <v>9</v>
      </c>
      <c r="H27">
        <f t="shared" ca="1" si="8"/>
        <v>6</v>
      </c>
      <c r="I27">
        <f t="shared" ca="1" si="8"/>
        <v>8</v>
      </c>
      <c r="J27">
        <f t="shared" ca="1" si="8"/>
        <v>3</v>
      </c>
      <c r="K27">
        <f t="shared" ca="1" si="8"/>
        <v>9</v>
      </c>
      <c r="L27">
        <f t="shared" ca="1" si="8"/>
        <v>10</v>
      </c>
      <c r="M27">
        <f t="shared" ca="1" si="8"/>
        <v>9</v>
      </c>
      <c r="N27">
        <f t="shared" ca="1" si="8"/>
        <v>8</v>
      </c>
      <c r="O27">
        <f t="shared" ca="1" si="8"/>
        <v>9</v>
      </c>
      <c r="P27">
        <f t="shared" ca="1" si="8"/>
        <v>3</v>
      </c>
      <c r="Q27">
        <f t="shared" ca="1" si="8"/>
        <v>2</v>
      </c>
      <c r="R27">
        <f t="shared" ca="1" si="8"/>
        <v>7</v>
      </c>
      <c r="S27">
        <f t="shared" ca="1" si="7"/>
        <v>3</v>
      </c>
      <c r="T27">
        <f t="shared" ca="1" si="7"/>
        <v>5</v>
      </c>
      <c r="U27">
        <f t="shared" ca="1" si="7"/>
        <v>2</v>
      </c>
      <c r="V27">
        <f t="shared" ca="1" si="7"/>
        <v>4</v>
      </c>
      <c r="W27">
        <f t="shared" ca="1" si="7"/>
        <v>5</v>
      </c>
      <c r="X27">
        <f t="shared" ca="1" si="7"/>
        <v>8</v>
      </c>
      <c r="Y27">
        <f t="shared" ca="1" si="7"/>
        <v>2</v>
      </c>
      <c r="Z27">
        <f t="shared" ca="1" si="7"/>
        <v>7</v>
      </c>
      <c r="AA27">
        <f t="shared" ca="1" si="7"/>
        <v>6</v>
      </c>
      <c r="AB27">
        <f t="shared" ca="1" si="7"/>
        <v>9</v>
      </c>
      <c r="AC27">
        <f t="shared" ca="1" si="7"/>
        <v>8</v>
      </c>
      <c r="AD27">
        <f t="shared" ca="1" si="7"/>
        <v>3</v>
      </c>
      <c r="AE27">
        <f t="shared" ca="1" si="7"/>
        <v>5</v>
      </c>
      <c r="AF27">
        <f t="shared" ca="1" si="7"/>
        <v>6</v>
      </c>
      <c r="AG27">
        <f t="shared" ca="1" si="7"/>
        <v>6</v>
      </c>
      <c r="AH27" s="25">
        <f t="shared" ca="1" si="6"/>
        <v>178</v>
      </c>
      <c r="AI27">
        <v>286</v>
      </c>
      <c r="AJ27">
        <v>320</v>
      </c>
      <c r="AK27">
        <f t="shared" si="3"/>
        <v>34</v>
      </c>
      <c r="AL27" s="15">
        <f t="shared" ca="1" si="4"/>
        <v>56960</v>
      </c>
      <c r="AM27" s="15">
        <f t="shared" ca="1" si="5"/>
        <v>6052</v>
      </c>
    </row>
    <row r="28" spans="1:39">
      <c r="A28" s="27"/>
      <c r="B28" t="s">
        <v>45</v>
      </c>
      <c r="C28">
        <f t="shared" ca="1" si="8"/>
        <v>1</v>
      </c>
      <c r="D28">
        <f t="shared" ca="1" si="8"/>
        <v>4</v>
      </c>
      <c r="E28">
        <f t="shared" ca="1" si="8"/>
        <v>5</v>
      </c>
      <c r="F28">
        <f t="shared" ca="1" si="8"/>
        <v>9</v>
      </c>
      <c r="G28">
        <f t="shared" ca="1" si="8"/>
        <v>9</v>
      </c>
      <c r="H28">
        <f t="shared" ca="1" si="8"/>
        <v>6</v>
      </c>
      <c r="I28">
        <f t="shared" ca="1" si="8"/>
        <v>8</v>
      </c>
      <c r="J28">
        <f t="shared" ca="1" si="8"/>
        <v>2</v>
      </c>
      <c r="K28">
        <f t="shared" ca="1" si="8"/>
        <v>8</v>
      </c>
      <c r="L28">
        <f t="shared" ca="1" si="8"/>
        <v>10</v>
      </c>
      <c r="M28">
        <f t="shared" ca="1" si="8"/>
        <v>10</v>
      </c>
      <c r="N28">
        <f t="shared" ca="1" si="8"/>
        <v>10</v>
      </c>
      <c r="O28">
        <f t="shared" ca="1" si="8"/>
        <v>10</v>
      </c>
      <c r="P28">
        <f t="shared" ca="1" si="8"/>
        <v>5</v>
      </c>
      <c r="Q28">
        <f t="shared" ca="1" si="8"/>
        <v>8</v>
      </c>
      <c r="R28">
        <f t="shared" ca="1" si="8"/>
        <v>5</v>
      </c>
      <c r="S28">
        <f t="shared" ref="S28:AG34" ca="1" si="9">RANDBETWEEN(1,10)</f>
        <v>8</v>
      </c>
      <c r="T28">
        <f t="shared" ca="1" si="9"/>
        <v>5</v>
      </c>
      <c r="U28">
        <f t="shared" ca="1" si="9"/>
        <v>8</v>
      </c>
      <c r="V28">
        <f t="shared" ca="1" si="9"/>
        <v>6</v>
      </c>
      <c r="W28">
        <f t="shared" ca="1" si="9"/>
        <v>10</v>
      </c>
      <c r="X28">
        <f t="shared" ca="1" si="9"/>
        <v>6</v>
      </c>
      <c r="Y28">
        <f t="shared" ca="1" si="9"/>
        <v>6</v>
      </c>
      <c r="Z28">
        <f t="shared" ca="1" si="9"/>
        <v>3</v>
      </c>
      <c r="AA28">
        <f t="shared" ca="1" si="9"/>
        <v>1</v>
      </c>
      <c r="AB28">
        <f t="shared" ca="1" si="9"/>
        <v>7</v>
      </c>
      <c r="AC28">
        <f t="shared" ca="1" si="9"/>
        <v>4</v>
      </c>
      <c r="AD28">
        <f t="shared" ca="1" si="9"/>
        <v>2</v>
      </c>
      <c r="AE28">
        <f t="shared" ca="1" si="9"/>
        <v>3</v>
      </c>
      <c r="AF28">
        <f t="shared" ca="1" si="9"/>
        <v>3</v>
      </c>
      <c r="AG28">
        <f t="shared" ca="1" si="9"/>
        <v>10</v>
      </c>
      <c r="AH28" s="25">
        <f t="shared" ca="1" si="6"/>
        <v>192</v>
      </c>
      <c r="AI28">
        <v>67</v>
      </c>
      <c r="AJ28">
        <v>80</v>
      </c>
      <c r="AK28">
        <f t="shared" si="3"/>
        <v>13</v>
      </c>
      <c r="AL28" s="15">
        <f t="shared" ca="1" si="4"/>
        <v>15360</v>
      </c>
      <c r="AM28" s="15">
        <f t="shared" ca="1" si="5"/>
        <v>2496</v>
      </c>
    </row>
    <row r="29" spans="1:39">
      <c r="A29" s="27"/>
      <c r="B29" t="s">
        <v>46</v>
      </c>
      <c r="C29">
        <f t="shared" ca="1" si="8"/>
        <v>6</v>
      </c>
      <c r="D29">
        <f t="shared" ca="1" si="8"/>
        <v>7</v>
      </c>
      <c r="E29">
        <f t="shared" ca="1" si="8"/>
        <v>7</v>
      </c>
      <c r="F29">
        <f t="shared" ca="1" si="8"/>
        <v>1</v>
      </c>
      <c r="G29">
        <f t="shared" ca="1" si="8"/>
        <v>2</v>
      </c>
      <c r="H29">
        <f t="shared" ca="1" si="8"/>
        <v>8</v>
      </c>
      <c r="I29">
        <f t="shared" ca="1" si="8"/>
        <v>6</v>
      </c>
      <c r="J29">
        <f t="shared" ca="1" si="8"/>
        <v>10</v>
      </c>
      <c r="K29">
        <f t="shared" ca="1" si="8"/>
        <v>9</v>
      </c>
      <c r="L29">
        <f t="shared" ca="1" si="8"/>
        <v>8</v>
      </c>
      <c r="M29">
        <f t="shared" ca="1" si="8"/>
        <v>9</v>
      </c>
      <c r="N29">
        <f t="shared" ca="1" si="8"/>
        <v>5</v>
      </c>
      <c r="O29">
        <f t="shared" ca="1" si="8"/>
        <v>6</v>
      </c>
      <c r="P29">
        <f t="shared" ca="1" si="8"/>
        <v>4</v>
      </c>
      <c r="Q29">
        <f t="shared" ca="1" si="8"/>
        <v>4</v>
      </c>
      <c r="R29">
        <f t="shared" ca="1" si="8"/>
        <v>9</v>
      </c>
      <c r="S29">
        <f t="shared" ca="1" si="9"/>
        <v>7</v>
      </c>
      <c r="T29">
        <f t="shared" ca="1" si="9"/>
        <v>5</v>
      </c>
      <c r="U29">
        <f t="shared" ca="1" si="9"/>
        <v>1</v>
      </c>
      <c r="V29">
        <f t="shared" ca="1" si="9"/>
        <v>10</v>
      </c>
      <c r="W29">
        <f t="shared" ca="1" si="9"/>
        <v>1</v>
      </c>
      <c r="X29">
        <f t="shared" ca="1" si="9"/>
        <v>4</v>
      </c>
      <c r="Y29">
        <f t="shared" ca="1" si="9"/>
        <v>5</v>
      </c>
      <c r="Z29">
        <f t="shared" ca="1" si="9"/>
        <v>7</v>
      </c>
      <c r="AA29">
        <f t="shared" ca="1" si="9"/>
        <v>7</v>
      </c>
      <c r="AB29">
        <f t="shared" ca="1" si="9"/>
        <v>4</v>
      </c>
      <c r="AC29">
        <f t="shared" ca="1" si="9"/>
        <v>5</v>
      </c>
      <c r="AD29">
        <f t="shared" ca="1" si="9"/>
        <v>2</v>
      </c>
      <c r="AE29">
        <f t="shared" ca="1" si="9"/>
        <v>7</v>
      </c>
      <c r="AF29">
        <f t="shared" ca="1" si="9"/>
        <v>5</v>
      </c>
      <c r="AG29">
        <f t="shared" ca="1" si="9"/>
        <v>2</v>
      </c>
      <c r="AH29" s="25">
        <f t="shared" ca="1" si="6"/>
        <v>173</v>
      </c>
      <c r="AI29">
        <v>335</v>
      </c>
      <c r="AJ29">
        <v>350</v>
      </c>
      <c r="AK29">
        <f t="shared" si="3"/>
        <v>15</v>
      </c>
      <c r="AL29" s="15">
        <f t="shared" ca="1" si="4"/>
        <v>60550</v>
      </c>
      <c r="AM29" s="15">
        <f t="shared" ca="1" si="5"/>
        <v>2595</v>
      </c>
    </row>
    <row r="30" spans="1:39">
      <c r="A30" s="27"/>
      <c r="B30" t="s">
        <v>47</v>
      </c>
      <c r="C30">
        <f t="shared" ca="1" si="8"/>
        <v>3</v>
      </c>
      <c r="D30">
        <f t="shared" ca="1" si="8"/>
        <v>4</v>
      </c>
      <c r="E30">
        <f t="shared" ca="1" si="8"/>
        <v>4</v>
      </c>
      <c r="F30">
        <f t="shared" ca="1" si="8"/>
        <v>3</v>
      </c>
      <c r="G30">
        <f t="shared" ca="1" si="8"/>
        <v>9</v>
      </c>
      <c r="H30">
        <f t="shared" ca="1" si="8"/>
        <v>5</v>
      </c>
      <c r="I30">
        <f t="shared" ca="1" si="8"/>
        <v>6</v>
      </c>
      <c r="J30">
        <f t="shared" ca="1" si="8"/>
        <v>4</v>
      </c>
      <c r="K30">
        <f t="shared" ca="1" si="8"/>
        <v>10</v>
      </c>
      <c r="L30">
        <f t="shared" ca="1" si="8"/>
        <v>10</v>
      </c>
      <c r="M30">
        <f t="shared" ca="1" si="8"/>
        <v>7</v>
      </c>
      <c r="N30">
        <f t="shared" ca="1" si="8"/>
        <v>8</v>
      </c>
      <c r="O30">
        <f t="shared" ca="1" si="8"/>
        <v>1</v>
      </c>
      <c r="P30">
        <f t="shared" ca="1" si="8"/>
        <v>7</v>
      </c>
      <c r="Q30">
        <f t="shared" ca="1" si="8"/>
        <v>2</v>
      </c>
      <c r="R30">
        <f t="shared" ca="1" si="8"/>
        <v>4</v>
      </c>
      <c r="S30">
        <f t="shared" ca="1" si="9"/>
        <v>4</v>
      </c>
      <c r="T30">
        <f t="shared" ca="1" si="9"/>
        <v>7</v>
      </c>
      <c r="U30">
        <f t="shared" ca="1" si="9"/>
        <v>4</v>
      </c>
      <c r="V30">
        <f t="shared" ca="1" si="9"/>
        <v>3</v>
      </c>
      <c r="W30">
        <f t="shared" ca="1" si="9"/>
        <v>4</v>
      </c>
      <c r="X30">
        <f t="shared" ca="1" si="9"/>
        <v>9</v>
      </c>
      <c r="Y30">
        <f t="shared" ca="1" si="9"/>
        <v>4</v>
      </c>
      <c r="Z30">
        <f t="shared" ca="1" si="9"/>
        <v>3</v>
      </c>
      <c r="AA30">
        <f t="shared" ca="1" si="9"/>
        <v>6</v>
      </c>
      <c r="AB30">
        <f t="shared" ca="1" si="9"/>
        <v>4</v>
      </c>
      <c r="AC30">
        <f t="shared" ca="1" si="9"/>
        <v>1</v>
      </c>
      <c r="AD30">
        <f t="shared" ca="1" si="9"/>
        <v>4</v>
      </c>
      <c r="AE30">
        <f t="shared" ca="1" si="9"/>
        <v>9</v>
      </c>
      <c r="AF30">
        <f t="shared" ca="1" si="9"/>
        <v>10</v>
      </c>
      <c r="AG30">
        <f t="shared" ca="1" si="9"/>
        <v>6</v>
      </c>
      <c r="AH30" s="25">
        <f t="shared" ca="1" si="6"/>
        <v>165</v>
      </c>
      <c r="AI30">
        <v>366</v>
      </c>
      <c r="AJ30">
        <v>400</v>
      </c>
      <c r="AK30">
        <f t="shared" si="3"/>
        <v>34</v>
      </c>
      <c r="AL30" s="15">
        <f t="shared" ca="1" si="4"/>
        <v>66000</v>
      </c>
      <c r="AM30" s="15">
        <f t="shared" ca="1" si="5"/>
        <v>5610</v>
      </c>
    </row>
    <row r="31" spans="1:39">
      <c r="A31" s="27"/>
      <c r="B31" t="s">
        <v>48</v>
      </c>
      <c r="C31">
        <f t="shared" ca="1" si="8"/>
        <v>6</v>
      </c>
      <c r="D31">
        <f t="shared" ca="1" si="8"/>
        <v>8</v>
      </c>
      <c r="E31">
        <f t="shared" ca="1" si="8"/>
        <v>10</v>
      </c>
      <c r="F31">
        <f t="shared" ca="1" si="8"/>
        <v>10</v>
      </c>
      <c r="G31">
        <f t="shared" ca="1" si="8"/>
        <v>7</v>
      </c>
      <c r="H31">
        <f t="shared" ca="1" si="8"/>
        <v>1</v>
      </c>
      <c r="I31">
        <f t="shared" ca="1" si="8"/>
        <v>9</v>
      </c>
      <c r="J31">
        <f t="shared" ca="1" si="8"/>
        <v>7</v>
      </c>
      <c r="K31">
        <f t="shared" ca="1" si="8"/>
        <v>2</v>
      </c>
      <c r="L31">
        <f t="shared" ca="1" si="8"/>
        <v>4</v>
      </c>
      <c r="M31">
        <f t="shared" ca="1" si="8"/>
        <v>3</v>
      </c>
      <c r="N31">
        <f t="shared" ca="1" si="8"/>
        <v>8</v>
      </c>
      <c r="O31">
        <f t="shared" ca="1" si="8"/>
        <v>10</v>
      </c>
      <c r="P31">
        <f t="shared" ca="1" si="8"/>
        <v>7</v>
      </c>
      <c r="Q31">
        <f t="shared" ca="1" si="8"/>
        <v>3</v>
      </c>
      <c r="R31">
        <f t="shared" ca="1" si="8"/>
        <v>2</v>
      </c>
      <c r="S31">
        <f t="shared" ca="1" si="9"/>
        <v>7</v>
      </c>
      <c r="T31">
        <f t="shared" ca="1" si="9"/>
        <v>8</v>
      </c>
      <c r="U31">
        <f t="shared" ca="1" si="9"/>
        <v>4</v>
      </c>
      <c r="V31">
        <f t="shared" ca="1" si="9"/>
        <v>4</v>
      </c>
      <c r="W31">
        <f t="shared" ca="1" si="9"/>
        <v>7</v>
      </c>
      <c r="X31">
        <f t="shared" ca="1" si="9"/>
        <v>2</v>
      </c>
      <c r="Y31">
        <f t="shared" ca="1" si="9"/>
        <v>10</v>
      </c>
      <c r="Z31">
        <f t="shared" ca="1" si="9"/>
        <v>6</v>
      </c>
      <c r="AA31">
        <f t="shared" ca="1" si="9"/>
        <v>10</v>
      </c>
      <c r="AB31">
        <f t="shared" ca="1" si="9"/>
        <v>4</v>
      </c>
      <c r="AC31">
        <f t="shared" ca="1" si="9"/>
        <v>8</v>
      </c>
      <c r="AD31">
        <f t="shared" ca="1" si="9"/>
        <v>10</v>
      </c>
      <c r="AE31">
        <f t="shared" ca="1" si="9"/>
        <v>6</v>
      </c>
      <c r="AF31">
        <f t="shared" ca="1" si="9"/>
        <v>8</v>
      </c>
      <c r="AG31">
        <f t="shared" ca="1" si="9"/>
        <v>8</v>
      </c>
      <c r="AH31" s="25">
        <f t="shared" ca="1" si="6"/>
        <v>199</v>
      </c>
      <c r="AI31">
        <v>167</v>
      </c>
      <c r="AJ31">
        <v>200</v>
      </c>
      <c r="AK31">
        <f t="shared" si="3"/>
        <v>33</v>
      </c>
      <c r="AL31" s="15">
        <f t="shared" ca="1" si="4"/>
        <v>39800</v>
      </c>
      <c r="AM31" s="15">
        <f t="shared" ca="1" si="5"/>
        <v>6567</v>
      </c>
    </row>
    <row r="32" spans="1:39">
      <c r="A32" s="27"/>
      <c r="B32" t="s">
        <v>49</v>
      </c>
      <c r="C32">
        <f t="shared" ca="1" si="8"/>
        <v>2</v>
      </c>
      <c r="D32">
        <f t="shared" ca="1" si="8"/>
        <v>2</v>
      </c>
      <c r="E32">
        <f t="shared" ca="1" si="8"/>
        <v>5</v>
      </c>
      <c r="F32">
        <f t="shared" ca="1" si="8"/>
        <v>5</v>
      </c>
      <c r="G32">
        <f t="shared" ca="1" si="8"/>
        <v>5</v>
      </c>
      <c r="H32">
        <f t="shared" ca="1" si="8"/>
        <v>1</v>
      </c>
      <c r="I32">
        <f t="shared" ca="1" si="8"/>
        <v>3</v>
      </c>
      <c r="J32">
        <f t="shared" ca="1" si="8"/>
        <v>4</v>
      </c>
      <c r="K32">
        <f t="shared" ca="1" si="8"/>
        <v>5</v>
      </c>
      <c r="L32">
        <f t="shared" ca="1" si="8"/>
        <v>3</v>
      </c>
      <c r="M32">
        <f t="shared" ca="1" si="8"/>
        <v>7</v>
      </c>
      <c r="N32">
        <f t="shared" ca="1" si="8"/>
        <v>2</v>
      </c>
      <c r="O32">
        <f t="shared" ca="1" si="8"/>
        <v>3</v>
      </c>
      <c r="P32">
        <f t="shared" ca="1" si="8"/>
        <v>1</v>
      </c>
      <c r="Q32">
        <f t="shared" ca="1" si="8"/>
        <v>4</v>
      </c>
      <c r="R32">
        <f t="shared" ca="1" si="8"/>
        <v>4</v>
      </c>
      <c r="S32">
        <f t="shared" ca="1" si="9"/>
        <v>1</v>
      </c>
      <c r="T32">
        <f t="shared" ca="1" si="9"/>
        <v>9</v>
      </c>
      <c r="U32">
        <f t="shared" ca="1" si="9"/>
        <v>2</v>
      </c>
      <c r="V32">
        <f t="shared" ca="1" si="9"/>
        <v>3</v>
      </c>
      <c r="W32">
        <f t="shared" ca="1" si="9"/>
        <v>5</v>
      </c>
      <c r="X32">
        <f t="shared" ca="1" si="9"/>
        <v>1</v>
      </c>
      <c r="Y32">
        <f t="shared" ca="1" si="9"/>
        <v>1</v>
      </c>
      <c r="Z32">
        <f t="shared" ca="1" si="9"/>
        <v>7</v>
      </c>
      <c r="AA32">
        <f t="shared" ca="1" si="9"/>
        <v>4</v>
      </c>
      <c r="AB32">
        <f t="shared" ca="1" si="9"/>
        <v>7</v>
      </c>
      <c r="AC32">
        <f t="shared" ca="1" si="9"/>
        <v>5</v>
      </c>
      <c r="AD32">
        <f t="shared" ca="1" si="9"/>
        <v>3</v>
      </c>
      <c r="AE32">
        <f t="shared" ca="1" si="9"/>
        <v>10</v>
      </c>
      <c r="AF32">
        <f t="shared" ca="1" si="9"/>
        <v>6</v>
      </c>
      <c r="AG32">
        <f t="shared" ca="1" si="9"/>
        <v>4</v>
      </c>
      <c r="AH32" s="25">
        <f t="shared" ca="1" si="6"/>
        <v>124</v>
      </c>
      <c r="AI32">
        <v>73</v>
      </c>
      <c r="AJ32">
        <v>100</v>
      </c>
      <c r="AK32">
        <f t="shared" si="3"/>
        <v>27</v>
      </c>
      <c r="AL32" s="15">
        <f t="shared" ca="1" si="4"/>
        <v>12400</v>
      </c>
      <c r="AM32" s="15">
        <f t="shared" ca="1" si="5"/>
        <v>3348</v>
      </c>
    </row>
    <row r="33" spans="1:39">
      <c r="A33" s="27"/>
      <c r="B33" t="s">
        <v>50</v>
      </c>
      <c r="C33">
        <f t="shared" ca="1" si="8"/>
        <v>3</v>
      </c>
      <c r="D33">
        <f t="shared" ca="1" si="8"/>
        <v>7</v>
      </c>
      <c r="E33">
        <f t="shared" ca="1" si="8"/>
        <v>5</v>
      </c>
      <c r="F33">
        <f t="shared" ca="1" si="8"/>
        <v>6</v>
      </c>
      <c r="G33">
        <f t="shared" ca="1" si="8"/>
        <v>9</v>
      </c>
      <c r="H33">
        <f t="shared" ca="1" si="8"/>
        <v>2</v>
      </c>
      <c r="I33">
        <f t="shared" ca="1" si="8"/>
        <v>1</v>
      </c>
      <c r="J33">
        <f t="shared" ca="1" si="8"/>
        <v>1</v>
      </c>
      <c r="K33">
        <f t="shared" ca="1" si="8"/>
        <v>3</v>
      </c>
      <c r="L33">
        <f t="shared" ca="1" si="8"/>
        <v>9</v>
      </c>
      <c r="M33">
        <f t="shared" ca="1" si="8"/>
        <v>7</v>
      </c>
      <c r="N33">
        <f t="shared" ca="1" si="8"/>
        <v>10</v>
      </c>
      <c r="O33">
        <f t="shared" ca="1" si="8"/>
        <v>2</v>
      </c>
      <c r="P33">
        <f t="shared" ca="1" si="8"/>
        <v>1</v>
      </c>
      <c r="Q33">
        <f t="shared" ca="1" si="8"/>
        <v>5</v>
      </c>
      <c r="R33">
        <f t="shared" ca="1" si="8"/>
        <v>9</v>
      </c>
      <c r="S33">
        <f t="shared" ca="1" si="9"/>
        <v>5</v>
      </c>
      <c r="T33">
        <f t="shared" ca="1" si="9"/>
        <v>4</v>
      </c>
      <c r="U33">
        <f t="shared" ca="1" si="9"/>
        <v>6</v>
      </c>
      <c r="V33">
        <f t="shared" ca="1" si="9"/>
        <v>2</v>
      </c>
      <c r="W33">
        <f t="shared" ca="1" si="9"/>
        <v>5</v>
      </c>
      <c r="X33">
        <f t="shared" ca="1" si="9"/>
        <v>10</v>
      </c>
      <c r="Y33">
        <f t="shared" ca="1" si="9"/>
        <v>10</v>
      </c>
      <c r="Z33">
        <f t="shared" ca="1" si="9"/>
        <v>8</v>
      </c>
      <c r="AA33">
        <f t="shared" ca="1" si="9"/>
        <v>1</v>
      </c>
      <c r="AB33">
        <f t="shared" ca="1" si="9"/>
        <v>6</v>
      </c>
      <c r="AC33">
        <f t="shared" ca="1" si="9"/>
        <v>1</v>
      </c>
      <c r="AD33">
        <f t="shared" ca="1" si="9"/>
        <v>6</v>
      </c>
      <c r="AE33">
        <f t="shared" ca="1" si="9"/>
        <v>5</v>
      </c>
      <c r="AF33">
        <f t="shared" ca="1" si="9"/>
        <v>4</v>
      </c>
      <c r="AG33">
        <f t="shared" ca="1" si="9"/>
        <v>9</v>
      </c>
      <c r="AH33" s="25">
        <f t="shared" ca="1" si="6"/>
        <v>162</v>
      </c>
      <c r="AI33">
        <v>367</v>
      </c>
      <c r="AJ33">
        <v>450</v>
      </c>
      <c r="AK33">
        <f t="shared" si="3"/>
        <v>83</v>
      </c>
      <c r="AL33" s="15">
        <f t="shared" ca="1" si="4"/>
        <v>72900</v>
      </c>
      <c r="AM33" s="15">
        <f t="shared" ca="1" si="5"/>
        <v>13446</v>
      </c>
    </row>
    <row r="34" spans="1:39">
      <c r="A34" s="27"/>
      <c r="B34" t="s">
        <v>51</v>
      </c>
      <c r="C34">
        <f t="shared" ca="1" si="8"/>
        <v>7</v>
      </c>
      <c r="D34">
        <f t="shared" ca="1" si="8"/>
        <v>4</v>
      </c>
      <c r="E34">
        <f t="shared" ca="1" si="8"/>
        <v>10</v>
      </c>
      <c r="F34">
        <f t="shared" ca="1" si="8"/>
        <v>2</v>
      </c>
      <c r="G34">
        <f t="shared" ca="1" si="8"/>
        <v>5</v>
      </c>
      <c r="H34">
        <f t="shared" ca="1" si="8"/>
        <v>9</v>
      </c>
      <c r="I34">
        <f t="shared" ca="1" si="8"/>
        <v>8</v>
      </c>
      <c r="J34">
        <f t="shared" ca="1" si="8"/>
        <v>4</v>
      </c>
      <c r="K34">
        <f t="shared" ca="1" si="8"/>
        <v>9</v>
      </c>
      <c r="L34">
        <f t="shared" ca="1" si="8"/>
        <v>7</v>
      </c>
      <c r="M34">
        <f t="shared" ca="1" si="8"/>
        <v>5</v>
      </c>
      <c r="N34">
        <f t="shared" ca="1" si="8"/>
        <v>3</v>
      </c>
      <c r="O34">
        <f t="shared" ca="1" si="8"/>
        <v>6</v>
      </c>
      <c r="P34">
        <f t="shared" ca="1" si="8"/>
        <v>2</v>
      </c>
      <c r="Q34">
        <f t="shared" ca="1" si="8"/>
        <v>10</v>
      </c>
      <c r="R34">
        <f t="shared" ca="1" si="8"/>
        <v>4</v>
      </c>
      <c r="S34">
        <f t="shared" ca="1" si="9"/>
        <v>8</v>
      </c>
      <c r="T34">
        <f t="shared" ca="1" si="9"/>
        <v>10</v>
      </c>
      <c r="U34">
        <f t="shared" ca="1" si="9"/>
        <v>1</v>
      </c>
      <c r="V34">
        <f t="shared" ca="1" si="9"/>
        <v>10</v>
      </c>
      <c r="W34">
        <f t="shared" ca="1" si="9"/>
        <v>2</v>
      </c>
      <c r="X34">
        <f t="shared" ca="1" si="9"/>
        <v>1</v>
      </c>
      <c r="Y34">
        <f t="shared" ca="1" si="9"/>
        <v>4</v>
      </c>
      <c r="Z34">
        <f t="shared" ca="1" si="9"/>
        <v>7</v>
      </c>
      <c r="AA34">
        <f t="shared" ca="1" si="9"/>
        <v>1</v>
      </c>
      <c r="AB34">
        <f t="shared" ca="1" si="9"/>
        <v>5</v>
      </c>
      <c r="AC34">
        <f t="shared" ca="1" si="9"/>
        <v>2</v>
      </c>
      <c r="AD34">
        <f t="shared" ca="1" si="9"/>
        <v>3</v>
      </c>
      <c r="AE34">
        <f t="shared" ca="1" si="9"/>
        <v>4</v>
      </c>
      <c r="AF34">
        <f t="shared" ca="1" si="9"/>
        <v>5</v>
      </c>
      <c r="AG34">
        <f t="shared" ca="1" si="9"/>
        <v>1</v>
      </c>
      <c r="AH34" s="25">
        <f t="shared" ca="1" si="6"/>
        <v>159</v>
      </c>
      <c r="AI34">
        <v>342</v>
      </c>
      <c r="AJ34">
        <v>390</v>
      </c>
      <c r="AK34">
        <f t="shared" si="3"/>
        <v>48</v>
      </c>
      <c r="AL34" s="15">
        <f t="shared" ca="1" si="4"/>
        <v>62010</v>
      </c>
      <c r="AM34" s="15">
        <f t="shared" ca="1" si="5"/>
        <v>7632</v>
      </c>
    </row>
    <row r="35" spans="1:39">
      <c r="A35" s="27"/>
      <c r="B35" t="s">
        <v>52</v>
      </c>
      <c r="C35">
        <f t="shared" ca="1" si="8"/>
        <v>10</v>
      </c>
      <c r="D35">
        <f t="shared" ca="1" si="8"/>
        <v>3</v>
      </c>
      <c r="E35">
        <f t="shared" ca="1" si="8"/>
        <v>7</v>
      </c>
      <c r="F35">
        <f t="shared" ca="1" si="8"/>
        <v>10</v>
      </c>
      <c r="G35">
        <f t="shared" ca="1" si="8"/>
        <v>7</v>
      </c>
      <c r="H35">
        <f t="shared" ca="1" si="8"/>
        <v>5</v>
      </c>
      <c r="I35">
        <f t="shared" ca="1" si="8"/>
        <v>8</v>
      </c>
      <c r="J35">
        <f t="shared" ca="1" si="8"/>
        <v>8</v>
      </c>
      <c r="K35">
        <f t="shared" ca="1" si="8"/>
        <v>6</v>
      </c>
      <c r="L35">
        <f t="shared" ca="1" si="8"/>
        <v>3</v>
      </c>
      <c r="M35">
        <f t="shared" ca="1" si="8"/>
        <v>1</v>
      </c>
      <c r="N35">
        <f t="shared" ca="1" si="8"/>
        <v>10</v>
      </c>
      <c r="O35">
        <f t="shared" ca="1" si="8"/>
        <v>10</v>
      </c>
      <c r="P35">
        <f t="shared" ca="1" si="8"/>
        <v>6</v>
      </c>
      <c r="Q35">
        <f t="shared" ca="1" si="8"/>
        <v>4</v>
      </c>
      <c r="R35">
        <f t="shared" ref="R35:AG50" ca="1" si="10">RANDBETWEEN(1,10)</f>
        <v>3</v>
      </c>
      <c r="S35">
        <f t="shared" ca="1" si="10"/>
        <v>1</v>
      </c>
      <c r="T35">
        <f t="shared" ca="1" si="10"/>
        <v>4</v>
      </c>
      <c r="U35">
        <f t="shared" ca="1" si="10"/>
        <v>5</v>
      </c>
      <c r="V35">
        <f t="shared" ca="1" si="10"/>
        <v>7</v>
      </c>
      <c r="W35">
        <f t="shared" ca="1" si="10"/>
        <v>4</v>
      </c>
      <c r="X35">
        <f t="shared" ca="1" si="10"/>
        <v>6</v>
      </c>
      <c r="Y35">
        <f t="shared" ca="1" si="10"/>
        <v>3</v>
      </c>
      <c r="Z35">
        <f t="shared" ca="1" si="10"/>
        <v>6</v>
      </c>
      <c r="AA35">
        <f t="shared" ca="1" si="10"/>
        <v>7</v>
      </c>
      <c r="AB35">
        <f t="shared" ca="1" si="10"/>
        <v>9</v>
      </c>
      <c r="AC35">
        <f t="shared" ca="1" si="10"/>
        <v>2</v>
      </c>
      <c r="AD35">
        <f t="shared" ca="1" si="10"/>
        <v>10</v>
      </c>
      <c r="AE35">
        <f t="shared" ca="1" si="10"/>
        <v>2</v>
      </c>
      <c r="AF35">
        <f t="shared" ca="1" si="10"/>
        <v>7</v>
      </c>
      <c r="AG35">
        <f t="shared" ca="1" si="10"/>
        <v>1</v>
      </c>
      <c r="AH35" s="25">
        <f t="shared" ca="1" si="6"/>
        <v>175</v>
      </c>
      <c r="AI35">
        <v>363</v>
      </c>
      <c r="AJ35">
        <v>420</v>
      </c>
      <c r="AK35">
        <f t="shared" si="3"/>
        <v>57</v>
      </c>
      <c r="AL35" s="15">
        <f t="shared" ca="1" si="4"/>
        <v>73500</v>
      </c>
      <c r="AM35" s="15">
        <f t="shared" ca="1" si="5"/>
        <v>9975</v>
      </c>
    </row>
    <row r="36" spans="1:39">
      <c r="A36" s="27"/>
      <c r="B36" t="s">
        <v>53</v>
      </c>
      <c r="C36">
        <f t="shared" ref="C36:R51" ca="1" si="11">RANDBETWEEN(1,10)</f>
        <v>1</v>
      </c>
      <c r="D36">
        <f t="shared" ca="1" si="11"/>
        <v>2</v>
      </c>
      <c r="E36">
        <f t="shared" ca="1" si="11"/>
        <v>3</v>
      </c>
      <c r="F36">
        <f t="shared" ca="1" si="11"/>
        <v>1</v>
      </c>
      <c r="G36">
        <f t="shared" ca="1" si="11"/>
        <v>8</v>
      </c>
      <c r="H36">
        <f t="shared" ca="1" si="11"/>
        <v>4</v>
      </c>
      <c r="I36">
        <f t="shared" ca="1" si="11"/>
        <v>9</v>
      </c>
      <c r="J36">
        <f t="shared" ca="1" si="11"/>
        <v>5</v>
      </c>
      <c r="K36">
        <f t="shared" ca="1" si="11"/>
        <v>3</v>
      </c>
      <c r="L36">
        <f t="shared" ca="1" si="11"/>
        <v>7</v>
      </c>
      <c r="M36">
        <f t="shared" ca="1" si="11"/>
        <v>3</v>
      </c>
      <c r="N36">
        <f t="shared" ca="1" si="11"/>
        <v>2</v>
      </c>
      <c r="O36">
        <f t="shared" ca="1" si="11"/>
        <v>1</v>
      </c>
      <c r="P36">
        <f t="shared" ca="1" si="11"/>
        <v>9</v>
      </c>
      <c r="Q36">
        <f t="shared" ca="1" si="11"/>
        <v>6</v>
      </c>
      <c r="R36">
        <f t="shared" ca="1" si="11"/>
        <v>1</v>
      </c>
      <c r="S36">
        <f t="shared" ca="1" si="10"/>
        <v>10</v>
      </c>
      <c r="T36">
        <f t="shared" ca="1" si="10"/>
        <v>5</v>
      </c>
      <c r="U36">
        <f t="shared" ca="1" si="10"/>
        <v>4</v>
      </c>
      <c r="V36">
        <f t="shared" ca="1" si="10"/>
        <v>4</v>
      </c>
      <c r="W36">
        <f t="shared" ca="1" si="10"/>
        <v>7</v>
      </c>
      <c r="X36">
        <f t="shared" ca="1" si="10"/>
        <v>8</v>
      </c>
      <c r="Y36">
        <f t="shared" ca="1" si="10"/>
        <v>5</v>
      </c>
      <c r="Z36">
        <f t="shared" ca="1" si="10"/>
        <v>1</v>
      </c>
      <c r="AA36">
        <f t="shared" ca="1" si="10"/>
        <v>10</v>
      </c>
      <c r="AB36">
        <f t="shared" ca="1" si="10"/>
        <v>10</v>
      </c>
      <c r="AC36">
        <f t="shared" ca="1" si="10"/>
        <v>3</v>
      </c>
      <c r="AD36">
        <f t="shared" ca="1" si="10"/>
        <v>9</v>
      </c>
      <c r="AE36">
        <f t="shared" ca="1" si="10"/>
        <v>6</v>
      </c>
      <c r="AF36">
        <f t="shared" ca="1" si="10"/>
        <v>9</v>
      </c>
      <c r="AG36">
        <f t="shared" ca="1" si="10"/>
        <v>8</v>
      </c>
      <c r="AH36" s="25">
        <f t="shared" ca="1" si="6"/>
        <v>164</v>
      </c>
      <c r="AI36">
        <v>263</v>
      </c>
      <c r="AJ36">
        <v>300</v>
      </c>
      <c r="AK36">
        <f t="shared" si="3"/>
        <v>37</v>
      </c>
      <c r="AL36" s="15">
        <f t="shared" ca="1" si="4"/>
        <v>49200</v>
      </c>
      <c r="AM36" s="15">
        <f t="shared" ca="1" si="5"/>
        <v>6068</v>
      </c>
    </row>
    <row r="37" spans="1:39">
      <c r="A37" s="27"/>
      <c r="B37" t="s">
        <v>54</v>
      </c>
      <c r="C37">
        <f t="shared" ca="1" si="11"/>
        <v>3</v>
      </c>
      <c r="D37">
        <f t="shared" ca="1" si="11"/>
        <v>2</v>
      </c>
      <c r="E37">
        <f t="shared" ca="1" si="11"/>
        <v>6</v>
      </c>
      <c r="F37">
        <f t="shared" ca="1" si="11"/>
        <v>4</v>
      </c>
      <c r="G37">
        <f t="shared" ca="1" si="11"/>
        <v>2</v>
      </c>
      <c r="H37">
        <f t="shared" ca="1" si="11"/>
        <v>4</v>
      </c>
      <c r="I37">
        <f t="shared" ca="1" si="11"/>
        <v>4</v>
      </c>
      <c r="J37">
        <f t="shared" ca="1" si="11"/>
        <v>1</v>
      </c>
      <c r="K37">
        <f t="shared" ca="1" si="11"/>
        <v>6</v>
      </c>
      <c r="L37">
        <f t="shared" ca="1" si="11"/>
        <v>1</v>
      </c>
      <c r="M37">
        <f t="shared" ca="1" si="11"/>
        <v>10</v>
      </c>
      <c r="N37">
        <f t="shared" ca="1" si="11"/>
        <v>3</v>
      </c>
      <c r="O37">
        <f t="shared" ca="1" si="11"/>
        <v>1</v>
      </c>
      <c r="P37">
        <f t="shared" ca="1" si="11"/>
        <v>7</v>
      </c>
      <c r="Q37">
        <f t="shared" ca="1" si="11"/>
        <v>9</v>
      </c>
      <c r="R37">
        <f t="shared" ca="1" si="11"/>
        <v>3</v>
      </c>
      <c r="S37">
        <f t="shared" ca="1" si="10"/>
        <v>6</v>
      </c>
      <c r="T37">
        <f t="shared" ca="1" si="10"/>
        <v>9</v>
      </c>
      <c r="U37">
        <f t="shared" ca="1" si="10"/>
        <v>9</v>
      </c>
      <c r="V37">
        <f t="shared" ca="1" si="10"/>
        <v>10</v>
      </c>
      <c r="W37">
        <f t="shared" ca="1" si="10"/>
        <v>10</v>
      </c>
      <c r="X37">
        <f t="shared" ca="1" si="10"/>
        <v>6</v>
      </c>
      <c r="Y37">
        <f t="shared" ca="1" si="10"/>
        <v>5</v>
      </c>
      <c r="Z37">
        <f t="shared" ca="1" si="10"/>
        <v>8</v>
      </c>
      <c r="AA37">
        <f t="shared" ca="1" si="10"/>
        <v>5</v>
      </c>
      <c r="AB37">
        <f t="shared" ca="1" si="10"/>
        <v>7</v>
      </c>
      <c r="AC37">
        <f t="shared" ca="1" si="10"/>
        <v>2</v>
      </c>
      <c r="AD37">
        <f t="shared" ca="1" si="10"/>
        <v>8</v>
      </c>
      <c r="AE37">
        <f t="shared" ca="1" si="10"/>
        <v>8</v>
      </c>
      <c r="AF37">
        <f t="shared" ca="1" si="10"/>
        <v>2</v>
      </c>
      <c r="AG37">
        <f t="shared" ca="1" si="10"/>
        <v>7</v>
      </c>
      <c r="AH37" s="25">
        <f t="shared" ca="1" si="6"/>
        <v>168</v>
      </c>
      <c r="AI37">
        <v>96</v>
      </c>
      <c r="AJ37">
        <v>120</v>
      </c>
      <c r="AK37">
        <f t="shared" si="3"/>
        <v>24</v>
      </c>
      <c r="AL37" s="15">
        <f t="shared" ca="1" si="4"/>
        <v>20160</v>
      </c>
      <c r="AM37" s="15">
        <f t="shared" ca="1" si="5"/>
        <v>4032</v>
      </c>
    </row>
    <row r="38" spans="1:39">
      <c r="A38" s="27"/>
      <c r="B38" t="s">
        <v>55</v>
      </c>
      <c r="C38">
        <f t="shared" ca="1" si="11"/>
        <v>9</v>
      </c>
      <c r="D38">
        <f t="shared" ca="1" si="11"/>
        <v>7</v>
      </c>
      <c r="E38">
        <f t="shared" ca="1" si="11"/>
        <v>3</v>
      </c>
      <c r="F38">
        <f t="shared" ca="1" si="11"/>
        <v>2</v>
      </c>
      <c r="G38">
        <f t="shared" ca="1" si="11"/>
        <v>7</v>
      </c>
      <c r="H38">
        <f t="shared" ca="1" si="11"/>
        <v>4</v>
      </c>
      <c r="I38">
        <f t="shared" ca="1" si="11"/>
        <v>3</v>
      </c>
      <c r="J38">
        <f t="shared" ca="1" si="11"/>
        <v>4</v>
      </c>
      <c r="K38">
        <f t="shared" ca="1" si="11"/>
        <v>1</v>
      </c>
      <c r="L38">
        <f t="shared" ca="1" si="11"/>
        <v>9</v>
      </c>
      <c r="M38">
        <f t="shared" ca="1" si="11"/>
        <v>6</v>
      </c>
      <c r="N38">
        <f t="shared" ca="1" si="11"/>
        <v>2</v>
      </c>
      <c r="O38">
        <f t="shared" ca="1" si="11"/>
        <v>4</v>
      </c>
      <c r="P38">
        <f t="shared" ca="1" si="11"/>
        <v>6</v>
      </c>
      <c r="Q38">
        <f t="shared" ca="1" si="11"/>
        <v>3</v>
      </c>
      <c r="R38">
        <f t="shared" ca="1" si="11"/>
        <v>7</v>
      </c>
      <c r="S38">
        <f t="shared" ca="1" si="10"/>
        <v>8</v>
      </c>
      <c r="T38">
        <f t="shared" ca="1" si="10"/>
        <v>7</v>
      </c>
      <c r="U38">
        <f t="shared" ca="1" si="10"/>
        <v>9</v>
      </c>
      <c r="V38">
        <f t="shared" ca="1" si="10"/>
        <v>4</v>
      </c>
      <c r="W38">
        <f t="shared" ca="1" si="10"/>
        <v>6</v>
      </c>
      <c r="X38">
        <f t="shared" ca="1" si="10"/>
        <v>9</v>
      </c>
      <c r="Y38">
        <f t="shared" ca="1" si="10"/>
        <v>5</v>
      </c>
      <c r="Z38">
        <f t="shared" ca="1" si="10"/>
        <v>10</v>
      </c>
      <c r="AA38">
        <f t="shared" ca="1" si="10"/>
        <v>2</v>
      </c>
      <c r="AB38">
        <f t="shared" ca="1" si="10"/>
        <v>5</v>
      </c>
      <c r="AC38">
        <f t="shared" ca="1" si="10"/>
        <v>10</v>
      </c>
      <c r="AD38">
        <f t="shared" ca="1" si="10"/>
        <v>1</v>
      </c>
      <c r="AE38">
        <f t="shared" ca="1" si="10"/>
        <v>3</v>
      </c>
      <c r="AF38">
        <f t="shared" ca="1" si="10"/>
        <v>7</v>
      </c>
      <c r="AG38">
        <f t="shared" ca="1" si="10"/>
        <v>7</v>
      </c>
      <c r="AH38" s="25">
        <f t="shared" ca="1" si="6"/>
        <v>170</v>
      </c>
      <c r="AI38">
        <v>196</v>
      </c>
      <c r="AJ38">
        <v>230</v>
      </c>
      <c r="AK38">
        <f t="shared" si="3"/>
        <v>34</v>
      </c>
      <c r="AL38" s="15">
        <f t="shared" ca="1" si="4"/>
        <v>39100</v>
      </c>
      <c r="AM38" s="15">
        <f t="shared" ca="1" si="5"/>
        <v>5780</v>
      </c>
    </row>
    <row r="39" spans="1:39">
      <c r="A39" s="27"/>
      <c r="B39" t="s">
        <v>56</v>
      </c>
      <c r="C39">
        <f t="shared" ca="1" si="11"/>
        <v>1</v>
      </c>
      <c r="D39">
        <f t="shared" ca="1" si="11"/>
        <v>3</v>
      </c>
      <c r="E39">
        <f t="shared" ca="1" si="11"/>
        <v>6</v>
      </c>
      <c r="F39">
        <f t="shared" ca="1" si="11"/>
        <v>10</v>
      </c>
      <c r="G39">
        <f t="shared" ca="1" si="11"/>
        <v>3</v>
      </c>
      <c r="H39">
        <f t="shared" ca="1" si="11"/>
        <v>1</v>
      </c>
      <c r="I39">
        <f t="shared" ca="1" si="11"/>
        <v>1</v>
      </c>
      <c r="J39">
        <f t="shared" ca="1" si="11"/>
        <v>9</v>
      </c>
      <c r="K39">
        <f t="shared" ca="1" si="11"/>
        <v>6</v>
      </c>
      <c r="L39">
        <f t="shared" ca="1" si="11"/>
        <v>5</v>
      </c>
      <c r="M39">
        <f t="shared" ca="1" si="11"/>
        <v>8</v>
      </c>
      <c r="N39">
        <f t="shared" ca="1" si="11"/>
        <v>6</v>
      </c>
      <c r="O39">
        <f t="shared" ca="1" si="11"/>
        <v>7</v>
      </c>
      <c r="P39">
        <f t="shared" ca="1" si="11"/>
        <v>5</v>
      </c>
      <c r="Q39">
        <f t="shared" ca="1" si="11"/>
        <v>7</v>
      </c>
      <c r="R39">
        <f t="shared" ca="1" si="11"/>
        <v>8</v>
      </c>
      <c r="S39">
        <f t="shared" ca="1" si="10"/>
        <v>8</v>
      </c>
      <c r="T39">
        <f t="shared" ca="1" si="10"/>
        <v>7</v>
      </c>
      <c r="U39">
        <f t="shared" ca="1" si="10"/>
        <v>6</v>
      </c>
      <c r="V39">
        <f t="shared" ca="1" si="10"/>
        <v>8</v>
      </c>
      <c r="W39">
        <f t="shared" ca="1" si="10"/>
        <v>7</v>
      </c>
      <c r="X39">
        <f t="shared" ca="1" si="10"/>
        <v>5</v>
      </c>
      <c r="Y39">
        <f t="shared" ca="1" si="10"/>
        <v>3</v>
      </c>
      <c r="Z39">
        <f t="shared" ca="1" si="10"/>
        <v>4</v>
      </c>
      <c r="AA39">
        <f t="shared" ca="1" si="10"/>
        <v>7</v>
      </c>
      <c r="AB39">
        <f t="shared" ca="1" si="10"/>
        <v>2</v>
      </c>
      <c r="AC39">
        <f t="shared" ca="1" si="10"/>
        <v>2</v>
      </c>
      <c r="AD39">
        <f t="shared" ca="1" si="10"/>
        <v>7</v>
      </c>
      <c r="AE39">
        <f t="shared" ca="1" si="10"/>
        <v>9</v>
      </c>
      <c r="AF39">
        <f t="shared" ca="1" si="10"/>
        <v>9</v>
      </c>
      <c r="AG39">
        <f t="shared" ca="1" si="10"/>
        <v>8</v>
      </c>
      <c r="AH39" s="25">
        <f t="shared" ca="1" si="6"/>
        <v>178</v>
      </c>
      <c r="AI39">
        <v>98</v>
      </c>
      <c r="AJ39">
        <v>115</v>
      </c>
      <c r="AK39">
        <f t="shared" si="3"/>
        <v>17</v>
      </c>
      <c r="AL39" s="15">
        <f t="shared" ca="1" si="4"/>
        <v>20470</v>
      </c>
      <c r="AM39" s="15">
        <f t="shared" ca="1" si="5"/>
        <v>3026</v>
      </c>
    </row>
    <row r="40" spans="1:39">
      <c r="A40" s="27"/>
      <c r="B40" t="s">
        <v>57</v>
      </c>
      <c r="C40">
        <f t="shared" ca="1" si="11"/>
        <v>2</v>
      </c>
      <c r="D40">
        <f t="shared" ca="1" si="11"/>
        <v>1</v>
      </c>
      <c r="E40">
        <f t="shared" ca="1" si="11"/>
        <v>4</v>
      </c>
      <c r="F40">
        <f t="shared" ca="1" si="11"/>
        <v>3</v>
      </c>
      <c r="G40">
        <f t="shared" ca="1" si="11"/>
        <v>5</v>
      </c>
      <c r="H40">
        <f t="shared" ca="1" si="11"/>
        <v>7</v>
      </c>
      <c r="I40">
        <f t="shared" ca="1" si="11"/>
        <v>5</v>
      </c>
      <c r="J40">
        <f t="shared" ca="1" si="11"/>
        <v>3</v>
      </c>
      <c r="K40">
        <f t="shared" ca="1" si="11"/>
        <v>2</v>
      </c>
      <c r="L40">
        <f t="shared" ca="1" si="11"/>
        <v>3</v>
      </c>
      <c r="M40">
        <f t="shared" ca="1" si="11"/>
        <v>5</v>
      </c>
      <c r="N40">
        <f t="shared" ca="1" si="11"/>
        <v>6</v>
      </c>
      <c r="O40">
        <f t="shared" ca="1" si="11"/>
        <v>9</v>
      </c>
      <c r="P40">
        <f t="shared" ca="1" si="11"/>
        <v>7</v>
      </c>
      <c r="Q40">
        <f t="shared" ca="1" si="11"/>
        <v>8</v>
      </c>
      <c r="R40">
        <f t="shared" ca="1" si="11"/>
        <v>9</v>
      </c>
      <c r="S40">
        <f t="shared" ca="1" si="10"/>
        <v>4</v>
      </c>
      <c r="T40">
        <f t="shared" ca="1" si="10"/>
        <v>8</v>
      </c>
      <c r="U40">
        <f t="shared" ca="1" si="10"/>
        <v>6</v>
      </c>
      <c r="V40">
        <f t="shared" ca="1" si="10"/>
        <v>6</v>
      </c>
      <c r="W40">
        <f t="shared" ca="1" si="10"/>
        <v>6</v>
      </c>
      <c r="X40">
        <f t="shared" ca="1" si="10"/>
        <v>5</v>
      </c>
      <c r="Y40">
        <f t="shared" ca="1" si="10"/>
        <v>10</v>
      </c>
      <c r="Z40">
        <f t="shared" ca="1" si="10"/>
        <v>3</v>
      </c>
      <c r="AA40">
        <f t="shared" ca="1" si="10"/>
        <v>9</v>
      </c>
      <c r="AB40">
        <f t="shared" ca="1" si="10"/>
        <v>9</v>
      </c>
      <c r="AC40">
        <f t="shared" ca="1" si="10"/>
        <v>9</v>
      </c>
      <c r="AD40">
        <f t="shared" ca="1" si="10"/>
        <v>6</v>
      </c>
      <c r="AE40">
        <f t="shared" ca="1" si="10"/>
        <v>10</v>
      </c>
      <c r="AF40">
        <f t="shared" ca="1" si="10"/>
        <v>1</v>
      </c>
      <c r="AG40">
        <f t="shared" ca="1" si="10"/>
        <v>1</v>
      </c>
      <c r="AH40" s="25">
        <f t="shared" ca="1" si="6"/>
        <v>172</v>
      </c>
      <c r="AI40">
        <v>75</v>
      </c>
      <c r="AJ40">
        <v>99</v>
      </c>
      <c r="AK40">
        <f t="shared" si="3"/>
        <v>24</v>
      </c>
      <c r="AL40" s="15">
        <f t="shared" ca="1" si="4"/>
        <v>17028</v>
      </c>
      <c r="AM40" s="15">
        <f t="shared" ca="1" si="5"/>
        <v>4128</v>
      </c>
    </row>
    <row r="41" spans="1:39">
      <c r="A41" s="27"/>
      <c r="B41" t="s">
        <v>58</v>
      </c>
      <c r="C41">
        <f t="shared" ca="1" si="11"/>
        <v>9</v>
      </c>
      <c r="D41">
        <f t="shared" ca="1" si="11"/>
        <v>9</v>
      </c>
      <c r="E41">
        <f t="shared" ca="1" si="11"/>
        <v>6</v>
      </c>
      <c r="F41">
        <f t="shared" ca="1" si="11"/>
        <v>8</v>
      </c>
      <c r="G41">
        <f t="shared" ca="1" si="11"/>
        <v>7</v>
      </c>
      <c r="H41">
        <f t="shared" ca="1" si="11"/>
        <v>2</v>
      </c>
      <c r="I41">
        <f t="shared" ca="1" si="11"/>
        <v>4</v>
      </c>
      <c r="J41">
        <f t="shared" ca="1" si="11"/>
        <v>5</v>
      </c>
      <c r="K41">
        <f t="shared" ca="1" si="11"/>
        <v>1</v>
      </c>
      <c r="L41">
        <f t="shared" ca="1" si="11"/>
        <v>4</v>
      </c>
      <c r="M41">
        <f t="shared" ca="1" si="11"/>
        <v>9</v>
      </c>
      <c r="N41">
        <f t="shared" ca="1" si="11"/>
        <v>10</v>
      </c>
      <c r="O41">
        <f t="shared" ca="1" si="11"/>
        <v>10</v>
      </c>
      <c r="P41">
        <f t="shared" ca="1" si="11"/>
        <v>5</v>
      </c>
      <c r="Q41">
        <f t="shared" ca="1" si="11"/>
        <v>2</v>
      </c>
      <c r="R41">
        <f t="shared" ca="1" si="11"/>
        <v>5</v>
      </c>
      <c r="S41">
        <f t="shared" ca="1" si="10"/>
        <v>10</v>
      </c>
      <c r="T41">
        <f t="shared" ca="1" si="10"/>
        <v>9</v>
      </c>
      <c r="U41">
        <f t="shared" ca="1" si="10"/>
        <v>3</v>
      </c>
      <c r="V41">
        <f t="shared" ca="1" si="10"/>
        <v>3</v>
      </c>
      <c r="W41">
        <f t="shared" ca="1" si="10"/>
        <v>8</v>
      </c>
      <c r="X41">
        <f t="shared" ca="1" si="10"/>
        <v>6</v>
      </c>
      <c r="Y41">
        <f t="shared" ca="1" si="10"/>
        <v>1</v>
      </c>
      <c r="Z41">
        <f t="shared" ca="1" si="10"/>
        <v>7</v>
      </c>
      <c r="AA41">
        <f t="shared" ca="1" si="10"/>
        <v>5</v>
      </c>
      <c r="AB41">
        <f t="shared" ca="1" si="10"/>
        <v>8</v>
      </c>
      <c r="AC41">
        <f t="shared" ca="1" si="10"/>
        <v>7</v>
      </c>
      <c r="AD41">
        <f t="shared" ca="1" si="10"/>
        <v>10</v>
      </c>
      <c r="AE41">
        <f t="shared" ca="1" si="10"/>
        <v>1</v>
      </c>
      <c r="AF41">
        <f t="shared" ca="1" si="10"/>
        <v>4</v>
      </c>
      <c r="AG41">
        <f t="shared" ca="1" si="10"/>
        <v>7</v>
      </c>
      <c r="AH41" s="25">
        <f t="shared" ca="1" si="6"/>
        <v>185</v>
      </c>
      <c r="AI41">
        <v>105</v>
      </c>
      <c r="AJ41">
        <v>140</v>
      </c>
      <c r="AK41">
        <f t="shared" si="3"/>
        <v>35</v>
      </c>
      <c r="AL41" s="15">
        <f t="shared" ca="1" si="4"/>
        <v>25900</v>
      </c>
      <c r="AM41" s="15">
        <f t="shared" ca="1" si="5"/>
        <v>6475</v>
      </c>
    </row>
    <row r="42" spans="1:39">
      <c r="A42" s="27"/>
      <c r="B42" t="s">
        <v>59</v>
      </c>
      <c r="C42">
        <f t="shared" ca="1" si="11"/>
        <v>1</v>
      </c>
      <c r="D42">
        <f t="shared" ca="1" si="11"/>
        <v>6</v>
      </c>
      <c r="E42">
        <f t="shared" ca="1" si="11"/>
        <v>9</v>
      </c>
      <c r="F42">
        <f t="shared" ca="1" si="11"/>
        <v>9</v>
      </c>
      <c r="G42">
        <f t="shared" ca="1" si="11"/>
        <v>10</v>
      </c>
      <c r="H42">
        <f t="shared" ca="1" si="11"/>
        <v>3</v>
      </c>
      <c r="I42">
        <f t="shared" ca="1" si="11"/>
        <v>1</v>
      </c>
      <c r="J42">
        <f t="shared" ca="1" si="11"/>
        <v>7</v>
      </c>
      <c r="K42">
        <f t="shared" ca="1" si="11"/>
        <v>6</v>
      </c>
      <c r="L42">
        <f t="shared" ca="1" si="11"/>
        <v>4</v>
      </c>
      <c r="M42">
        <f t="shared" ca="1" si="11"/>
        <v>3</v>
      </c>
      <c r="N42">
        <f t="shared" ca="1" si="11"/>
        <v>6</v>
      </c>
      <c r="O42">
        <f t="shared" ca="1" si="11"/>
        <v>1</v>
      </c>
      <c r="P42">
        <f t="shared" ca="1" si="11"/>
        <v>3</v>
      </c>
      <c r="Q42">
        <f t="shared" ca="1" si="11"/>
        <v>9</v>
      </c>
      <c r="R42">
        <f t="shared" ca="1" si="11"/>
        <v>7</v>
      </c>
      <c r="S42">
        <f t="shared" ca="1" si="10"/>
        <v>9</v>
      </c>
      <c r="T42">
        <f t="shared" ca="1" si="10"/>
        <v>2</v>
      </c>
      <c r="U42">
        <f t="shared" ca="1" si="10"/>
        <v>9</v>
      </c>
      <c r="V42">
        <f t="shared" ca="1" si="10"/>
        <v>8</v>
      </c>
      <c r="W42">
        <f t="shared" ca="1" si="10"/>
        <v>5</v>
      </c>
      <c r="X42">
        <f t="shared" ca="1" si="10"/>
        <v>7</v>
      </c>
      <c r="Y42">
        <f t="shared" ca="1" si="10"/>
        <v>9</v>
      </c>
      <c r="Z42">
        <f t="shared" ca="1" si="10"/>
        <v>7</v>
      </c>
      <c r="AA42">
        <f t="shared" ca="1" si="10"/>
        <v>1</v>
      </c>
      <c r="AB42">
        <f t="shared" ca="1" si="10"/>
        <v>4</v>
      </c>
      <c r="AC42">
        <f t="shared" ca="1" si="10"/>
        <v>4</v>
      </c>
      <c r="AD42">
        <f t="shared" ca="1" si="10"/>
        <v>9</v>
      </c>
      <c r="AE42">
        <f t="shared" ca="1" si="10"/>
        <v>2</v>
      </c>
      <c r="AF42">
        <f t="shared" ca="1" si="10"/>
        <v>1</v>
      </c>
      <c r="AG42">
        <f t="shared" ca="1" si="10"/>
        <v>10</v>
      </c>
      <c r="AH42" s="25">
        <f t="shared" ca="1" si="6"/>
        <v>172</v>
      </c>
      <c r="AI42">
        <v>37</v>
      </c>
      <c r="AJ42">
        <v>50</v>
      </c>
      <c r="AK42">
        <f t="shared" si="3"/>
        <v>13</v>
      </c>
      <c r="AL42" s="15">
        <f t="shared" ca="1" si="4"/>
        <v>8600</v>
      </c>
      <c r="AM42" s="15">
        <f t="shared" ca="1" si="5"/>
        <v>2236</v>
      </c>
    </row>
    <row r="43" spans="1:39">
      <c r="A43" s="27"/>
      <c r="B43" t="s">
        <v>60</v>
      </c>
      <c r="C43">
        <f t="shared" ca="1" si="11"/>
        <v>10</v>
      </c>
      <c r="D43">
        <f t="shared" ca="1" si="11"/>
        <v>7</v>
      </c>
      <c r="E43">
        <f t="shared" ca="1" si="11"/>
        <v>5</v>
      </c>
      <c r="F43">
        <f t="shared" ca="1" si="11"/>
        <v>10</v>
      </c>
      <c r="G43">
        <f t="shared" ca="1" si="11"/>
        <v>1</v>
      </c>
      <c r="H43">
        <f t="shared" ca="1" si="11"/>
        <v>1</v>
      </c>
      <c r="I43">
        <f t="shared" ca="1" si="11"/>
        <v>8</v>
      </c>
      <c r="J43">
        <f t="shared" ca="1" si="11"/>
        <v>8</v>
      </c>
      <c r="K43">
        <f t="shared" ca="1" si="11"/>
        <v>9</v>
      </c>
      <c r="L43">
        <f t="shared" ca="1" si="11"/>
        <v>1</v>
      </c>
      <c r="M43">
        <f t="shared" ca="1" si="11"/>
        <v>3</v>
      </c>
      <c r="N43">
        <f t="shared" ca="1" si="11"/>
        <v>10</v>
      </c>
      <c r="O43">
        <f t="shared" ca="1" si="11"/>
        <v>10</v>
      </c>
      <c r="P43">
        <f t="shared" ca="1" si="11"/>
        <v>6</v>
      </c>
      <c r="Q43">
        <f t="shared" ca="1" si="11"/>
        <v>9</v>
      </c>
      <c r="R43">
        <f t="shared" ca="1" si="11"/>
        <v>9</v>
      </c>
      <c r="S43">
        <f t="shared" ca="1" si="10"/>
        <v>7</v>
      </c>
      <c r="T43">
        <f t="shared" ca="1" si="10"/>
        <v>3</v>
      </c>
      <c r="U43">
        <f t="shared" ca="1" si="10"/>
        <v>2</v>
      </c>
      <c r="V43">
        <f t="shared" ca="1" si="10"/>
        <v>3</v>
      </c>
      <c r="W43">
        <f t="shared" ca="1" si="10"/>
        <v>2</v>
      </c>
      <c r="X43">
        <f t="shared" ca="1" si="10"/>
        <v>1</v>
      </c>
      <c r="Y43">
        <f t="shared" ca="1" si="10"/>
        <v>8</v>
      </c>
      <c r="Z43">
        <f t="shared" ca="1" si="10"/>
        <v>3</v>
      </c>
      <c r="AA43">
        <f t="shared" ca="1" si="10"/>
        <v>8</v>
      </c>
      <c r="AB43">
        <f t="shared" ca="1" si="10"/>
        <v>4</v>
      </c>
      <c r="AC43">
        <f t="shared" ca="1" si="10"/>
        <v>5</v>
      </c>
      <c r="AD43">
        <f t="shared" ca="1" si="10"/>
        <v>5</v>
      </c>
      <c r="AE43">
        <f t="shared" ca="1" si="10"/>
        <v>8</v>
      </c>
      <c r="AF43">
        <f t="shared" ca="1" si="10"/>
        <v>10</v>
      </c>
      <c r="AG43">
        <f t="shared" ca="1" si="10"/>
        <v>4</v>
      </c>
      <c r="AH43" s="25">
        <f t="shared" ca="1" si="6"/>
        <v>180</v>
      </c>
      <c r="AI43">
        <v>221</v>
      </c>
      <c r="AJ43">
        <v>250</v>
      </c>
      <c r="AK43">
        <f t="shared" si="3"/>
        <v>29</v>
      </c>
      <c r="AL43" s="15">
        <f t="shared" ca="1" si="4"/>
        <v>45000</v>
      </c>
      <c r="AM43" s="15">
        <f t="shared" ca="1" si="5"/>
        <v>5220</v>
      </c>
    </row>
    <row r="44" spans="1:39">
      <c r="A44" s="27"/>
      <c r="B44" t="s">
        <v>61</v>
      </c>
      <c r="C44">
        <f t="shared" ca="1" si="11"/>
        <v>9</v>
      </c>
      <c r="D44">
        <f t="shared" ca="1" si="11"/>
        <v>2</v>
      </c>
      <c r="E44">
        <f t="shared" ca="1" si="11"/>
        <v>5</v>
      </c>
      <c r="F44">
        <f t="shared" ca="1" si="11"/>
        <v>6</v>
      </c>
      <c r="G44">
        <f t="shared" ca="1" si="11"/>
        <v>3</v>
      </c>
      <c r="H44">
        <f t="shared" ca="1" si="11"/>
        <v>5</v>
      </c>
      <c r="I44">
        <f t="shared" ca="1" si="11"/>
        <v>6</v>
      </c>
      <c r="J44">
        <f t="shared" ca="1" si="11"/>
        <v>6</v>
      </c>
      <c r="K44">
        <f t="shared" ca="1" si="11"/>
        <v>7</v>
      </c>
      <c r="L44">
        <f t="shared" ca="1" si="11"/>
        <v>1</v>
      </c>
      <c r="M44">
        <f t="shared" ca="1" si="11"/>
        <v>9</v>
      </c>
      <c r="N44">
        <f t="shared" ca="1" si="11"/>
        <v>5</v>
      </c>
      <c r="O44">
        <f t="shared" ca="1" si="11"/>
        <v>1</v>
      </c>
      <c r="P44">
        <f t="shared" ca="1" si="11"/>
        <v>1</v>
      </c>
      <c r="Q44">
        <f t="shared" ca="1" si="11"/>
        <v>3</v>
      </c>
      <c r="R44">
        <f t="shared" ca="1" si="11"/>
        <v>2</v>
      </c>
      <c r="S44">
        <f t="shared" ca="1" si="10"/>
        <v>7</v>
      </c>
      <c r="T44">
        <f t="shared" ca="1" si="10"/>
        <v>6</v>
      </c>
      <c r="U44">
        <f t="shared" ca="1" si="10"/>
        <v>3</v>
      </c>
      <c r="V44">
        <f t="shared" ca="1" si="10"/>
        <v>2</v>
      </c>
      <c r="W44">
        <f t="shared" ca="1" si="10"/>
        <v>4</v>
      </c>
      <c r="X44">
        <f t="shared" ca="1" si="10"/>
        <v>7</v>
      </c>
      <c r="Y44">
        <f t="shared" ca="1" si="10"/>
        <v>7</v>
      </c>
      <c r="Z44">
        <f t="shared" ca="1" si="10"/>
        <v>5</v>
      </c>
      <c r="AA44">
        <f t="shared" ca="1" si="10"/>
        <v>2</v>
      </c>
      <c r="AB44">
        <f t="shared" ca="1" si="10"/>
        <v>4</v>
      </c>
      <c r="AC44">
        <f t="shared" ca="1" si="10"/>
        <v>10</v>
      </c>
      <c r="AD44">
        <f t="shared" ca="1" si="10"/>
        <v>2</v>
      </c>
      <c r="AE44">
        <f t="shared" ca="1" si="10"/>
        <v>9</v>
      </c>
      <c r="AF44">
        <f t="shared" ca="1" si="10"/>
        <v>9</v>
      </c>
      <c r="AG44">
        <f t="shared" ca="1" si="10"/>
        <v>7</v>
      </c>
      <c r="AH44" s="25">
        <f t="shared" ca="1" si="6"/>
        <v>155</v>
      </c>
      <c r="AI44">
        <v>140</v>
      </c>
      <c r="AJ44">
        <v>150</v>
      </c>
      <c r="AK44">
        <f t="shared" si="3"/>
        <v>10</v>
      </c>
      <c r="AL44" s="15">
        <f t="shared" ca="1" si="4"/>
        <v>23250</v>
      </c>
      <c r="AM44" s="15">
        <f t="shared" ca="1" si="5"/>
        <v>1550</v>
      </c>
    </row>
    <row r="45" spans="1:39">
      <c r="A45" s="27"/>
      <c r="B45" t="s">
        <v>62</v>
      </c>
      <c r="C45">
        <f t="shared" ca="1" si="11"/>
        <v>7</v>
      </c>
      <c r="D45">
        <f t="shared" ca="1" si="11"/>
        <v>7</v>
      </c>
      <c r="E45">
        <f t="shared" ca="1" si="11"/>
        <v>8</v>
      </c>
      <c r="F45">
        <f t="shared" ca="1" si="11"/>
        <v>2</v>
      </c>
      <c r="G45">
        <f t="shared" ca="1" si="11"/>
        <v>6</v>
      </c>
      <c r="H45">
        <f t="shared" ca="1" si="11"/>
        <v>10</v>
      </c>
      <c r="I45">
        <f t="shared" ca="1" si="11"/>
        <v>9</v>
      </c>
      <c r="J45">
        <f t="shared" ca="1" si="11"/>
        <v>2</v>
      </c>
      <c r="K45">
        <f t="shared" ca="1" si="11"/>
        <v>1</v>
      </c>
      <c r="L45">
        <f t="shared" ca="1" si="11"/>
        <v>8</v>
      </c>
      <c r="M45">
        <f t="shared" ca="1" si="11"/>
        <v>6</v>
      </c>
      <c r="N45">
        <f t="shared" ca="1" si="11"/>
        <v>4</v>
      </c>
      <c r="O45">
        <f t="shared" ca="1" si="11"/>
        <v>2</v>
      </c>
      <c r="P45">
        <f t="shared" ca="1" si="11"/>
        <v>2</v>
      </c>
      <c r="Q45">
        <f t="shared" ca="1" si="11"/>
        <v>5</v>
      </c>
      <c r="R45">
        <f t="shared" ca="1" si="11"/>
        <v>2</v>
      </c>
      <c r="S45">
        <f t="shared" ca="1" si="10"/>
        <v>10</v>
      </c>
      <c r="T45">
        <f t="shared" ca="1" si="10"/>
        <v>5</v>
      </c>
      <c r="U45">
        <f t="shared" ca="1" si="10"/>
        <v>5</v>
      </c>
      <c r="V45">
        <f t="shared" ca="1" si="10"/>
        <v>9</v>
      </c>
      <c r="W45">
        <f t="shared" ca="1" si="10"/>
        <v>7</v>
      </c>
      <c r="X45">
        <f t="shared" ca="1" si="10"/>
        <v>6</v>
      </c>
      <c r="Y45">
        <f t="shared" ca="1" si="10"/>
        <v>4</v>
      </c>
      <c r="Z45">
        <f t="shared" ca="1" si="10"/>
        <v>6</v>
      </c>
      <c r="AA45">
        <f t="shared" ca="1" si="10"/>
        <v>3</v>
      </c>
      <c r="AB45">
        <f t="shared" ca="1" si="10"/>
        <v>5</v>
      </c>
      <c r="AC45">
        <f t="shared" ca="1" si="10"/>
        <v>2</v>
      </c>
      <c r="AD45">
        <f t="shared" ca="1" si="10"/>
        <v>5</v>
      </c>
      <c r="AE45">
        <f t="shared" ca="1" si="10"/>
        <v>1</v>
      </c>
      <c r="AF45">
        <f t="shared" ca="1" si="10"/>
        <v>10</v>
      </c>
      <c r="AG45">
        <f t="shared" ca="1" si="10"/>
        <v>2</v>
      </c>
      <c r="AH45" s="25">
        <f t="shared" ca="1" si="6"/>
        <v>161</v>
      </c>
      <c r="AI45">
        <v>154</v>
      </c>
      <c r="AJ45">
        <v>170</v>
      </c>
      <c r="AK45">
        <f t="shared" si="3"/>
        <v>16</v>
      </c>
      <c r="AL45" s="15">
        <f t="shared" ca="1" si="4"/>
        <v>27370</v>
      </c>
      <c r="AM45" s="15">
        <f t="shared" ca="1" si="5"/>
        <v>2576</v>
      </c>
    </row>
    <row r="46" spans="1:39">
      <c r="A46" s="27"/>
      <c r="B46" t="s">
        <v>63</v>
      </c>
      <c r="C46">
        <f t="shared" ca="1" si="11"/>
        <v>7</v>
      </c>
      <c r="D46">
        <f t="shared" ca="1" si="11"/>
        <v>2</v>
      </c>
      <c r="E46">
        <f t="shared" ca="1" si="11"/>
        <v>1</v>
      </c>
      <c r="F46">
        <f t="shared" ca="1" si="11"/>
        <v>3</v>
      </c>
      <c r="G46">
        <f t="shared" ca="1" si="11"/>
        <v>5</v>
      </c>
      <c r="H46">
        <f t="shared" ca="1" si="11"/>
        <v>1</v>
      </c>
      <c r="I46">
        <f t="shared" ca="1" si="11"/>
        <v>2</v>
      </c>
      <c r="J46">
        <f t="shared" ca="1" si="11"/>
        <v>7</v>
      </c>
      <c r="K46">
        <f t="shared" ca="1" si="11"/>
        <v>4</v>
      </c>
      <c r="L46">
        <f t="shared" ca="1" si="11"/>
        <v>6</v>
      </c>
      <c r="M46">
        <f t="shared" ca="1" si="11"/>
        <v>1</v>
      </c>
      <c r="N46">
        <f t="shared" ca="1" si="11"/>
        <v>7</v>
      </c>
      <c r="O46">
        <f t="shared" ca="1" si="11"/>
        <v>7</v>
      </c>
      <c r="P46">
        <f t="shared" ca="1" si="11"/>
        <v>1</v>
      </c>
      <c r="Q46">
        <f t="shared" ca="1" si="11"/>
        <v>1</v>
      </c>
      <c r="R46">
        <f t="shared" ca="1" si="11"/>
        <v>10</v>
      </c>
      <c r="S46">
        <f t="shared" ca="1" si="10"/>
        <v>6</v>
      </c>
      <c r="T46">
        <f t="shared" ca="1" si="10"/>
        <v>3</v>
      </c>
      <c r="U46">
        <f t="shared" ca="1" si="10"/>
        <v>4</v>
      </c>
      <c r="V46">
        <f t="shared" ca="1" si="10"/>
        <v>9</v>
      </c>
      <c r="W46">
        <f t="shared" ca="1" si="10"/>
        <v>7</v>
      </c>
      <c r="X46">
        <f t="shared" ca="1" si="10"/>
        <v>10</v>
      </c>
      <c r="Y46">
        <f t="shared" ca="1" si="10"/>
        <v>9</v>
      </c>
      <c r="Z46">
        <f t="shared" ca="1" si="10"/>
        <v>6</v>
      </c>
      <c r="AA46">
        <f t="shared" ca="1" si="10"/>
        <v>1</v>
      </c>
      <c r="AB46">
        <f t="shared" ca="1" si="10"/>
        <v>3</v>
      </c>
      <c r="AC46">
        <f t="shared" ca="1" si="10"/>
        <v>9</v>
      </c>
      <c r="AD46">
        <f t="shared" ca="1" si="10"/>
        <v>5</v>
      </c>
      <c r="AE46">
        <f t="shared" ca="1" si="10"/>
        <v>3</v>
      </c>
      <c r="AF46">
        <f t="shared" ca="1" si="10"/>
        <v>7</v>
      </c>
      <c r="AG46">
        <f t="shared" ca="1" si="10"/>
        <v>5</v>
      </c>
      <c r="AH46" s="25">
        <f t="shared" ca="1" si="6"/>
        <v>152</v>
      </c>
      <c r="AI46">
        <v>322</v>
      </c>
      <c r="AJ46">
        <v>345</v>
      </c>
      <c r="AK46">
        <f t="shared" si="3"/>
        <v>23</v>
      </c>
      <c r="AL46" s="15">
        <f t="shared" ca="1" si="4"/>
        <v>52440</v>
      </c>
      <c r="AM46" s="15">
        <f t="shared" ca="1" si="5"/>
        <v>3496</v>
      </c>
    </row>
    <row r="47" spans="1:39">
      <c r="A47" s="27"/>
      <c r="B47" t="s">
        <v>64</v>
      </c>
      <c r="C47">
        <f t="shared" ca="1" si="11"/>
        <v>10</v>
      </c>
      <c r="D47">
        <f t="shared" ca="1" si="11"/>
        <v>3</v>
      </c>
      <c r="E47">
        <f t="shared" ca="1" si="11"/>
        <v>10</v>
      </c>
      <c r="F47">
        <f t="shared" ca="1" si="11"/>
        <v>4</v>
      </c>
      <c r="G47">
        <f t="shared" ca="1" si="11"/>
        <v>1</v>
      </c>
      <c r="H47">
        <f t="shared" ca="1" si="11"/>
        <v>2</v>
      </c>
      <c r="I47">
        <f t="shared" ca="1" si="11"/>
        <v>7</v>
      </c>
      <c r="J47">
        <f t="shared" ca="1" si="11"/>
        <v>7</v>
      </c>
      <c r="K47">
        <f t="shared" ca="1" si="11"/>
        <v>1</v>
      </c>
      <c r="L47">
        <f t="shared" ca="1" si="11"/>
        <v>7</v>
      </c>
      <c r="M47">
        <f t="shared" ca="1" si="11"/>
        <v>4</v>
      </c>
      <c r="N47">
        <f t="shared" ca="1" si="11"/>
        <v>10</v>
      </c>
      <c r="O47">
        <f t="shared" ca="1" si="11"/>
        <v>4</v>
      </c>
      <c r="P47">
        <f t="shared" ca="1" si="11"/>
        <v>7</v>
      </c>
      <c r="Q47">
        <f t="shared" ca="1" si="11"/>
        <v>5</v>
      </c>
      <c r="R47">
        <f t="shared" ca="1" si="11"/>
        <v>10</v>
      </c>
      <c r="S47">
        <f t="shared" ca="1" si="10"/>
        <v>4</v>
      </c>
      <c r="T47">
        <f t="shared" ca="1" si="10"/>
        <v>3</v>
      </c>
      <c r="U47">
        <f t="shared" ca="1" si="10"/>
        <v>7</v>
      </c>
      <c r="V47">
        <f t="shared" ca="1" si="10"/>
        <v>3</v>
      </c>
      <c r="W47">
        <f t="shared" ca="1" si="10"/>
        <v>8</v>
      </c>
      <c r="X47">
        <f t="shared" ca="1" si="10"/>
        <v>6</v>
      </c>
      <c r="Y47">
        <f t="shared" ca="1" si="10"/>
        <v>10</v>
      </c>
      <c r="Z47">
        <f t="shared" ca="1" si="10"/>
        <v>6</v>
      </c>
      <c r="AA47">
        <f t="shared" ca="1" si="10"/>
        <v>1</v>
      </c>
      <c r="AB47">
        <f t="shared" ca="1" si="10"/>
        <v>3</v>
      </c>
      <c r="AC47">
        <f t="shared" ca="1" si="10"/>
        <v>2</v>
      </c>
      <c r="AD47">
        <f t="shared" ca="1" si="10"/>
        <v>3</v>
      </c>
      <c r="AE47">
        <f t="shared" ca="1" si="10"/>
        <v>10</v>
      </c>
      <c r="AF47">
        <f t="shared" ca="1" si="10"/>
        <v>2</v>
      </c>
      <c r="AG47">
        <f t="shared" ca="1" si="10"/>
        <v>10</v>
      </c>
      <c r="AH47" s="25">
        <f t="shared" ca="1" si="6"/>
        <v>170</v>
      </c>
      <c r="AI47">
        <v>380</v>
      </c>
      <c r="AJ47">
        <v>456</v>
      </c>
      <c r="AK47">
        <f t="shared" si="3"/>
        <v>76</v>
      </c>
      <c r="AL47" s="15">
        <f t="shared" ca="1" si="4"/>
        <v>77520</v>
      </c>
      <c r="AM47" s="15">
        <f t="shared" ca="1" si="5"/>
        <v>12920</v>
      </c>
    </row>
    <row r="48" spans="1:39">
      <c r="A48" s="27"/>
      <c r="B48" t="s">
        <v>65</v>
      </c>
      <c r="C48">
        <f t="shared" ca="1" si="11"/>
        <v>8</v>
      </c>
      <c r="D48">
        <f t="shared" ca="1" si="11"/>
        <v>9</v>
      </c>
      <c r="E48">
        <f t="shared" ca="1" si="11"/>
        <v>10</v>
      </c>
      <c r="F48">
        <f t="shared" ca="1" si="11"/>
        <v>10</v>
      </c>
      <c r="G48">
        <f t="shared" ca="1" si="11"/>
        <v>10</v>
      </c>
      <c r="H48">
        <f t="shared" ca="1" si="11"/>
        <v>8</v>
      </c>
      <c r="I48">
        <f t="shared" ca="1" si="11"/>
        <v>4</v>
      </c>
      <c r="J48">
        <f t="shared" ca="1" si="11"/>
        <v>6</v>
      </c>
      <c r="K48">
        <f t="shared" ca="1" si="11"/>
        <v>6</v>
      </c>
      <c r="L48">
        <f t="shared" ca="1" si="11"/>
        <v>8</v>
      </c>
      <c r="M48">
        <f t="shared" ca="1" si="11"/>
        <v>2</v>
      </c>
      <c r="N48">
        <f t="shared" ca="1" si="11"/>
        <v>4</v>
      </c>
      <c r="O48">
        <f t="shared" ca="1" si="11"/>
        <v>10</v>
      </c>
      <c r="P48">
        <f t="shared" ca="1" si="11"/>
        <v>10</v>
      </c>
      <c r="Q48">
        <f t="shared" ca="1" si="11"/>
        <v>2</v>
      </c>
      <c r="R48">
        <f t="shared" ca="1" si="11"/>
        <v>10</v>
      </c>
      <c r="S48">
        <f t="shared" ca="1" si="10"/>
        <v>9</v>
      </c>
      <c r="T48">
        <f t="shared" ca="1" si="10"/>
        <v>7</v>
      </c>
      <c r="U48">
        <f t="shared" ca="1" si="10"/>
        <v>5</v>
      </c>
      <c r="V48">
        <f t="shared" ca="1" si="10"/>
        <v>7</v>
      </c>
      <c r="W48">
        <f t="shared" ca="1" si="10"/>
        <v>3</v>
      </c>
      <c r="X48">
        <f t="shared" ca="1" si="10"/>
        <v>7</v>
      </c>
      <c r="Y48">
        <f t="shared" ca="1" si="10"/>
        <v>6</v>
      </c>
      <c r="Z48">
        <f t="shared" ca="1" si="10"/>
        <v>5</v>
      </c>
      <c r="AA48">
        <f t="shared" ca="1" si="10"/>
        <v>10</v>
      </c>
      <c r="AB48">
        <f t="shared" ca="1" si="10"/>
        <v>9</v>
      </c>
      <c r="AC48">
        <f t="shared" ca="1" si="10"/>
        <v>1</v>
      </c>
      <c r="AD48">
        <f t="shared" ca="1" si="10"/>
        <v>1</v>
      </c>
      <c r="AE48">
        <f t="shared" ca="1" si="10"/>
        <v>6</v>
      </c>
      <c r="AF48">
        <f t="shared" ca="1" si="10"/>
        <v>4</v>
      </c>
      <c r="AG48">
        <f t="shared" ca="1" si="10"/>
        <v>8</v>
      </c>
      <c r="AH48" s="25">
        <f t="shared" ca="1" si="6"/>
        <v>205</v>
      </c>
      <c r="AI48">
        <v>133</v>
      </c>
      <c r="AJ48">
        <v>158</v>
      </c>
      <c r="AK48">
        <f t="shared" si="3"/>
        <v>25</v>
      </c>
      <c r="AL48" s="15">
        <f t="shared" ca="1" si="4"/>
        <v>32390</v>
      </c>
      <c r="AM48" s="15">
        <f t="shared" ca="1" si="5"/>
        <v>5125</v>
      </c>
    </row>
    <row r="49" spans="1:39">
      <c r="A49" s="27"/>
      <c r="B49" t="s">
        <v>66</v>
      </c>
      <c r="C49">
        <f t="shared" ca="1" si="11"/>
        <v>3</v>
      </c>
      <c r="D49">
        <f t="shared" ca="1" si="11"/>
        <v>1</v>
      </c>
      <c r="E49">
        <f t="shared" ca="1" si="11"/>
        <v>8</v>
      </c>
      <c r="F49">
        <f t="shared" ca="1" si="11"/>
        <v>2</v>
      </c>
      <c r="G49">
        <f t="shared" ca="1" si="11"/>
        <v>2</v>
      </c>
      <c r="H49">
        <f t="shared" ca="1" si="11"/>
        <v>3</v>
      </c>
      <c r="I49">
        <f t="shared" ca="1" si="11"/>
        <v>2</v>
      </c>
      <c r="J49">
        <f t="shared" ca="1" si="11"/>
        <v>9</v>
      </c>
      <c r="K49">
        <f t="shared" ca="1" si="11"/>
        <v>5</v>
      </c>
      <c r="L49">
        <f t="shared" ca="1" si="11"/>
        <v>5</v>
      </c>
      <c r="M49">
        <f t="shared" ca="1" si="11"/>
        <v>10</v>
      </c>
      <c r="N49">
        <f t="shared" ca="1" si="11"/>
        <v>7</v>
      </c>
      <c r="O49">
        <f t="shared" ca="1" si="11"/>
        <v>2</v>
      </c>
      <c r="P49">
        <f t="shared" ca="1" si="11"/>
        <v>4</v>
      </c>
      <c r="Q49">
        <f t="shared" ca="1" si="11"/>
        <v>3</v>
      </c>
      <c r="R49">
        <f t="shared" ca="1" si="11"/>
        <v>7</v>
      </c>
      <c r="S49">
        <f t="shared" ca="1" si="10"/>
        <v>3</v>
      </c>
      <c r="T49">
        <f t="shared" ca="1" si="10"/>
        <v>5</v>
      </c>
      <c r="U49">
        <f t="shared" ca="1" si="10"/>
        <v>7</v>
      </c>
      <c r="V49">
        <f t="shared" ca="1" si="10"/>
        <v>1</v>
      </c>
      <c r="W49">
        <f t="shared" ca="1" si="10"/>
        <v>6</v>
      </c>
      <c r="X49">
        <f t="shared" ca="1" si="10"/>
        <v>7</v>
      </c>
      <c r="Y49">
        <f t="shared" ca="1" si="10"/>
        <v>7</v>
      </c>
      <c r="Z49">
        <f t="shared" ca="1" si="10"/>
        <v>2</v>
      </c>
      <c r="AA49">
        <f t="shared" ca="1" si="10"/>
        <v>6</v>
      </c>
      <c r="AB49">
        <f t="shared" ca="1" si="10"/>
        <v>7</v>
      </c>
      <c r="AC49">
        <f t="shared" ca="1" si="10"/>
        <v>9</v>
      </c>
      <c r="AD49">
        <f t="shared" ca="1" si="10"/>
        <v>4</v>
      </c>
      <c r="AE49">
        <f t="shared" ca="1" si="10"/>
        <v>5</v>
      </c>
      <c r="AF49">
        <f t="shared" ca="1" si="10"/>
        <v>9</v>
      </c>
      <c r="AG49">
        <f t="shared" ca="1" si="10"/>
        <v>7</v>
      </c>
      <c r="AH49" s="25">
        <f t="shared" ca="1" si="6"/>
        <v>158</v>
      </c>
      <c r="AI49">
        <v>40</v>
      </c>
      <c r="AJ49">
        <v>65</v>
      </c>
      <c r="AK49">
        <f t="shared" si="3"/>
        <v>25</v>
      </c>
      <c r="AL49" s="15">
        <f t="shared" ca="1" si="4"/>
        <v>10270</v>
      </c>
      <c r="AM49" s="15">
        <f t="shared" ca="1" si="5"/>
        <v>3950</v>
      </c>
    </row>
    <row r="50" spans="1:39">
      <c r="A50" s="27"/>
      <c r="B50" t="s">
        <v>67</v>
      </c>
      <c r="C50">
        <f t="shared" ca="1" si="11"/>
        <v>3</v>
      </c>
      <c r="D50">
        <f t="shared" ca="1" si="11"/>
        <v>2</v>
      </c>
      <c r="E50">
        <f t="shared" ca="1" si="11"/>
        <v>2</v>
      </c>
      <c r="F50">
        <f t="shared" ca="1" si="11"/>
        <v>9</v>
      </c>
      <c r="G50">
        <f t="shared" ca="1" si="11"/>
        <v>5</v>
      </c>
      <c r="H50">
        <f t="shared" ca="1" si="11"/>
        <v>5</v>
      </c>
      <c r="I50">
        <f t="shared" ca="1" si="11"/>
        <v>5</v>
      </c>
      <c r="J50">
        <f t="shared" ca="1" si="11"/>
        <v>2</v>
      </c>
      <c r="K50">
        <f t="shared" ca="1" si="11"/>
        <v>3</v>
      </c>
      <c r="L50">
        <f t="shared" ca="1" si="11"/>
        <v>3</v>
      </c>
      <c r="M50">
        <f t="shared" ca="1" si="11"/>
        <v>5</v>
      </c>
      <c r="N50">
        <f t="shared" ca="1" si="11"/>
        <v>7</v>
      </c>
      <c r="O50">
        <f t="shared" ca="1" si="11"/>
        <v>3</v>
      </c>
      <c r="P50">
        <f t="shared" ca="1" si="11"/>
        <v>9</v>
      </c>
      <c r="Q50">
        <f t="shared" ca="1" si="11"/>
        <v>8</v>
      </c>
      <c r="R50">
        <f t="shared" ca="1" si="11"/>
        <v>8</v>
      </c>
      <c r="S50">
        <f t="shared" ca="1" si="10"/>
        <v>2</v>
      </c>
      <c r="T50">
        <f t="shared" ca="1" si="10"/>
        <v>1</v>
      </c>
      <c r="U50">
        <f t="shared" ca="1" si="10"/>
        <v>8</v>
      </c>
      <c r="V50">
        <f t="shared" ca="1" si="10"/>
        <v>10</v>
      </c>
      <c r="W50">
        <f t="shared" ca="1" si="10"/>
        <v>5</v>
      </c>
      <c r="X50">
        <f t="shared" ca="1" si="10"/>
        <v>4</v>
      </c>
      <c r="Y50">
        <f t="shared" ca="1" si="10"/>
        <v>5</v>
      </c>
      <c r="Z50">
        <f t="shared" ca="1" si="10"/>
        <v>4</v>
      </c>
      <c r="AA50">
        <f t="shared" ca="1" si="10"/>
        <v>2</v>
      </c>
      <c r="AB50">
        <f t="shared" ca="1" si="10"/>
        <v>4</v>
      </c>
      <c r="AC50">
        <f t="shared" ca="1" si="10"/>
        <v>9</v>
      </c>
      <c r="AD50">
        <f t="shared" ca="1" si="10"/>
        <v>10</v>
      </c>
      <c r="AE50">
        <f t="shared" ca="1" si="10"/>
        <v>10</v>
      </c>
      <c r="AF50">
        <f t="shared" ca="1" si="10"/>
        <v>4</v>
      </c>
      <c r="AG50">
        <f t="shared" ca="1" si="10"/>
        <v>2</v>
      </c>
      <c r="AH50" s="25">
        <f t="shared" ca="1" si="6"/>
        <v>159</v>
      </c>
      <c r="AI50">
        <v>72</v>
      </c>
      <c r="AJ50">
        <v>89</v>
      </c>
      <c r="AK50">
        <f t="shared" si="3"/>
        <v>17</v>
      </c>
      <c r="AL50" s="15">
        <f t="shared" ca="1" si="4"/>
        <v>14151</v>
      </c>
      <c r="AM50" s="15">
        <f t="shared" ca="1" si="5"/>
        <v>2703</v>
      </c>
    </row>
    <row r="51" spans="1:39">
      <c r="A51" s="27"/>
      <c r="B51" t="s">
        <v>68</v>
      </c>
      <c r="C51">
        <f t="shared" ca="1" si="11"/>
        <v>8</v>
      </c>
      <c r="D51">
        <f t="shared" ca="1" si="11"/>
        <v>10</v>
      </c>
      <c r="E51">
        <f t="shared" ca="1" si="11"/>
        <v>7</v>
      </c>
      <c r="F51">
        <f t="shared" ca="1" si="11"/>
        <v>4</v>
      </c>
      <c r="G51">
        <f t="shared" ca="1" si="11"/>
        <v>10</v>
      </c>
      <c r="H51">
        <f t="shared" ca="1" si="11"/>
        <v>6</v>
      </c>
      <c r="I51">
        <f t="shared" ca="1" si="11"/>
        <v>1</v>
      </c>
      <c r="J51">
        <f t="shared" ca="1" si="11"/>
        <v>4</v>
      </c>
      <c r="K51">
        <f t="shared" ca="1" si="11"/>
        <v>3</v>
      </c>
      <c r="L51">
        <f t="shared" ca="1" si="11"/>
        <v>1</v>
      </c>
      <c r="M51">
        <f t="shared" ca="1" si="11"/>
        <v>8</v>
      </c>
      <c r="N51">
        <f t="shared" ca="1" si="11"/>
        <v>1</v>
      </c>
      <c r="O51">
        <f t="shared" ca="1" si="11"/>
        <v>9</v>
      </c>
      <c r="P51">
        <f t="shared" ca="1" si="11"/>
        <v>10</v>
      </c>
      <c r="Q51">
        <f t="shared" ca="1" si="11"/>
        <v>10</v>
      </c>
      <c r="R51">
        <f t="shared" ref="R51:AG57" ca="1" si="12">RANDBETWEEN(1,10)</f>
        <v>10</v>
      </c>
      <c r="S51">
        <f t="shared" ca="1" si="12"/>
        <v>7</v>
      </c>
      <c r="T51">
        <f t="shared" ca="1" si="12"/>
        <v>1</v>
      </c>
      <c r="U51">
        <f t="shared" ca="1" si="12"/>
        <v>7</v>
      </c>
      <c r="V51">
        <f t="shared" ca="1" si="12"/>
        <v>6</v>
      </c>
      <c r="W51">
        <f t="shared" ca="1" si="12"/>
        <v>8</v>
      </c>
      <c r="X51">
        <f t="shared" ca="1" si="12"/>
        <v>10</v>
      </c>
      <c r="Y51">
        <f t="shared" ca="1" si="12"/>
        <v>6</v>
      </c>
      <c r="Z51">
        <f t="shared" ca="1" si="12"/>
        <v>10</v>
      </c>
      <c r="AA51">
        <f t="shared" ca="1" si="12"/>
        <v>9</v>
      </c>
      <c r="AB51">
        <f t="shared" ca="1" si="12"/>
        <v>1</v>
      </c>
      <c r="AC51">
        <f t="shared" ca="1" si="12"/>
        <v>8</v>
      </c>
      <c r="AD51">
        <f t="shared" ca="1" si="12"/>
        <v>9</v>
      </c>
      <c r="AE51">
        <f t="shared" ca="1" si="12"/>
        <v>9</v>
      </c>
      <c r="AF51">
        <f t="shared" ca="1" si="12"/>
        <v>2</v>
      </c>
      <c r="AG51">
        <f t="shared" ca="1" si="12"/>
        <v>1</v>
      </c>
      <c r="AH51" s="25">
        <f t="shared" ca="1" si="6"/>
        <v>196</v>
      </c>
      <c r="AI51">
        <v>236</v>
      </c>
      <c r="AJ51">
        <v>268</v>
      </c>
      <c r="AK51">
        <f t="shared" si="3"/>
        <v>32</v>
      </c>
      <c r="AL51" s="15">
        <f t="shared" ca="1" si="4"/>
        <v>52528</v>
      </c>
      <c r="AM51" s="15">
        <f t="shared" ca="1" si="5"/>
        <v>6272</v>
      </c>
    </row>
    <row r="52" spans="1:39">
      <c r="A52" s="27"/>
      <c r="B52" t="s">
        <v>69</v>
      </c>
      <c r="C52">
        <f t="shared" ref="C52:R57" ca="1" si="13">RANDBETWEEN(1,10)</f>
        <v>3</v>
      </c>
      <c r="D52">
        <f t="shared" ca="1" si="13"/>
        <v>4</v>
      </c>
      <c r="E52">
        <f t="shared" ca="1" si="13"/>
        <v>5</v>
      </c>
      <c r="F52">
        <f t="shared" ca="1" si="13"/>
        <v>3</v>
      </c>
      <c r="G52">
        <f t="shared" ca="1" si="13"/>
        <v>10</v>
      </c>
      <c r="H52">
        <f t="shared" ca="1" si="13"/>
        <v>9</v>
      </c>
      <c r="I52">
        <f t="shared" ca="1" si="13"/>
        <v>10</v>
      </c>
      <c r="J52">
        <f t="shared" ca="1" si="13"/>
        <v>9</v>
      </c>
      <c r="K52">
        <f t="shared" ca="1" si="13"/>
        <v>8</v>
      </c>
      <c r="L52">
        <f t="shared" ca="1" si="13"/>
        <v>2</v>
      </c>
      <c r="M52">
        <f t="shared" ca="1" si="13"/>
        <v>1</v>
      </c>
      <c r="N52">
        <f t="shared" ca="1" si="13"/>
        <v>7</v>
      </c>
      <c r="O52">
        <f t="shared" ca="1" si="13"/>
        <v>5</v>
      </c>
      <c r="P52">
        <f t="shared" ca="1" si="13"/>
        <v>9</v>
      </c>
      <c r="Q52">
        <f t="shared" ca="1" si="13"/>
        <v>5</v>
      </c>
      <c r="R52">
        <f t="shared" ca="1" si="13"/>
        <v>9</v>
      </c>
      <c r="S52">
        <f t="shared" ca="1" si="12"/>
        <v>4</v>
      </c>
      <c r="T52">
        <f t="shared" ca="1" si="12"/>
        <v>5</v>
      </c>
      <c r="U52">
        <f t="shared" ca="1" si="12"/>
        <v>7</v>
      </c>
      <c r="V52">
        <f t="shared" ca="1" si="12"/>
        <v>10</v>
      </c>
      <c r="W52">
        <f t="shared" ca="1" si="12"/>
        <v>5</v>
      </c>
      <c r="X52">
        <f t="shared" ca="1" si="12"/>
        <v>7</v>
      </c>
      <c r="Y52">
        <f t="shared" ca="1" si="12"/>
        <v>3</v>
      </c>
      <c r="Z52">
        <f t="shared" ca="1" si="12"/>
        <v>8</v>
      </c>
      <c r="AA52">
        <f t="shared" ca="1" si="12"/>
        <v>7</v>
      </c>
      <c r="AB52">
        <f t="shared" ca="1" si="12"/>
        <v>8</v>
      </c>
      <c r="AC52">
        <f t="shared" ca="1" si="12"/>
        <v>4</v>
      </c>
      <c r="AD52">
        <f t="shared" ca="1" si="12"/>
        <v>8</v>
      </c>
      <c r="AE52">
        <f t="shared" ca="1" si="12"/>
        <v>7</v>
      </c>
      <c r="AF52">
        <f t="shared" ca="1" si="12"/>
        <v>10</v>
      </c>
      <c r="AG52">
        <f t="shared" ca="1" si="12"/>
        <v>2</v>
      </c>
      <c r="AH52" s="25">
        <f t="shared" ca="1" si="6"/>
        <v>194</v>
      </c>
      <c r="AI52">
        <v>156</v>
      </c>
      <c r="AJ52">
        <v>178</v>
      </c>
      <c r="AK52">
        <f t="shared" si="3"/>
        <v>22</v>
      </c>
      <c r="AL52" s="15">
        <f t="shared" ca="1" si="4"/>
        <v>34532</v>
      </c>
      <c r="AM52" s="15">
        <f t="shared" ca="1" si="5"/>
        <v>4268</v>
      </c>
    </row>
    <row r="53" spans="1:39">
      <c r="A53" s="27"/>
      <c r="B53" t="s">
        <v>70</v>
      </c>
      <c r="C53">
        <f t="shared" ca="1" si="13"/>
        <v>10</v>
      </c>
      <c r="D53">
        <f t="shared" ca="1" si="13"/>
        <v>2</v>
      </c>
      <c r="E53">
        <f t="shared" ca="1" si="13"/>
        <v>6</v>
      </c>
      <c r="F53">
        <f t="shared" ca="1" si="13"/>
        <v>9</v>
      </c>
      <c r="G53">
        <f t="shared" ca="1" si="13"/>
        <v>9</v>
      </c>
      <c r="H53">
        <f t="shared" ca="1" si="13"/>
        <v>1</v>
      </c>
      <c r="I53">
        <f t="shared" ca="1" si="13"/>
        <v>9</v>
      </c>
      <c r="J53">
        <f t="shared" ca="1" si="13"/>
        <v>6</v>
      </c>
      <c r="K53">
        <f t="shared" ca="1" si="13"/>
        <v>10</v>
      </c>
      <c r="L53">
        <f t="shared" ca="1" si="13"/>
        <v>3</v>
      </c>
      <c r="M53">
        <f t="shared" ca="1" si="13"/>
        <v>9</v>
      </c>
      <c r="N53">
        <f t="shared" ca="1" si="13"/>
        <v>1</v>
      </c>
      <c r="O53">
        <f t="shared" ca="1" si="13"/>
        <v>6</v>
      </c>
      <c r="P53">
        <f t="shared" ca="1" si="13"/>
        <v>6</v>
      </c>
      <c r="Q53">
        <f t="shared" ca="1" si="13"/>
        <v>2</v>
      </c>
      <c r="R53">
        <f t="shared" ca="1" si="13"/>
        <v>2</v>
      </c>
      <c r="S53">
        <f t="shared" ca="1" si="12"/>
        <v>10</v>
      </c>
      <c r="T53">
        <f t="shared" ca="1" si="12"/>
        <v>5</v>
      </c>
      <c r="U53">
        <f t="shared" ca="1" si="12"/>
        <v>2</v>
      </c>
      <c r="V53">
        <f t="shared" ca="1" si="12"/>
        <v>8</v>
      </c>
      <c r="W53">
        <f t="shared" ca="1" si="12"/>
        <v>9</v>
      </c>
      <c r="X53">
        <f t="shared" ca="1" si="12"/>
        <v>5</v>
      </c>
      <c r="Y53">
        <f t="shared" ca="1" si="12"/>
        <v>9</v>
      </c>
      <c r="Z53">
        <f t="shared" ca="1" si="12"/>
        <v>1</v>
      </c>
      <c r="AA53">
        <f t="shared" ca="1" si="12"/>
        <v>2</v>
      </c>
      <c r="AB53">
        <f t="shared" ca="1" si="12"/>
        <v>2</v>
      </c>
      <c r="AC53">
        <f t="shared" ca="1" si="12"/>
        <v>6</v>
      </c>
      <c r="AD53">
        <f t="shared" ca="1" si="12"/>
        <v>6</v>
      </c>
      <c r="AE53">
        <f t="shared" ca="1" si="12"/>
        <v>5</v>
      </c>
      <c r="AF53">
        <f t="shared" ca="1" si="12"/>
        <v>8</v>
      </c>
      <c r="AG53">
        <f t="shared" ca="1" si="12"/>
        <v>5</v>
      </c>
      <c r="AH53" s="25">
        <f t="shared" ca="1" si="6"/>
        <v>174</v>
      </c>
      <c r="AI53">
        <v>182</v>
      </c>
      <c r="AJ53">
        <v>225</v>
      </c>
      <c r="AK53">
        <f t="shared" si="3"/>
        <v>43</v>
      </c>
      <c r="AL53" s="15">
        <f t="shared" ca="1" si="4"/>
        <v>39150</v>
      </c>
      <c r="AM53" s="15">
        <f t="shared" ca="1" si="5"/>
        <v>7482</v>
      </c>
    </row>
    <row r="54" spans="1:39">
      <c r="A54" s="27"/>
      <c r="B54" t="s">
        <v>71</v>
      </c>
      <c r="C54">
        <f t="shared" ca="1" si="13"/>
        <v>2</v>
      </c>
      <c r="D54">
        <f t="shared" ca="1" si="13"/>
        <v>4</v>
      </c>
      <c r="E54">
        <f t="shared" ca="1" si="13"/>
        <v>10</v>
      </c>
      <c r="F54">
        <f t="shared" ca="1" si="13"/>
        <v>4</v>
      </c>
      <c r="G54">
        <f t="shared" ca="1" si="13"/>
        <v>6</v>
      </c>
      <c r="H54">
        <f t="shared" ca="1" si="13"/>
        <v>2</v>
      </c>
      <c r="I54">
        <f t="shared" ca="1" si="13"/>
        <v>2</v>
      </c>
      <c r="J54">
        <f t="shared" ca="1" si="13"/>
        <v>4</v>
      </c>
      <c r="K54">
        <f t="shared" ca="1" si="13"/>
        <v>4</v>
      </c>
      <c r="L54">
        <f t="shared" ca="1" si="13"/>
        <v>4</v>
      </c>
      <c r="M54">
        <f t="shared" ca="1" si="13"/>
        <v>4</v>
      </c>
      <c r="N54">
        <f t="shared" ca="1" si="13"/>
        <v>9</v>
      </c>
      <c r="O54">
        <f t="shared" ca="1" si="13"/>
        <v>5</v>
      </c>
      <c r="P54">
        <f t="shared" ca="1" si="13"/>
        <v>2</v>
      </c>
      <c r="Q54">
        <f t="shared" ca="1" si="13"/>
        <v>2</v>
      </c>
      <c r="R54">
        <f t="shared" ca="1" si="13"/>
        <v>6</v>
      </c>
      <c r="S54">
        <f t="shared" ca="1" si="12"/>
        <v>6</v>
      </c>
      <c r="T54">
        <f t="shared" ca="1" si="12"/>
        <v>7</v>
      </c>
      <c r="U54">
        <f t="shared" ca="1" si="12"/>
        <v>7</v>
      </c>
      <c r="V54">
        <f t="shared" ca="1" si="12"/>
        <v>4</v>
      </c>
      <c r="W54">
        <f t="shared" ca="1" si="12"/>
        <v>2</v>
      </c>
      <c r="X54">
        <f t="shared" ca="1" si="12"/>
        <v>6</v>
      </c>
      <c r="Y54">
        <f t="shared" ca="1" si="12"/>
        <v>6</v>
      </c>
      <c r="Z54">
        <f t="shared" ca="1" si="12"/>
        <v>5</v>
      </c>
      <c r="AA54">
        <f t="shared" ca="1" si="12"/>
        <v>9</v>
      </c>
      <c r="AB54">
        <f t="shared" ca="1" si="12"/>
        <v>8</v>
      </c>
      <c r="AC54">
        <f t="shared" ca="1" si="12"/>
        <v>6</v>
      </c>
      <c r="AD54">
        <f t="shared" ca="1" si="12"/>
        <v>5</v>
      </c>
      <c r="AE54">
        <f t="shared" ca="1" si="12"/>
        <v>10</v>
      </c>
      <c r="AF54">
        <f t="shared" ca="1" si="12"/>
        <v>8</v>
      </c>
      <c r="AG54">
        <f t="shared" ca="1" si="12"/>
        <v>1</v>
      </c>
      <c r="AH54" s="25">
        <f t="shared" ca="1" si="6"/>
        <v>160</v>
      </c>
      <c r="AI54">
        <v>23</v>
      </c>
      <c r="AJ54">
        <v>35</v>
      </c>
      <c r="AK54">
        <f t="shared" si="3"/>
        <v>12</v>
      </c>
      <c r="AL54" s="15">
        <f t="shared" ca="1" si="4"/>
        <v>5600</v>
      </c>
      <c r="AM54" s="15">
        <f t="shared" ca="1" si="5"/>
        <v>1920</v>
      </c>
    </row>
    <row r="55" spans="1:39">
      <c r="A55" s="27"/>
      <c r="B55" t="s">
        <v>72</v>
      </c>
      <c r="C55">
        <f t="shared" ca="1" si="13"/>
        <v>10</v>
      </c>
      <c r="D55">
        <f t="shared" ca="1" si="13"/>
        <v>3</v>
      </c>
      <c r="E55">
        <f t="shared" ca="1" si="13"/>
        <v>1</v>
      </c>
      <c r="F55">
        <f t="shared" ca="1" si="13"/>
        <v>10</v>
      </c>
      <c r="G55">
        <f t="shared" ca="1" si="13"/>
        <v>4</v>
      </c>
      <c r="H55">
        <f t="shared" ca="1" si="13"/>
        <v>7</v>
      </c>
      <c r="I55">
        <f t="shared" ca="1" si="13"/>
        <v>7</v>
      </c>
      <c r="J55">
        <f t="shared" ca="1" si="13"/>
        <v>5</v>
      </c>
      <c r="K55">
        <f t="shared" ca="1" si="13"/>
        <v>10</v>
      </c>
      <c r="L55">
        <f t="shared" ca="1" si="13"/>
        <v>1</v>
      </c>
      <c r="M55">
        <f t="shared" ca="1" si="13"/>
        <v>10</v>
      </c>
      <c r="N55">
        <f t="shared" ca="1" si="13"/>
        <v>1</v>
      </c>
      <c r="O55">
        <f t="shared" ca="1" si="13"/>
        <v>8</v>
      </c>
      <c r="P55">
        <f t="shared" ca="1" si="13"/>
        <v>10</v>
      </c>
      <c r="Q55">
        <f t="shared" ca="1" si="13"/>
        <v>6</v>
      </c>
      <c r="R55">
        <f t="shared" ca="1" si="13"/>
        <v>7</v>
      </c>
      <c r="S55">
        <f t="shared" ca="1" si="12"/>
        <v>6</v>
      </c>
      <c r="T55">
        <f t="shared" ca="1" si="12"/>
        <v>8</v>
      </c>
      <c r="U55">
        <f t="shared" ca="1" si="12"/>
        <v>2</v>
      </c>
      <c r="V55">
        <f t="shared" ca="1" si="12"/>
        <v>2</v>
      </c>
      <c r="W55">
        <f t="shared" ca="1" si="12"/>
        <v>1</v>
      </c>
      <c r="X55">
        <f t="shared" ca="1" si="12"/>
        <v>1</v>
      </c>
      <c r="Y55">
        <f t="shared" ca="1" si="12"/>
        <v>10</v>
      </c>
      <c r="Z55">
        <f t="shared" ca="1" si="12"/>
        <v>10</v>
      </c>
      <c r="AA55">
        <f t="shared" ca="1" si="12"/>
        <v>10</v>
      </c>
      <c r="AB55">
        <f t="shared" ca="1" si="12"/>
        <v>10</v>
      </c>
      <c r="AC55">
        <f t="shared" ca="1" si="12"/>
        <v>3</v>
      </c>
      <c r="AD55">
        <f t="shared" ca="1" si="12"/>
        <v>5</v>
      </c>
      <c r="AE55">
        <f t="shared" ca="1" si="12"/>
        <v>5</v>
      </c>
      <c r="AF55">
        <f t="shared" ca="1" si="12"/>
        <v>7</v>
      </c>
      <c r="AG55">
        <f t="shared" ca="1" si="12"/>
        <v>9</v>
      </c>
      <c r="AH55" s="25">
        <f t="shared" ca="1" si="6"/>
        <v>189</v>
      </c>
      <c r="AI55">
        <v>205</v>
      </c>
      <c r="AJ55">
        <v>260</v>
      </c>
      <c r="AK55">
        <f t="shared" si="3"/>
        <v>55</v>
      </c>
      <c r="AL55" s="15">
        <f t="shared" ca="1" si="4"/>
        <v>49140</v>
      </c>
      <c r="AM55" s="15">
        <f t="shared" ca="1" si="5"/>
        <v>10395</v>
      </c>
    </row>
    <row r="56" spans="1:39">
      <c r="A56" s="27"/>
      <c r="B56" t="s">
        <v>73</v>
      </c>
      <c r="C56">
        <f t="shared" ca="1" si="13"/>
        <v>5</v>
      </c>
      <c r="D56">
        <f t="shared" ca="1" si="13"/>
        <v>5</v>
      </c>
      <c r="E56">
        <f t="shared" ca="1" si="13"/>
        <v>5</v>
      </c>
      <c r="F56">
        <f t="shared" ca="1" si="13"/>
        <v>10</v>
      </c>
      <c r="G56">
        <f t="shared" ca="1" si="13"/>
        <v>5</v>
      </c>
      <c r="H56">
        <f t="shared" ca="1" si="13"/>
        <v>8</v>
      </c>
      <c r="I56">
        <f t="shared" ca="1" si="13"/>
        <v>4</v>
      </c>
      <c r="J56">
        <f t="shared" ca="1" si="13"/>
        <v>1</v>
      </c>
      <c r="K56">
        <f t="shared" ca="1" si="13"/>
        <v>9</v>
      </c>
      <c r="L56">
        <f t="shared" ca="1" si="13"/>
        <v>2</v>
      </c>
      <c r="M56">
        <f t="shared" ca="1" si="13"/>
        <v>8</v>
      </c>
      <c r="N56">
        <f t="shared" ca="1" si="13"/>
        <v>10</v>
      </c>
      <c r="O56">
        <f t="shared" ca="1" si="13"/>
        <v>3</v>
      </c>
      <c r="P56">
        <f t="shared" ca="1" si="13"/>
        <v>10</v>
      </c>
      <c r="Q56">
        <f t="shared" ca="1" si="13"/>
        <v>10</v>
      </c>
      <c r="R56">
        <f t="shared" ca="1" si="13"/>
        <v>6</v>
      </c>
      <c r="S56">
        <f t="shared" ca="1" si="12"/>
        <v>7</v>
      </c>
      <c r="T56">
        <f t="shared" ca="1" si="12"/>
        <v>8</v>
      </c>
      <c r="U56">
        <f t="shared" ca="1" si="12"/>
        <v>9</v>
      </c>
      <c r="V56">
        <f t="shared" ca="1" si="12"/>
        <v>4</v>
      </c>
      <c r="W56">
        <f t="shared" ca="1" si="12"/>
        <v>5</v>
      </c>
      <c r="X56">
        <f t="shared" ca="1" si="12"/>
        <v>9</v>
      </c>
      <c r="Y56">
        <f t="shared" ca="1" si="12"/>
        <v>4</v>
      </c>
      <c r="Z56">
        <f t="shared" ca="1" si="12"/>
        <v>1</v>
      </c>
      <c r="AA56">
        <f t="shared" ca="1" si="12"/>
        <v>5</v>
      </c>
      <c r="AB56">
        <f t="shared" ca="1" si="12"/>
        <v>6</v>
      </c>
      <c r="AC56">
        <f t="shared" ca="1" si="12"/>
        <v>7</v>
      </c>
      <c r="AD56">
        <f t="shared" ca="1" si="12"/>
        <v>5</v>
      </c>
      <c r="AE56">
        <f t="shared" ca="1" si="12"/>
        <v>1</v>
      </c>
      <c r="AF56">
        <f t="shared" ca="1" si="12"/>
        <v>5</v>
      </c>
      <c r="AG56">
        <f t="shared" ca="1" si="12"/>
        <v>8</v>
      </c>
      <c r="AH56" s="25">
        <f t="shared" ca="1" si="6"/>
        <v>185</v>
      </c>
      <c r="AI56">
        <v>325</v>
      </c>
      <c r="AJ56">
        <v>358</v>
      </c>
      <c r="AK56">
        <f t="shared" si="3"/>
        <v>33</v>
      </c>
      <c r="AL56" s="15">
        <f t="shared" ca="1" si="4"/>
        <v>66230</v>
      </c>
      <c r="AM56" s="15">
        <f t="shared" ca="1" si="5"/>
        <v>6105</v>
      </c>
    </row>
    <row r="57" spans="1:39">
      <c r="A57" s="27"/>
      <c r="B57" t="s">
        <v>74</v>
      </c>
      <c r="C57">
        <f t="shared" ca="1" si="13"/>
        <v>6</v>
      </c>
      <c r="D57">
        <f t="shared" ca="1" si="13"/>
        <v>8</v>
      </c>
      <c r="E57">
        <f t="shared" ca="1" si="13"/>
        <v>1</v>
      </c>
      <c r="F57">
        <f t="shared" ca="1" si="13"/>
        <v>6</v>
      </c>
      <c r="G57">
        <f t="shared" ca="1" si="13"/>
        <v>6</v>
      </c>
      <c r="H57">
        <f t="shared" ca="1" si="13"/>
        <v>9</v>
      </c>
      <c r="I57">
        <f t="shared" ca="1" si="13"/>
        <v>1</v>
      </c>
      <c r="J57">
        <f t="shared" ca="1" si="13"/>
        <v>6</v>
      </c>
      <c r="K57">
        <f t="shared" ca="1" si="13"/>
        <v>10</v>
      </c>
      <c r="L57">
        <f t="shared" ca="1" si="13"/>
        <v>3</v>
      </c>
      <c r="M57">
        <f t="shared" ca="1" si="13"/>
        <v>5</v>
      </c>
      <c r="N57">
        <f t="shared" ca="1" si="13"/>
        <v>2</v>
      </c>
      <c r="O57">
        <f t="shared" ca="1" si="13"/>
        <v>10</v>
      </c>
      <c r="P57">
        <f t="shared" ca="1" si="13"/>
        <v>5</v>
      </c>
      <c r="Q57">
        <f t="shared" ca="1" si="13"/>
        <v>3</v>
      </c>
      <c r="R57">
        <f t="shared" ca="1" si="13"/>
        <v>2</v>
      </c>
      <c r="S57">
        <f t="shared" ca="1" si="12"/>
        <v>5</v>
      </c>
      <c r="T57">
        <f t="shared" ca="1" si="12"/>
        <v>6</v>
      </c>
      <c r="U57">
        <f t="shared" ca="1" si="12"/>
        <v>2</v>
      </c>
      <c r="V57">
        <f t="shared" ca="1" si="12"/>
        <v>5</v>
      </c>
      <c r="W57">
        <f t="shared" ca="1" si="12"/>
        <v>10</v>
      </c>
      <c r="X57">
        <f t="shared" ca="1" si="12"/>
        <v>3</v>
      </c>
      <c r="Y57">
        <f t="shared" ca="1" si="12"/>
        <v>2</v>
      </c>
      <c r="Z57">
        <f t="shared" ca="1" si="12"/>
        <v>2</v>
      </c>
      <c r="AA57">
        <f t="shared" ca="1" si="12"/>
        <v>3</v>
      </c>
      <c r="AB57">
        <f t="shared" ca="1" si="12"/>
        <v>2</v>
      </c>
      <c r="AC57">
        <f t="shared" ca="1" si="12"/>
        <v>9</v>
      </c>
      <c r="AD57">
        <f t="shared" ca="1" si="12"/>
        <v>6</v>
      </c>
      <c r="AE57">
        <f t="shared" ca="1" si="12"/>
        <v>8</v>
      </c>
      <c r="AF57">
        <f t="shared" ca="1" si="12"/>
        <v>3</v>
      </c>
      <c r="AG57">
        <f t="shared" ca="1" si="12"/>
        <v>4</v>
      </c>
      <c r="AH57" s="25">
        <f t="shared" ca="1" si="6"/>
        <v>153</v>
      </c>
      <c r="AI57">
        <v>340</v>
      </c>
      <c r="AJ57">
        <v>380</v>
      </c>
      <c r="AK57">
        <f t="shared" si="3"/>
        <v>40</v>
      </c>
      <c r="AL57" s="15">
        <f t="shared" ca="1" si="4"/>
        <v>58140</v>
      </c>
      <c r="AM57" s="15">
        <f t="shared" ca="1" si="5"/>
        <v>6120</v>
      </c>
    </row>
    <row r="58" spans="1:39">
      <c r="A58" s="27"/>
    </row>
    <row r="59" spans="1:39">
      <c r="A59" s="27"/>
    </row>
    <row r="60" spans="1:39">
      <c r="A60" s="27"/>
    </row>
    <row r="61" spans="1:39">
      <c r="A61" s="27"/>
    </row>
    <row r="62" spans="1:39">
      <c r="A62" s="27"/>
    </row>
    <row r="63" spans="1:39">
      <c r="A63" s="27"/>
    </row>
    <row r="64" spans="1:39">
      <c r="A64" s="27"/>
    </row>
    <row r="65" spans="1:1">
      <c r="A65" s="27"/>
    </row>
    <row r="66" spans="1:1">
      <c r="A66" s="27"/>
    </row>
    <row r="67" spans="1:1">
      <c r="A67" s="27"/>
    </row>
    <row r="68" spans="1:1">
      <c r="A68" s="27"/>
    </row>
    <row r="69" spans="1:1">
      <c r="A69" s="27"/>
    </row>
    <row r="70" spans="1:1">
      <c r="A70" s="27"/>
    </row>
    <row r="71" spans="1:1">
      <c r="A71" s="27"/>
    </row>
    <row r="72" spans="1:1">
      <c r="A72" s="27"/>
    </row>
    <row r="73" spans="1:1">
      <c r="A73" s="27"/>
    </row>
    <row r="74" spans="1:1">
      <c r="A74" s="27"/>
    </row>
    <row r="75" spans="1:1">
      <c r="A75" s="27"/>
    </row>
    <row r="76" spans="1:1">
      <c r="A76" s="27"/>
    </row>
    <row r="77" spans="1:1">
      <c r="A77" s="27"/>
    </row>
    <row r="78" spans="1:1">
      <c r="A78" s="27"/>
    </row>
    <row r="79" spans="1:1">
      <c r="A79" s="27"/>
    </row>
    <row r="80" spans="1:1">
      <c r="A80" s="27"/>
    </row>
    <row r="81" spans="1:1">
      <c r="A81" s="27"/>
    </row>
    <row r="82" spans="1:1">
      <c r="A82" s="27"/>
    </row>
    <row r="83" spans="1:1">
      <c r="A83" s="27"/>
    </row>
    <row r="84" spans="1:1">
      <c r="A84" s="27"/>
    </row>
    <row r="85" spans="1:1">
      <c r="A85" s="27"/>
    </row>
    <row r="86" spans="1:1">
      <c r="A86" s="27"/>
    </row>
    <row r="87" spans="1:1">
      <c r="A87" s="27"/>
    </row>
  </sheetData>
  <mergeCells count="9">
    <mergeCell ref="A1:A29"/>
    <mergeCell ref="A30:A58"/>
    <mergeCell ref="A59:A87"/>
    <mergeCell ref="AM1:AM2"/>
    <mergeCell ref="AH1:AH2"/>
    <mergeCell ref="AI1:AI2"/>
    <mergeCell ref="AJ1:AJ2"/>
    <mergeCell ref="AK1:AK2"/>
    <mergeCell ref="AL1:AL2"/>
  </mergeCells>
  <dataValidations count="2">
    <dataValidation type="list" allowBlank="1" showInputMessage="1" showErrorMessage="1" sqref="AP2" xr:uid="{00000000-0002-0000-0400-000000000000}">
      <formula1>"2020,2021,2022,2023,2024,2025,2026,2027,2028,2029,2030"</formula1>
    </dataValidation>
    <dataValidation type="list" allowBlank="1" showInputMessage="1" showErrorMessage="1" sqref="AP1" xr:uid="{00000000-0002-0000-0400-000001000000}">
      <formula1>"January,February,March,Aprail,May,June,July,August,September,October,November,December"</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P87"/>
  <sheetViews>
    <sheetView workbookViewId="0">
      <pane xSplit="1" topLeftCell="Q1" activePane="topRight" state="frozenSplit"/>
      <selection pane="topRight" activeCell="AP17" sqref="AP17"/>
    </sheetView>
  </sheetViews>
  <sheetFormatPr defaultRowHeight="15"/>
  <cols>
    <col min="1" max="1" width="16.85546875" bestFit="1" customWidth="1"/>
    <col min="2" max="2" width="13.7109375" customWidth="1"/>
    <col min="3" max="3" width="4.28515625" customWidth="1"/>
    <col min="4" max="4" width="5.28515625" customWidth="1"/>
    <col min="5" max="5" width="4.28515625" customWidth="1"/>
    <col min="6" max="6" width="3.28515625" customWidth="1"/>
    <col min="7" max="7" width="3.7109375" customWidth="1"/>
    <col min="8" max="8" width="4.28515625" customWidth="1"/>
    <col min="9" max="9" width="5.140625" customWidth="1"/>
    <col min="10" max="10" width="4.28515625" customWidth="1"/>
    <col min="11" max="11" width="5.28515625" customWidth="1"/>
    <col min="12" max="12" width="4.28515625" customWidth="1"/>
    <col min="13" max="13" width="3.28515625" customWidth="1"/>
    <col min="14" max="14" width="3.7109375" customWidth="1"/>
    <col min="15" max="15" width="4.28515625" customWidth="1"/>
    <col min="16" max="16" width="5.140625" customWidth="1"/>
    <col min="17" max="17" width="4.28515625" customWidth="1"/>
    <col min="18" max="18" width="5.28515625" customWidth="1"/>
    <col min="19" max="19" width="4.28515625" customWidth="1"/>
    <col min="20" max="20" width="3.28515625" customWidth="1"/>
    <col min="21" max="21" width="3.7109375" customWidth="1"/>
    <col min="22" max="22" width="4.28515625" customWidth="1"/>
    <col min="23" max="23" width="5.140625" customWidth="1"/>
    <col min="24" max="24" width="4.28515625" customWidth="1"/>
    <col min="25" max="25" width="5.28515625" customWidth="1"/>
    <col min="26" max="26" width="4.28515625" customWidth="1"/>
    <col min="27" max="27" width="3.28515625" customWidth="1"/>
    <col min="28" max="28" width="3.7109375" customWidth="1"/>
    <col min="29" max="29" width="4.28515625" customWidth="1"/>
    <col min="30" max="30" width="5.140625" customWidth="1"/>
    <col min="31" max="31" width="4.28515625" customWidth="1"/>
    <col min="32" max="32" width="5.28515625" customWidth="1"/>
    <col min="33" max="33" width="4.28515625" customWidth="1"/>
    <col min="34" max="34" width="6.5703125" customWidth="1"/>
    <col min="35" max="35" width="12.42578125" customWidth="1"/>
    <col min="36" max="36" width="10.7109375" customWidth="1"/>
    <col min="41" max="41" width="15.7109375" bestFit="1" customWidth="1"/>
    <col min="42" max="42" width="11.28515625" customWidth="1"/>
  </cols>
  <sheetData>
    <row r="1" spans="1:42">
      <c r="A1" s="27"/>
      <c r="C1" s="8" t="e">
        <f>TEXT(C2,"DDD")</f>
        <v>#VALUE!</v>
      </c>
      <c r="D1" s="8" t="e">
        <f t="shared" ref="D1:AF1" si="0">TEXT(D2,"DDD")</f>
        <v>#VALUE!</v>
      </c>
      <c r="E1" s="8" t="e">
        <f t="shared" si="0"/>
        <v>#VALUE!</v>
      </c>
      <c r="F1" s="8" t="e">
        <f t="shared" si="0"/>
        <v>#VALUE!</v>
      </c>
      <c r="G1" s="8" t="e">
        <f t="shared" si="0"/>
        <v>#VALUE!</v>
      </c>
      <c r="H1" s="8" t="e">
        <f t="shared" si="0"/>
        <v>#VALUE!</v>
      </c>
      <c r="I1" s="8" t="e">
        <f t="shared" si="0"/>
        <v>#VALUE!</v>
      </c>
      <c r="J1" s="8" t="e">
        <f t="shared" si="0"/>
        <v>#VALUE!</v>
      </c>
      <c r="K1" s="8" t="e">
        <f t="shared" si="0"/>
        <v>#VALUE!</v>
      </c>
      <c r="L1" s="8" t="e">
        <f t="shared" si="0"/>
        <v>#VALUE!</v>
      </c>
      <c r="M1" s="8" t="e">
        <f t="shared" si="0"/>
        <v>#VALUE!</v>
      </c>
      <c r="N1" s="8" t="e">
        <f t="shared" si="0"/>
        <v>#VALUE!</v>
      </c>
      <c r="O1" s="8" t="e">
        <f t="shared" si="0"/>
        <v>#VALUE!</v>
      </c>
      <c r="P1" s="8" t="e">
        <f t="shared" si="0"/>
        <v>#VALUE!</v>
      </c>
      <c r="Q1" s="8" t="e">
        <f t="shared" si="0"/>
        <v>#VALUE!</v>
      </c>
      <c r="R1" s="8" t="e">
        <f t="shared" si="0"/>
        <v>#VALUE!</v>
      </c>
      <c r="S1" s="8" t="e">
        <f t="shared" si="0"/>
        <v>#VALUE!</v>
      </c>
      <c r="T1" s="8" t="e">
        <f t="shared" si="0"/>
        <v>#VALUE!</v>
      </c>
      <c r="U1" s="8" t="e">
        <f t="shared" si="0"/>
        <v>#VALUE!</v>
      </c>
      <c r="V1" s="8" t="e">
        <f t="shared" si="0"/>
        <v>#VALUE!</v>
      </c>
      <c r="W1" s="8" t="e">
        <f t="shared" si="0"/>
        <v>#VALUE!</v>
      </c>
      <c r="X1" s="8" t="e">
        <f t="shared" si="0"/>
        <v>#VALUE!</v>
      </c>
      <c r="Y1" s="8" t="e">
        <f t="shared" si="0"/>
        <v>#VALUE!</v>
      </c>
      <c r="Z1" s="8" t="e">
        <f t="shared" si="0"/>
        <v>#VALUE!</v>
      </c>
      <c r="AA1" s="8" t="e">
        <f t="shared" si="0"/>
        <v>#VALUE!</v>
      </c>
      <c r="AB1" s="8" t="e">
        <f t="shared" si="0"/>
        <v>#VALUE!</v>
      </c>
      <c r="AC1" s="8" t="e">
        <f t="shared" si="0"/>
        <v>#VALUE!</v>
      </c>
      <c r="AD1" s="8" t="e">
        <f t="shared" si="0"/>
        <v>#VALUE!</v>
      </c>
      <c r="AE1" s="8" t="e">
        <f t="shared" si="0"/>
        <v>#VALUE!</v>
      </c>
      <c r="AF1" s="8" t="e">
        <f t="shared" si="0"/>
        <v>#VALUE!</v>
      </c>
      <c r="AG1" s="8"/>
      <c r="AH1" s="28" t="s">
        <v>75</v>
      </c>
      <c r="AI1" s="28" t="s">
        <v>76</v>
      </c>
      <c r="AJ1" s="30" t="s">
        <v>77</v>
      </c>
      <c r="AK1" s="28" t="s">
        <v>78</v>
      </c>
      <c r="AL1" s="29" t="s">
        <v>79</v>
      </c>
      <c r="AM1" s="29" t="s">
        <v>80</v>
      </c>
      <c r="AO1" s="5" t="s">
        <v>81</v>
      </c>
      <c r="AP1" s="10" t="s">
        <v>97</v>
      </c>
    </row>
    <row r="2" spans="1:42">
      <c r="A2" s="27"/>
      <c r="B2" s="1" t="s">
        <v>0</v>
      </c>
      <c r="C2" s="9" t="e">
        <f>IF(COLUMNS($C$2:C2)&gt;DAY($AP$4),"",$AP$3+COLUMNS($C$2:C2)-1)</f>
        <v>#VALUE!</v>
      </c>
      <c r="D2" s="9" t="e">
        <f>IF(COLUMNS($C$2:D2)&gt;DAY($AP$4),"",$AP$3+COLUMNS($C$2:D2)-1)</f>
        <v>#VALUE!</v>
      </c>
      <c r="E2" s="9" t="e">
        <f>IF(COLUMNS($C$2:E2)&gt;DAY($AP$4),"",$AP$3+COLUMNS($C$2:E2)-1)</f>
        <v>#VALUE!</v>
      </c>
      <c r="F2" s="9" t="e">
        <f>IF(COLUMNS($C$2:F2)&gt;DAY($AP$4),"",$AP$3+COLUMNS($C$2:F2)-1)</f>
        <v>#VALUE!</v>
      </c>
      <c r="G2" s="9" t="e">
        <f>IF(COLUMNS($C$2:G2)&gt;DAY($AP$4),"",$AP$3+COLUMNS($C$2:G2)-1)</f>
        <v>#VALUE!</v>
      </c>
      <c r="H2" s="9" t="e">
        <f>IF(COLUMNS($C$2:H2)&gt;DAY($AP$4),"",$AP$3+COLUMNS($C$2:H2)-1)</f>
        <v>#VALUE!</v>
      </c>
      <c r="I2" s="9" t="e">
        <f>IF(COLUMNS($C$2:I2)&gt;DAY($AP$4),"",$AP$3+COLUMNS($C$2:I2)-1)</f>
        <v>#VALUE!</v>
      </c>
      <c r="J2" s="9" t="e">
        <f>IF(COLUMNS($C$2:J2)&gt;DAY($AP$4),"",$AP$3+COLUMNS($C$2:J2)-1)</f>
        <v>#VALUE!</v>
      </c>
      <c r="K2" s="9" t="e">
        <f>IF(COLUMNS($C$2:K2)&gt;DAY($AP$4),"",$AP$3+COLUMNS($C$2:K2)-1)</f>
        <v>#VALUE!</v>
      </c>
      <c r="L2" s="9" t="e">
        <f>IF(COLUMNS($C$2:L2)&gt;DAY($AP$4),"",$AP$3+COLUMNS($C$2:L2)-1)</f>
        <v>#VALUE!</v>
      </c>
      <c r="M2" s="9" t="e">
        <f>IF(COLUMNS($C$2:M2)&gt;DAY($AP$4),"",$AP$3+COLUMNS($C$2:M2)-1)</f>
        <v>#VALUE!</v>
      </c>
      <c r="N2" s="9" t="e">
        <f>IF(COLUMNS($C$2:N2)&gt;DAY($AP$4),"",$AP$3+COLUMNS($C$2:N2)-1)</f>
        <v>#VALUE!</v>
      </c>
      <c r="O2" s="9" t="e">
        <f>IF(COLUMNS($C$2:O2)&gt;DAY($AP$4),"",$AP$3+COLUMNS($C$2:O2)-1)</f>
        <v>#VALUE!</v>
      </c>
      <c r="P2" s="9" t="e">
        <f>IF(COLUMNS($C$2:P2)&gt;DAY($AP$4),"",$AP$3+COLUMNS($C$2:P2)-1)</f>
        <v>#VALUE!</v>
      </c>
      <c r="Q2" s="9" t="e">
        <f>IF(COLUMNS($C$2:Q2)&gt;DAY($AP$4),"",$AP$3+COLUMNS($C$2:Q2)-1)</f>
        <v>#VALUE!</v>
      </c>
      <c r="R2" s="9" t="e">
        <f>IF(COLUMNS($C$2:R2)&gt;DAY($AP$4),"",$AP$3+COLUMNS($C$2:R2)-1)</f>
        <v>#VALUE!</v>
      </c>
      <c r="S2" s="9" t="e">
        <f>IF(COLUMNS($C$2:S2)&gt;DAY($AP$4),"",$AP$3+COLUMNS($C$2:S2)-1)</f>
        <v>#VALUE!</v>
      </c>
      <c r="T2" s="9" t="e">
        <f>IF(COLUMNS($C$2:T2)&gt;DAY($AP$4),"",$AP$3+COLUMNS($C$2:T2)-1)</f>
        <v>#VALUE!</v>
      </c>
      <c r="U2" s="9" t="e">
        <f>IF(COLUMNS($C$2:U2)&gt;DAY($AP$4),"",$AP$3+COLUMNS($C$2:U2)-1)</f>
        <v>#VALUE!</v>
      </c>
      <c r="V2" s="9" t="e">
        <f>IF(COLUMNS($C$2:V2)&gt;DAY($AP$4),"",$AP$3+COLUMNS($C$2:V2)-1)</f>
        <v>#VALUE!</v>
      </c>
      <c r="W2" s="9" t="e">
        <f>IF(COLUMNS($C$2:W2)&gt;DAY($AP$4),"",$AP$3+COLUMNS($C$2:W2)-1)</f>
        <v>#VALUE!</v>
      </c>
      <c r="X2" s="9" t="e">
        <f>IF(COLUMNS($C$2:X2)&gt;DAY($AP$4),"",$AP$3+COLUMNS($C$2:X2)-1)</f>
        <v>#VALUE!</v>
      </c>
      <c r="Y2" s="9" t="e">
        <f>IF(COLUMNS($C$2:Y2)&gt;DAY($AP$4),"",$AP$3+COLUMNS($C$2:Y2)-1)</f>
        <v>#VALUE!</v>
      </c>
      <c r="Z2" s="9" t="e">
        <f>IF(COLUMNS($C$2:Z2)&gt;DAY($AP$4),"",$AP$3+COLUMNS($C$2:Z2)-1)</f>
        <v>#VALUE!</v>
      </c>
      <c r="AA2" s="9" t="e">
        <f>IF(COLUMNS($C$2:AA2)&gt;DAY($AP$4),"",$AP$3+COLUMNS($C$2:AA2)-1)</f>
        <v>#VALUE!</v>
      </c>
      <c r="AB2" s="9" t="e">
        <f>IF(COLUMNS($C$2:AB2)&gt;DAY($AP$4),"",$AP$3+COLUMNS($C$2:AB2)-1)</f>
        <v>#VALUE!</v>
      </c>
      <c r="AC2" s="9" t="e">
        <f>IF(COLUMNS($C$2:AC2)&gt;DAY($AP$4),"",$AP$3+COLUMNS($C$2:AC2)-1)</f>
        <v>#VALUE!</v>
      </c>
      <c r="AD2" s="9" t="e">
        <f>IF(COLUMNS($C$2:AD2)&gt;DAY($AP$4),"",$AP$3+COLUMNS($C$2:AD2)-1)</f>
        <v>#VALUE!</v>
      </c>
      <c r="AE2" s="9" t="e">
        <f>IF(COLUMNS($C$2:AE2)&gt;DAY($AP$4),"",$AP$3+COLUMNS($C$2:AE2)-1)</f>
        <v>#VALUE!</v>
      </c>
      <c r="AF2" s="9" t="e">
        <f>IF(COLUMNS($C$2:AF2)&gt;DAY($AP$4),"",$AP$3+COLUMNS($C$2:AF2)-1)</f>
        <v>#VALUE!</v>
      </c>
      <c r="AG2" s="9"/>
      <c r="AH2" s="28"/>
      <c r="AI2" s="28"/>
      <c r="AJ2" s="30"/>
      <c r="AK2" s="28"/>
      <c r="AL2" s="29"/>
      <c r="AM2" s="29"/>
      <c r="AO2" s="6" t="s">
        <v>83</v>
      </c>
      <c r="AP2" s="11">
        <v>2024</v>
      </c>
    </row>
    <row r="3" spans="1:42">
      <c r="A3" s="27"/>
      <c r="B3" t="s">
        <v>18</v>
      </c>
      <c r="C3">
        <f ca="1">RANDBETWEEN(1,10)</f>
        <v>7</v>
      </c>
      <c r="D3">
        <f t="shared" ref="D3:AF12" ca="1" si="1">RANDBETWEEN(1,10)</f>
        <v>10</v>
      </c>
      <c r="E3">
        <f t="shared" ca="1" si="1"/>
        <v>2</v>
      </c>
      <c r="F3">
        <f t="shared" ca="1" si="1"/>
        <v>4</v>
      </c>
      <c r="G3">
        <f t="shared" ca="1" si="1"/>
        <v>8</v>
      </c>
      <c r="H3">
        <f t="shared" ca="1" si="1"/>
        <v>3</v>
      </c>
      <c r="I3">
        <f t="shared" ca="1" si="1"/>
        <v>4</v>
      </c>
      <c r="J3">
        <f t="shared" ca="1" si="1"/>
        <v>1</v>
      </c>
      <c r="K3">
        <f t="shared" ca="1" si="1"/>
        <v>3</v>
      </c>
      <c r="L3">
        <f t="shared" ca="1" si="1"/>
        <v>1</v>
      </c>
      <c r="M3">
        <f t="shared" ca="1" si="1"/>
        <v>2</v>
      </c>
      <c r="N3">
        <f t="shared" ca="1" si="1"/>
        <v>6</v>
      </c>
      <c r="O3">
        <f t="shared" ca="1" si="1"/>
        <v>1</v>
      </c>
      <c r="P3">
        <f t="shared" ca="1" si="1"/>
        <v>9</v>
      </c>
      <c r="Q3">
        <f t="shared" ca="1" si="1"/>
        <v>8</v>
      </c>
      <c r="R3">
        <f t="shared" ca="1" si="1"/>
        <v>4</v>
      </c>
      <c r="S3">
        <f t="shared" ca="1" si="1"/>
        <v>5</v>
      </c>
      <c r="T3">
        <f t="shared" ca="1" si="1"/>
        <v>2</v>
      </c>
      <c r="U3">
        <f t="shared" ca="1" si="1"/>
        <v>2</v>
      </c>
      <c r="V3">
        <f t="shared" ca="1" si="1"/>
        <v>4</v>
      </c>
      <c r="W3">
        <f t="shared" ca="1" si="1"/>
        <v>10</v>
      </c>
      <c r="X3">
        <f t="shared" ca="1" si="1"/>
        <v>6</v>
      </c>
      <c r="Y3">
        <f t="shared" ca="1" si="1"/>
        <v>8</v>
      </c>
      <c r="Z3">
        <f t="shared" ca="1" si="1"/>
        <v>2</v>
      </c>
      <c r="AA3">
        <f t="shared" ca="1" si="1"/>
        <v>7</v>
      </c>
      <c r="AB3">
        <f t="shared" ca="1" si="1"/>
        <v>1</v>
      </c>
      <c r="AC3">
        <f t="shared" ca="1" si="1"/>
        <v>6</v>
      </c>
      <c r="AD3">
        <f t="shared" ca="1" si="1"/>
        <v>4</v>
      </c>
      <c r="AE3">
        <f t="shared" ca="1" si="1"/>
        <v>2</v>
      </c>
      <c r="AF3">
        <f t="shared" ca="1" si="1"/>
        <v>5</v>
      </c>
      <c r="AH3" s="25">
        <f ca="1">IF(SUM($C3:$AG3)&gt;0,SUM($C3:$AG3),"")</f>
        <v>137</v>
      </c>
      <c r="AI3">
        <v>40</v>
      </c>
      <c r="AJ3">
        <v>80</v>
      </c>
      <c r="AK3">
        <f>AJ3-AI3</f>
        <v>40</v>
      </c>
      <c r="AL3" s="15">
        <f ca="1">AJ3*AH3</f>
        <v>10960</v>
      </c>
      <c r="AM3" s="15">
        <f ca="1">AK3*AH3</f>
        <v>5480</v>
      </c>
      <c r="AO3" s="7" t="s">
        <v>84</v>
      </c>
      <c r="AP3" s="4" t="e">
        <f>DATE(AP2,MONTH(AP1&amp;1),1)</f>
        <v>#VALUE!</v>
      </c>
    </row>
    <row r="4" spans="1:42">
      <c r="A4" s="27"/>
      <c r="B4" t="s">
        <v>20</v>
      </c>
      <c r="C4">
        <f t="shared" ref="C4:R19" ca="1" si="2">RANDBETWEEN(1,10)</f>
        <v>6</v>
      </c>
      <c r="D4">
        <f t="shared" ca="1" si="2"/>
        <v>6</v>
      </c>
      <c r="E4">
        <f t="shared" ca="1" si="2"/>
        <v>10</v>
      </c>
      <c r="F4">
        <f t="shared" ca="1" si="2"/>
        <v>7</v>
      </c>
      <c r="G4">
        <f t="shared" ca="1" si="2"/>
        <v>2</v>
      </c>
      <c r="H4">
        <f t="shared" ca="1" si="2"/>
        <v>5</v>
      </c>
      <c r="I4">
        <f t="shared" ca="1" si="2"/>
        <v>6</v>
      </c>
      <c r="J4">
        <f t="shared" ca="1" si="2"/>
        <v>8</v>
      </c>
      <c r="K4">
        <f t="shared" ca="1" si="2"/>
        <v>6</v>
      </c>
      <c r="L4">
        <f t="shared" ca="1" si="2"/>
        <v>10</v>
      </c>
      <c r="M4">
        <f t="shared" ca="1" si="2"/>
        <v>9</v>
      </c>
      <c r="N4">
        <f t="shared" ca="1" si="2"/>
        <v>6</v>
      </c>
      <c r="O4">
        <f t="shared" ca="1" si="2"/>
        <v>2</v>
      </c>
      <c r="P4">
        <f t="shared" ca="1" si="2"/>
        <v>2</v>
      </c>
      <c r="Q4">
        <f t="shared" ca="1" si="2"/>
        <v>2</v>
      </c>
      <c r="R4">
        <f t="shared" ca="1" si="2"/>
        <v>3</v>
      </c>
      <c r="S4">
        <f t="shared" ca="1" si="1"/>
        <v>1</v>
      </c>
      <c r="T4">
        <f t="shared" ca="1" si="1"/>
        <v>9</v>
      </c>
      <c r="U4">
        <f t="shared" ca="1" si="1"/>
        <v>2</v>
      </c>
      <c r="V4">
        <f t="shared" ca="1" si="1"/>
        <v>3</v>
      </c>
      <c r="W4">
        <f t="shared" ca="1" si="1"/>
        <v>9</v>
      </c>
      <c r="X4">
        <f t="shared" ca="1" si="1"/>
        <v>10</v>
      </c>
      <c r="Y4">
        <f t="shared" ca="1" si="1"/>
        <v>9</v>
      </c>
      <c r="Z4">
        <f t="shared" ca="1" si="1"/>
        <v>1</v>
      </c>
      <c r="AA4">
        <f t="shared" ca="1" si="1"/>
        <v>2</v>
      </c>
      <c r="AB4">
        <f t="shared" ca="1" si="1"/>
        <v>2</v>
      </c>
      <c r="AC4">
        <f t="shared" ca="1" si="1"/>
        <v>5</v>
      </c>
      <c r="AD4">
        <f t="shared" ca="1" si="1"/>
        <v>10</v>
      </c>
      <c r="AE4">
        <f t="shared" ca="1" si="1"/>
        <v>1</v>
      </c>
      <c r="AF4">
        <f t="shared" ca="1" si="1"/>
        <v>3</v>
      </c>
      <c r="AH4" s="25">
        <f ca="1">IF(SUM($C4:$AG4)&gt;0,SUM($C4:$AG4),"")</f>
        <v>157</v>
      </c>
      <c r="AI4">
        <v>7</v>
      </c>
      <c r="AJ4">
        <v>15</v>
      </c>
      <c r="AK4">
        <f t="shared" ref="AK4:AK57" si="3">AJ4-AI4</f>
        <v>8</v>
      </c>
      <c r="AL4" s="15">
        <f t="shared" ref="AL4:AL57" ca="1" si="4">AJ4*AH4</f>
        <v>2355</v>
      </c>
      <c r="AM4" s="15">
        <f t="shared" ref="AM4:AM57" ca="1" si="5">AK4*AH4</f>
        <v>1256</v>
      </c>
      <c r="AO4" s="7" t="s">
        <v>85</v>
      </c>
      <c r="AP4" s="4" t="e">
        <f>EOMONTH(AP3,0)</f>
        <v>#VALUE!</v>
      </c>
    </row>
    <row r="5" spans="1:42">
      <c r="A5" s="27"/>
      <c r="B5" t="s">
        <v>21</v>
      </c>
      <c r="C5">
        <f t="shared" ca="1" si="2"/>
        <v>1</v>
      </c>
      <c r="D5">
        <f t="shared" ca="1" si="1"/>
        <v>6</v>
      </c>
      <c r="E5">
        <f t="shared" ca="1" si="1"/>
        <v>5</v>
      </c>
      <c r="F5">
        <f t="shared" ca="1" si="1"/>
        <v>4</v>
      </c>
      <c r="G5">
        <f t="shared" ca="1" si="1"/>
        <v>10</v>
      </c>
      <c r="H5">
        <f t="shared" ca="1" si="1"/>
        <v>2</v>
      </c>
      <c r="I5">
        <f t="shared" ca="1" si="1"/>
        <v>5</v>
      </c>
      <c r="J5">
        <f t="shared" ca="1" si="1"/>
        <v>2</v>
      </c>
      <c r="K5">
        <f t="shared" ca="1" si="1"/>
        <v>10</v>
      </c>
      <c r="L5">
        <f t="shared" ca="1" si="1"/>
        <v>2</v>
      </c>
      <c r="M5">
        <f t="shared" ca="1" si="1"/>
        <v>9</v>
      </c>
      <c r="N5">
        <f t="shared" ca="1" si="1"/>
        <v>9</v>
      </c>
      <c r="O5">
        <f t="shared" ca="1" si="1"/>
        <v>4</v>
      </c>
      <c r="P5">
        <f t="shared" ca="1" si="1"/>
        <v>10</v>
      </c>
      <c r="Q5">
        <f t="shared" ca="1" si="1"/>
        <v>6</v>
      </c>
      <c r="R5">
        <f t="shared" ca="1" si="1"/>
        <v>7</v>
      </c>
      <c r="S5">
        <f t="shared" ca="1" si="1"/>
        <v>10</v>
      </c>
      <c r="T5">
        <f t="shared" ca="1" si="1"/>
        <v>1</v>
      </c>
      <c r="U5">
        <f t="shared" ca="1" si="1"/>
        <v>6</v>
      </c>
      <c r="V5">
        <f t="shared" ca="1" si="1"/>
        <v>1</v>
      </c>
      <c r="W5">
        <f t="shared" ca="1" si="1"/>
        <v>8</v>
      </c>
      <c r="X5">
        <f t="shared" ca="1" si="1"/>
        <v>3</v>
      </c>
      <c r="Y5">
        <f t="shared" ca="1" si="1"/>
        <v>3</v>
      </c>
      <c r="Z5">
        <f t="shared" ca="1" si="1"/>
        <v>7</v>
      </c>
      <c r="AA5">
        <f t="shared" ca="1" si="1"/>
        <v>8</v>
      </c>
      <c r="AB5">
        <f t="shared" ca="1" si="1"/>
        <v>7</v>
      </c>
      <c r="AC5">
        <f t="shared" ca="1" si="1"/>
        <v>8</v>
      </c>
      <c r="AD5">
        <f t="shared" ca="1" si="1"/>
        <v>8</v>
      </c>
      <c r="AE5">
        <f t="shared" ca="1" si="1"/>
        <v>6</v>
      </c>
      <c r="AF5">
        <f t="shared" ca="1" si="1"/>
        <v>4</v>
      </c>
      <c r="AH5" s="25">
        <f t="shared" ref="AH5:AH57" ca="1" si="6">IF(SUM($C5:$AG5)&gt;0,SUM($C5:$AG5),"")</f>
        <v>172</v>
      </c>
      <c r="AI5">
        <v>5</v>
      </c>
      <c r="AJ5">
        <v>10</v>
      </c>
      <c r="AK5">
        <f t="shared" si="3"/>
        <v>5</v>
      </c>
      <c r="AL5" s="15">
        <f t="shared" ca="1" si="4"/>
        <v>1720</v>
      </c>
      <c r="AM5" s="15">
        <f t="shared" ca="1" si="5"/>
        <v>860</v>
      </c>
    </row>
    <row r="6" spans="1:42">
      <c r="A6" s="27"/>
      <c r="B6" t="s">
        <v>23</v>
      </c>
      <c r="C6">
        <f t="shared" ca="1" si="2"/>
        <v>9</v>
      </c>
      <c r="D6">
        <f t="shared" ca="1" si="1"/>
        <v>1</v>
      </c>
      <c r="E6">
        <f t="shared" ca="1" si="1"/>
        <v>7</v>
      </c>
      <c r="F6">
        <f t="shared" ca="1" si="1"/>
        <v>1</v>
      </c>
      <c r="G6">
        <f t="shared" ca="1" si="1"/>
        <v>6</v>
      </c>
      <c r="H6">
        <f t="shared" ca="1" si="1"/>
        <v>10</v>
      </c>
      <c r="I6">
        <f t="shared" ca="1" si="1"/>
        <v>5</v>
      </c>
      <c r="J6">
        <f t="shared" ca="1" si="1"/>
        <v>10</v>
      </c>
      <c r="K6">
        <f t="shared" ca="1" si="1"/>
        <v>10</v>
      </c>
      <c r="L6">
        <f t="shared" ca="1" si="1"/>
        <v>10</v>
      </c>
      <c r="M6">
        <f t="shared" ca="1" si="1"/>
        <v>7</v>
      </c>
      <c r="N6">
        <f t="shared" ca="1" si="1"/>
        <v>10</v>
      </c>
      <c r="O6">
        <f t="shared" ca="1" si="1"/>
        <v>6</v>
      </c>
      <c r="P6">
        <f t="shared" ca="1" si="1"/>
        <v>3</v>
      </c>
      <c r="Q6">
        <f t="shared" ca="1" si="1"/>
        <v>3</v>
      </c>
      <c r="R6">
        <f t="shared" ca="1" si="1"/>
        <v>2</v>
      </c>
      <c r="S6">
        <f t="shared" ca="1" si="1"/>
        <v>5</v>
      </c>
      <c r="T6">
        <f t="shared" ca="1" si="1"/>
        <v>6</v>
      </c>
      <c r="U6">
        <f t="shared" ca="1" si="1"/>
        <v>7</v>
      </c>
      <c r="V6">
        <f t="shared" ca="1" si="1"/>
        <v>5</v>
      </c>
      <c r="W6">
        <f t="shared" ca="1" si="1"/>
        <v>7</v>
      </c>
      <c r="X6">
        <f t="shared" ca="1" si="1"/>
        <v>2</v>
      </c>
      <c r="Y6">
        <f t="shared" ca="1" si="1"/>
        <v>1</v>
      </c>
      <c r="Z6">
        <f t="shared" ca="1" si="1"/>
        <v>4</v>
      </c>
      <c r="AA6">
        <f t="shared" ca="1" si="1"/>
        <v>4</v>
      </c>
      <c r="AB6">
        <f t="shared" ca="1" si="1"/>
        <v>4</v>
      </c>
      <c r="AC6">
        <f t="shared" ca="1" si="1"/>
        <v>10</v>
      </c>
      <c r="AD6">
        <f t="shared" ca="1" si="1"/>
        <v>7</v>
      </c>
      <c r="AE6">
        <f t="shared" ca="1" si="1"/>
        <v>2</v>
      </c>
      <c r="AF6">
        <f t="shared" ca="1" si="1"/>
        <v>3</v>
      </c>
      <c r="AH6" s="25">
        <f t="shared" ca="1" si="6"/>
        <v>167</v>
      </c>
      <c r="AI6">
        <v>45</v>
      </c>
      <c r="AJ6">
        <v>80</v>
      </c>
      <c r="AK6">
        <f t="shared" si="3"/>
        <v>35</v>
      </c>
      <c r="AL6" s="15">
        <f t="shared" ca="1" si="4"/>
        <v>13360</v>
      </c>
      <c r="AM6" s="15">
        <f t="shared" ca="1" si="5"/>
        <v>5845</v>
      </c>
    </row>
    <row r="7" spans="1:42">
      <c r="A7" s="27"/>
      <c r="B7" t="s">
        <v>24</v>
      </c>
      <c r="C7">
        <f t="shared" ca="1" si="2"/>
        <v>8</v>
      </c>
      <c r="D7">
        <f t="shared" ca="1" si="1"/>
        <v>6</v>
      </c>
      <c r="E7">
        <f t="shared" ca="1" si="1"/>
        <v>6</v>
      </c>
      <c r="F7">
        <f t="shared" ca="1" si="1"/>
        <v>7</v>
      </c>
      <c r="G7">
        <f t="shared" ca="1" si="1"/>
        <v>3</v>
      </c>
      <c r="H7">
        <f t="shared" ca="1" si="1"/>
        <v>3</v>
      </c>
      <c r="I7">
        <f t="shared" ca="1" si="1"/>
        <v>9</v>
      </c>
      <c r="J7">
        <f t="shared" ca="1" si="1"/>
        <v>3</v>
      </c>
      <c r="K7">
        <f t="shared" ca="1" si="1"/>
        <v>1</v>
      </c>
      <c r="L7">
        <f t="shared" ca="1" si="1"/>
        <v>4</v>
      </c>
      <c r="M7">
        <f t="shared" ca="1" si="1"/>
        <v>9</v>
      </c>
      <c r="N7">
        <f t="shared" ca="1" si="1"/>
        <v>7</v>
      </c>
      <c r="O7">
        <f t="shared" ca="1" si="1"/>
        <v>5</v>
      </c>
      <c r="P7">
        <f t="shared" ca="1" si="1"/>
        <v>6</v>
      </c>
      <c r="Q7">
        <f t="shared" ca="1" si="1"/>
        <v>8</v>
      </c>
      <c r="R7">
        <f t="shared" ca="1" si="1"/>
        <v>5</v>
      </c>
      <c r="S7">
        <f t="shared" ca="1" si="1"/>
        <v>7</v>
      </c>
      <c r="T7">
        <f t="shared" ca="1" si="1"/>
        <v>3</v>
      </c>
      <c r="U7">
        <f t="shared" ca="1" si="1"/>
        <v>9</v>
      </c>
      <c r="V7">
        <f t="shared" ca="1" si="1"/>
        <v>7</v>
      </c>
      <c r="W7">
        <f t="shared" ca="1" si="1"/>
        <v>2</v>
      </c>
      <c r="X7">
        <f t="shared" ca="1" si="1"/>
        <v>9</v>
      </c>
      <c r="Y7">
        <f t="shared" ca="1" si="1"/>
        <v>9</v>
      </c>
      <c r="Z7">
        <f t="shared" ca="1" si="1"/>
        <v>10</v>
      </c>
      <c r="AA7">
        <f t="shared" ca="1" si="1"/>
        <v>4</v>
      </c>
      <c r="AB7">
        <f t="shared" ca="1" si="1"/>
        <v>1</v>
      </c>
      <c r="AC7">
        <f t="shared" ca="1" si="1"/>
        <v>1</v>
      </c>
      <c r="AD7">
        <f t="shared" ca="1" si="1"/>
        <v>7</v>
      </c>
      <c r="AE7">
        <f t="shared" ca="1" si="1"/>
        <v>8</v>
      </c>
      <c r="AF7">
        <f t="shared" ca="1" si="1"/>
        <v>4</v>
      </c>
      <c r="AH7" s="25">
        <f t="shared" ca="1" si="6"/>
        <v>171</v>
      </c>
      <c r="AI7">
        <v>392</v>
      </c>
      <c r="AJ7">
        <v>420</v>
      </c>
      <c r="AK7">
        <f t="shared" si="3"/>
        <v>28</v>
      </c>
      <c r="AL7" s="15">
        <f t="shared" ca="1" si="4"/>
        <v>71820</v>
      </c>
      <c r="AM7" s="15">
        <f t="shared" ca="1" si="5"/>
        <v>4788</v>
      </c>
      <c r="AO7" s="1" t="s">
        <v>86</v>
      </c>
    </row>
    <row r="8" spans="1:42">
      <c r="A8" s="27"/>
      <c r="B8" t="s">
        <v>25</v>
      </c>
      <c r="C8">
        <f t="shared" ca="1" si="2"/>
        <v>10</v>
      </c>
      <c r="D8">
        <f t="shared" ca="1" si="2"/>
        <v>4</v>
      </c>
      <c r="E8">
        <f t="shared" ca="1" si="2"/>
        <v>4</v>
      </c>
      <c r="F8">
        <f t="shared" ca="1" si="2"/>
        <v>8</v>
      </c>
      <c r="G8">
        <f t="shared" ca="1" si="2"/>
        <v>6</v>
      </c>
      <c r="H8">
        <f t="shared" ca="1" si="2"/>
        <v>1</v>
      </c>
      <c r="I8">
        <f t="shared" ca="1" si="2"/>
        <v>3</v>
      </c>
      <c r="J8">
        <f t="shared" ca="1" si="2"/>
        <v>10</v>
      </c>
      <c r="K8">
        <f t="shared" ca="1" si="2"/>
        <v>1</v>
      </c>
      <c r="L8">
        <f t="shared" ca="1" si="2"/>
        <v>5</v>
      </c>
      <c r="M8">
        <f t="shared" ca="1" si="2"/>
        <v>3</v>
      </c>
      <c r="N8">
        <f t="shared" ca="1" si="2"/>
        <v>8</v>
      </c>
      <c r="O8">
        <f t="shared" ca="1" si="2"/>
        <v>5</v>
      </c>
      <c r="P8">
        <f t="shared" ca="1" si="2"/>
        <v>6</v>
      </c>
      <c r="Q8">
        <f t="shared" ca="1" si="2"/>
        <v>1</v>
      </c>
      <c r="R8">
        <f t="shared" ca="1" si="2"/>
        <v>7</v>
      </c>
      <c r="S8">
        <f t="shared" ca="1" si="1"/>
        <v>10</v>
      </c>
      <c r="T8">
        <f t="shared" ca="1" si="1"/>
        <v>9</v>
      </c>
      <c r="U8">
        <f t="shared" ca="1" si="1"/>
        <v>7</v>
      </c>
      <c r="V8">
        <f t="shared" ca="1" si="1"/>
        <v>10</v>
      </c>
      <c r="W8">
        <f t="shared" ca="1" si="1"/>
        <v>7</v>
      </c>
      <c r="X8">
        <f t="shared" ca="1" si="1"/>
        <v>10</v>
      </c>
      <c r="Y8">
        <f t="shared" ca="1" si="1"/>
        <v>2</v>
      </c>
      <c r="Z8">
        <f t="shared" ca="1" si="1"/>
        <v>7</v>
      </c>
      <c r="AA8">
        <f t="shared" ca="1" si="1"/>
        <v>4</v>
      </c>
      <c r="AB8">
        <f t="shared" ca="1" si="1"/>
        <v>10</v>
      </c>
      <c r="AC8">
        <f t="shared" ca="1" si="1"/>
        <v>10</v>
      </c>
      <c r="AD8">
        <f t="shared" ca="1" si="1"/>
        <v>9</v>
      </c>
      <c r="AE8">
        <f t="shared" ca="1" si="1"/>
        <v>1</v>
      </c>
      <c r="AF8">
        <f t="shared" ca="1" si="1"/>
        <v>3</v>
      </c>
      <c r="AH8" s="25">
        <f t="shared" ca="1" si="6"/>
        <v>181</v>
      </c>
      <c r="AI8">
        <v>86</v>
      </c>
      <c r="AJ8">
        <v>100</v>
      </c>
      <c r="AK8">
        <f t="shared" si="3"/>
        <v>14</v>
      </c>
      <c r="AL8" s="15">
        <f t="shared" ca="1" si="4"/>
        <v>18100</v>
      </c>
      <c r="AM8" s="15">
        <f t="shared" ca="1" si="5"/>
        <v>2534</v>
      </c>
      <c r="AO8" t="s">
        <v>87</v>
      </c>
    </row>
    <row r="9" spans="1:42">
      <c r="A9" s="27"/>
      <c r="B9" t="s">
        <v>26</v>
      </c>
      <c r="C9">
        <f t="shared" ca="1" si="2"/>
        <v>7</v>
      </c>
      <c r="D9">
        <f t="shared" ca="1" si="1"/>
        <v>2</v>
      </c>
      <c r="E9">
        <f t="shared" ca="1" si="1"/>
        <v>2</v>
      </c>
      <c r="F9">
        <f t="shared" ca="1" si="1"/>
        <v>8</v>
      </c>
      <c r="G9">
        <f t="shared" ca="1" si="1"/>
        <v>2</v>
      </c>
      <c r="H9">
        <f t="shared" ca="1" si="1"/>
        <v>8</v>
      </c>
      <c r="I9">
        <f t="shared" ca="1" si="1"/>
        <v>6</v>
      </c>
      <c r="J9">
        <f t="shared" ca="1" si="1"/>
        <v>7</v>
      </c>
      <c r="K9">
        <f t="shared" ca="1" si="1"/>
        <v>10</v>
      </c>
      <c r="L9">
        <f t="shared" ca="1" si="1"/>
        <v>1</v>
      </c>
      <c r="M9">
        <f t="shared" ca="1" si="1"/>
        <v>6</v>
      </c>
      <c r="N9">
        <f t="shared" ca="1" si="1"/>
        <v>9</v>
      </c>
      <c r="O9">
        <f t="shared" ca="1" si="1"/>
        <v>3</v>
      </c>
      <c r="P9">
        <f t="shared" ca="1" si="1"/>
        <v>10</v>
      </c>
      <c r="Q9">
        <f t="shared" ca="1" si="1"/>
        <v>9</v>
      </c>
      <c r="R9">
        <f t="shared" ca="1" si="1"/>
        <v>4</v>
      </c>
      <c r="S9">
        <f t="shared" ca="1" si="1"/>
        <v>4</v>
      </c>
      <c r="T9">
        <f t="shared" ca="1" si="1"/>
        <v>4</v>
      </c>
      <c r="U9">
        <f t="shared" ca="1" si="1"/>
        <v>4</v>
      </c>
      <c r="V9">
        <f t="shared" ca="1" si="1"/>
        <v>6</v>
      </c>
      <c r="W9">
        <f t="shared" ca="1" si="1"/>
        <v>8</v>
      </c>
      <c r="X9">
        <f t="shared" ca="1" si="1"/>
        <v>3</v>
      </c>
      <c r="Y9">
        <f t="shared" ca="1" si="1"/>
        <v>2</v>
      </c>
      <c r="Z9">
        <f t="shared" ca="1" si="1"/>
        <v>10</v>
      </c>
      <c r="AA9">
        <f t="shared" ca="1" si="1"/>
        <v>8</v>
      </c>
      <c r="AB9">
        <f t="shared" ca="1" si="1"/>
        <v>6</v>
      </c>
      <c r="AC9">
        <f t="shared" ca="1" si="1"/>
        <v>10</v>
      </c>
      <c r="AD9">
        <f t="shared" ca="1" si="1"/>
        <v>1</v>
      </c>
      <c r="AE9">
        <f t="shared" ca="1" si="1"/>
        <v>5</v>
      </c>
      <c r="AF9">
        <f t="shared" ca="1" si="1"/>
        <v>9</v>
      </c>
      <c r="AH9" s="25">
        <f t="shared" ca="1" si="6"/>
        <v>174</v>
      </c>
      <c r="AI9">
        <v>271</v>
      </c>
      <c r="AJ9">
        <v>300</v>
      </c>
      <c r="AK9">
        <f t="shared" si="3"/>
        <v>29</v>
      </c>
      <c r="AL9" s="15">
        <f t="shared" ca="1" si="4"/>
        <v>52200</v>
      </c>
      <c r="AM9" s="15">
        <f t="shared" ca="1" si="5"/>
        <v>5046</v>
      </c>
      <c r="AO9" t="s">
        <v>88</v>
      </c>
      <c r="AP9" s="13">
        <f>'Attendence (Aprail)'!AL3</f>
        <v>48333.333333333336</v>
      </c>
    </row>
    <row r="10" spans="1:42">
      <c r="A10" s="27"/>
      <c r="B10" t="s">
        <v>27</v>
      </c>
      <c r="C10">
        <f t="shared" ca="1" si="2"/>
        <v>4</v>
      </c>
      <c r="D10">
        <f t="shared" ca="1" si="1"/>
        <v>3</v>
      </c>
      <c r="E10">
        <f t="shared" ca="1" si="1"/>
        <v>2</v>
      </c>
      <c r="F10">
        <f t="shared" ca="1" si="1"/>
        <v>4</v>
      </c>
      <c r="G10">
        <f t="shared" ca="1" si="1"/>
        <v>3</v>
      </c>
      <c r="H10">
        <f t="shared" ca="1" si="1"/>
        <v>8</v>
      </c>
      <c r="I10">
        <f t="shared" ca="1" si="1"/>
        <v>6</v>
      </c>
      <c r="J10">
        <f t="shared" ca="1" si="1"/>
        <v>10</v>
      </c>
      <c r="K10">
        <f t="shared" ca="1" si="1"/>
        <v>6</v>
      </c>
      <c r="L10">
        <f t="shared" ca="1" si="1"/>
        <v>6</v>
      </c>
      <c r="M10">
        <f t="shared" ca="1" si="1"/>
        <v>4</v>
      </c>
      <c r="N10">
        <f t="shared" ca="1" si="1"/>
        <v>3</v>
      </c>
      <c r="O10">
        <f t="shared" ca="1" si="1"/>
        <v>7</v>
      </c>
      <c r="P10">
        <f t="shared" ca="1" si="1"/>
        <v>8</v>
      </c>
      <c r="Q10">
        <f t="shared" ca="1" si="1"/>
        <v>6</v>
      </c>
      <c r="R10">
        <f t="shared" ca="1" si="1"/>
        <v>3</v>
      </c>
      <c r="S10">
        <f t="shared" ca="1" si="1"/>
        <v>10</v>
      </c>
      <c r="T10">
        <f t="shared" ca="1" si="1"/>
        <v>9</v>
      </c>
      <c r="U10">
        <f t="shared" ca="1" si="1"/>
        <v>10</v>
      </c>
      <c r="V10">
        <f t="shared" ca="1" si="1"/>
        <v>9</v>
      </c>
      <c r="W10">
        <f t="shared" ca="1" si="1"/>
        <v>2</v>
      </c>
      <c r="X10">
        <f t="shared" ca="1" si="1"/>
        <v>3</v>
      </c>
      <c r="Y10">
        <f t="shared" ca="1" si="1"/>
        <v>9</v>
      </c>
      <c r="Z10">
        <f t="shared" ca="1" si="1"/>
        <v>2</v>
      </c>
      <c r="AA10">
        <f t="shared" ca="1" si="1"/>
        <v>1</v>
      </c>
      <c r="AB10">
        <f t="shared" ca="1" si="1"/>
        <v>4</v>
      </c>
      <c r="AC10">
        <f t="shared" ca="1" si="1"/>
        <v>9</v>
      </c>
      <c r="AD10">
        <f t="shared" ca="1" si="1"/>
        <v>8</v>
      </c>
      <c r="AE10">
        <f t="shared" ca="1" si="1"/>
        <v>5</v>
      </c>
      <c r="AF10">
        <f t="shared" ca="1" si="1"/>
        <v>2</v>
      </c>
      <c r="AH10" s="25">
        <f t="shared" ca="1" si="6"/>
        <v>166</v>
      </c>
      <c r="AI10">
        <v>226</v>
      </c>
      <c r="AJ10">
        <v>250</v>
      </c>
      <c r="AK10">
        <f t="shared" si="3"/>
        <v>24</v>
      </c>
      <c r="AL10" s="15">
        <f t="shared" ca="1" si="4"/>
        <v>41500</v>
      </c>
      <c r="AM10" s="15">
        <f t="shared" ca="1" si="5"/>
        <v>3984</v>
      </c>
      <c r="AO10" t="s">
        <v>89</v>
      </c>
      <c r="AP10" s="13">
        <f>'Attendence (Aprail)'!AL4</f>
        <v>14000</v>
      </c>
    </row>
    <row r="11" spans="1:42">
      <c r="A11" s="27"/>
      <c r="B11" t="s">
        <v>28</v>
      </c>
      <c r="C11">
        <f t="shared" ca="1" si="2"/>
        <v>7</v>
      </c>
      <c r="D11">
        <f t="shared" ca="1" si="1"/>
        <v>8</v>
      </c>
      <c r="E11">
        <f t="shared" ca="1" si="1"/>
        <v>3</v>
      </c>
      <c r="F11">
        <f t="shared" ca="1" si="1"/>
        <v>5</v>
      </c>
      <c r="G11">
        <f t="shared" ca="1" si="1"/>
        <v>5</v>
      </c>
      <c r="H11">
        <f t="shared" ca="1" si="1"/>
        <v>1</v>
      </c>
      <c r="I11">
        <f t="shared" ca="1" si="1"/>
        <v>10</v>
      </c>
      <c r="J11">
        <f t="shared" ca="1" si="1"/>
        <v>3</v>
      </c>
      <c r="K11">
        <f t="shared" ca="1" si="1"/>
        <v>8</v>
      </c>
      <c r="L11">
        <f t="shared" ca="1" si="1"/>
        <v>4</v>
      </c>
      <c r="M11">
        <f t="shared" ca="1" si="1"/>
        <v>4</v>
      </c>
      <c r="N11">
        <f t="shared" ca="1" si="1"/>
        <v>2</v>
      </c>
      <c r="O11">
        <f t="shared" ca="1" si="1"/>
        <v>5</v>
      </c>
      <c r="P11">
        <f t="shared" ca="1" si="1"/>
        <v>4</v>
      </c>
      <c r="Q11">
        <f t="shared" ca="1" si="1"/>
        <v>2</v>
      </c>
      <c r="R11">
        <f t="shared" ca="1" si="1"/>
        <v>5</v>
      </c>
      <c r="S11">
        <f t="shared" ca="1" si="1"/>
        <v>10</v>
      </c>
      <c r="T11">
        <f t="shared" ca="1" si="1"/>
        <v>6</v>
      </c>
      <c r="U11">
        <f t="shared" ca="1" si="1"/>
        <v>2</v>
      </c>
      <c r="V11">
        <f t="shared" ca="1" si="1"/>
        <v>9</v>
      </c>
      <c r="W11">
        <f t="shared" ca="1" si="1"/>
        <v>7</v>
      </c>
      <c r="X11">
        <f t="shared" ca="1" si="1"/>
        <v>1</v>
      </c>
      <c r="Y11">
        <f t="shared" ca="1" si="1"/>
        <v>8</v>
      </c>
      <c r="Z11">
        <f t="shared" ca="1" si="1"/>
        <v>2</v>
      </c>
      <c r="AA11">
        <f t="shared" ca="1" si="1"/>
        <v>8</v>
      </c>
      <c r="AB11">
        <f t="shared" ca="1" si="1"/>
        <v>4</v>
      </c>
      <c r="AC11">
        <f t="shared" ca="1" si="1"/>
        <v>3</v>
      </c>
      <c r="AD11">
        <f t="shared" ca="1" si="1"/>
        <v>9</v>
      </c>
      <c r="AE11">
        <f t="shared" ca="1" si="1"/>
        <v>9</v>
      </c>
      <c r="AF11">
        <f t="shared" ca="1" si="1"/>
        <v>5</v>
      </c>
      <c r="AH11" s="25">
        <f t="shared" ca="1" si="6"/>
        <v>159</v>
      </c>
      <c r="AI11">
        <v>390</v>
      </c>
      <c r="AJ11">
        <v>450</v>
      </c>
      <c r="AK11">
        <f t="shared" si="3"/>
        <v>60</v>
      </c>
      <c r="AL11" s="15">
        <f t="shared" ca="1" si="4"/>
        <v>71550</v>
      </c>
      <c r="AM11" s="15">
        <f t="shared" ca="1" si="5"/>
        <v>9540</v>
      </c>
      <c r="AO11" t="s">
        <v>90</v>
      </c>
      <c r="AP11" s="13">
        <f>'Attendence (Aprail)'!AL5</f>
        <v>17400</v>
      </c>
    </row>
    <row r="12" spans="1:42">
      <c r="A12" s="27"/>
      <c r="B12" t="s">
        <v>29</v>
      </c>
      <c r="C12">
        <f t="shared" ca="1" si="2"/>
        <v>8</v>
      </c>
      <c r="D12">
        <f t="shared" ca="1" si="1"/>
        <v>4</v>
      </c>
      <c r="E12">
        <f t="shared" ca="1" si="1"/>
        <v>10</v>
      </c>
      <c r="F12">
        <f t="shared" ca="1" si="1"/>
        <v>1</v>
      </c>
      <c r="G12">
        <f t="shared" ca="1" si="1"/>
        <v>5</v>
      </c>
      <c r="H12">
        <f t="shared" ca="1" si="1"/>
        <v>3</v>
      </c>
      <c r="I12">
        <f t="shared" ca="1" si="1"/>
        <v>3</v>
      </c>
      <c r="J12">
        <f t="shared" ca="1" si="1"/>
        <v>1</v>
      </c>
      <c r="K12">
        <f t="shared" ca="1" si="1"/>
        <v>4</v>
      </c>
      <c r="L12">
        <f t="shared" ca="1" si="1"/>
        <v>8</v>
      </c>
      <c r="M12">
        <f t="shared" ca="1" si="1"/>
        <v>7</v>
      </c>
      <c r="N12">
        <f t="shared" ca="1" si="1"/>
        <v>9</v>
      </c>
      <c r="O12">
        <f t="shared" ca="1" si="1"/>
        <v>8</v>
      </c>
      <c r="P12">
        <f t="shared" ca="1" si="1"/>
        <v>2</v>
      </c>
      <c r="Q12">
        <f t="shared" ca="1" si="1"/>
        <v>1</v>
      </c>
      <c r="R12">
        <f t="shared" ca="1" si="1"/>
        <v>1</v>
      </c>
      <c r="S12">
        <f t="shared" ref="S12:AF27" ca="1" si="7">RANDBETWEEN(1,10)</f>
        <v>7</v>
      </c>
      <c r="T12">
        <f t="shared" ca="1" si="7"/>
        <v>3</v>
      </c>
      <c r="U12">
        <f t="shared" ca="1" si="7"/>
        <v>4</v>
      </c>
      <c r="V12">
        <f t="shared" ca="1" si="7"/>
        <v>2</v>
      </c>
      <c r="W12">
        <f t="shared" ca="1" si="7"/>
        <v>3</v>
      </c>
      <c r="X12">
        <f t="shared" ca="1" si="7"/>
        <v>9</v>
      </c>
      <c r="Y12">
        <f t="shared" ca="1" si="7"/>
        <v>7</v>
      </c>
      <c r="Z12">
        <f t="shared" ca="1" si="7"/>
        <v>10</v>
      </c>
      <c r="AA12">
        <f t="shared" ca="1" si="7"/>
        <v>8</v>
      </c>
      <c r="AB12">
        <f t="shared" ca="1" si="7"/>
        <v>5</v>
      </c>
      <c r="AC12">
        <f t="shared" ca="1" si="7"/>
        <v>9</v>
      </c>
      <c r="AD12">
        <f t="shared" ca="1" si="7"/>
        <v>3</v>
      </c>
      <c r="AE12">
        <f t="shared" ca="1" si="7"/>
        <v>1</v>
      </c>
      <c r="AF12">
        <f t="shared" ca="1" si="7"/>
        <v>9</v>
      </c>
      <c r="AH12" s="25">
        <f t="shared" ca="1" si="6"/>
        <v>155</v>
      </c>
      <c r="AI12">
        <v>379</v>
      </c>
      <c r="AJ12">
        <v>430</v>
      </c>
      <c r="AK12">
        <f t="shared" si="3"/>
        <v>51</v>
      </c>
      <c r="AL12" s="15">
        <f t="shared" ca="1" si="4"/>
        <v>66650</v>
      </c>
      <c r="AM12" s="15">
        <f t="shared" ca="1" si="5"/>
        <v>7905</v>
      </c>
      <c r="AO12" t="s">
        <v>91</v>
      </c>
      <c r="AP12" s="13">
        <f>'Attendence (Aprail)'!AL6</f>
        <v>9666.6666666666661</v>
      </c>
    </row>
    <row r="13" spans="1:42">
      <c r="A13" s="27"/>
      <c r="B13" t="s">
        <v>30</v>
      </c>
      <c r="C13">
        <f t="shared" ca="1" si="2"/>
        <v>9</v>
      </c>
      <c r="D13">
        <f t="shared" ca="1" si="2"/>
        <v>1</v>
      </c>
      <c r="E13">
        <f t="shared" ca="1" si="2"/>
        <v>2</v>
      </c>
      <c r="F13">
        <f t="shared" ca="1" si="2"/>
        <v>8</v>
      </c>
      <c r="G13">
        <f t="shared" ca="1" si="2"/>
        <v>3</v>
      </c>
      <c r="H13">
        <f t="shared" ca="1" si="2"/>
        <v>4</v>
      </c>
      <c r="I13">
        <f t="shared" ca="1" si="2"/>
        <v>10</v>
      </c>
      <c r="J13">
        <f t="shared" ca="1" si="2"/>
        <v>5</v>
      </c>
      <c r="K13">
        <f t="shared" ca="1" si="2"/>
        <v>5</v>
      </c>
      <c r="L13">
        <f t="shared" ca="1" si="2"/>
        <v>8</v>
      </c>
      <c r="M13">
        <f t="shared" ca="1" si="2"/>
        <v>7</v>
      </c>
      <c r="N13">
        <f t="shared" ca="1" si="2"/>
        <v>4</v>
      </c>
      <c r="O13">
        <f t="shared" ca="1" si="2"/>
        <v>9</v>
      </c>
      <c r="P13">
        <f t="shared" ca="1" si="2"/>
        <v>6</v>
      </c>
      <c r="Q13">
        <f t="shared" ca="1" si="2"/>
        <v>2</v>
      </c>
      <c r="R13">
        <f t="shared" ca="1" si="2"/>
        <v>4</v>
      </c>
      <c r="S13">
        <f t="shared" ca="1" si="7"/>
        <v>6</v>
      </c>
      <c r="T13">
        <f t="shared" ca="1" si="7"/>
        <v>9</v>
      </c>
      <c r="U13">
        <f t="shared" ca="1" si="7"/>
        <v>7</v>
      </c>
      <c r="V13">
        <f t="shared" ca="1" si="7"/>
        <v>6</v>
      </c>
      <c r="W13">
        <f t="shared" ca="1" si="7"/>
        <v>8</v>
      </c>
      <c r="X13">
        <f t="shared" ca="1" si="7"/>
        <v>4</v>
      </c>
      <c r="Y13">
        <f t="shared" ca="1" si="7"/>
        <v>4</v>
      </c>
      <c r="Z13">
        <f t="shared" ca="1" si="7"/>
        <v>6</v>
      </c>
      <c r="AA13">
        <f t="shared" ca="1" si="7"/>
        <v>2</v>
      </c>
      <c r="AB13">
        <f t="shared" ca="1" si="7"/>
        <v>7</v>
      </c>
      <c r="AC13">
        <f t="shared" ca="1" si="7"/>
        <v>5</v>
      </c>
      <c r="AD13">
        <f t="shared" ca="1" si="7"/>
        <v>9</v>
      </c>
      <c r="AE13">
        <f t="shared" ca="1" si="7"/>
        <v>3</v>
      </c>
      <c r="AF13">
        <f t="shared" ca="1" si="7"/>
        <v>6</v>
      </c>
      <c r="AH13" s="25">
        <f t="shared" ca="1" si="6"/>
        <v>169</v>
      </c>
      <c r="AI13">
        <v>368</v>
      </c>
      <c r="AJ13">
        <v>435</v>
      </c>
      <c r="AK13">
        <f t="shared" si="3"/>
        <v>67</v>
      </c>
      <c r="AL13" s="15">
        <f t="shared" ca="1" si="4"/>
        <v>73515</v>
      </c>
      <c r="AM13" s="15">
        <f t="shared" ca="1" si="5"/>
        <v>11323</v>
      </c>
      <c r="AO13" t="s">
        <v>92</v>
      </c>
      <c r="AP13" s="13">
        <v>10000</v>
      </c>
    </row>
    <row r="14" spans="1:42">
      <c r="A14" s="27"/>
      <c r="B14" t="s">
        <v>31</v>
      </c>
      <c r="C14">
        <f t="shared" ca="1" si="2"/>
        <v>3</v>
      </c>
      <c r="D14">
        <f t="shared" ca="1" si="2"/>
        <v>3</v>
      </c>
      <c r="E14">
        <f t="shared" ca="1" si="2"/>
        <v>9</v>
      </c>
      <c r="F14">
        <f t="shared" ca="1" si="2"/>
        <v>10</v>
      </c>
      <c r="G14">
        <f t="shared" ca="1" si="2"/>
        <v>10</v>
      </c>
      <c r="H14">
        <f t="shared" ca="1" si="2"/>
        <v>2</v>
      </c>
      <c r="I14">
        <f t="shared" ca="1" si="2"/>
        <v>3</v>
      </c>
      <c r="J14">
        <f t="shared" ca="1" si="2"/>
        <v>7</v>
      </c>
      <c r="K14">
        <f t="shared" ca="1" si="2"/>
        <v>2</v>
      </c>
      <c r="L14">
        <f t="shared" ca="1" si="2"/>
        <v>7</v>
      </c>
      <c r="M14">
        <f t="shared" ca="1" si="2"/>
        <v>5</v>
      </c>
      <c r="N14">
        <f t="shared" ca="1" si="2"/>
        <v>3</v>
      </c>
      <c r="O14">
        <f t="shared" ca="1" si="2"/>
        <v>1</v>
      </c>
      <c r="P14">
        <f t="shared" ca="1" si="2"/>
        <v>3</v>
      </c>
      <c r="Q14">
        <f t="shared" ca="1" si="2"/>
        <v>3</v>
      </c>
      <c r="R14">
        <f t="shared" ca="1" si="2"/>
        <v>2</v>
      </c>
      <c r="S14">
        <f t="shared" ca="1" si="7"/>
        <v>7</v>
      </c>
      <c r="T14">
        <f t="shared" ca="1" si="7"/>
        <v>9</v>
      </c>
      <c r="U14">
        <f t="shared" ca="1" si="7"/>
        <v>8</v>
      </c>
      <c r="V14">
        <f t="shared" ca="1" si="7"/>
        <v>5</v>
      </c>
      <c r="W14">
        <f t="shared" ca="1" si="7"/>
        <v>7</v>
      </c>
      <c r="X14">
        <f t="shared" ca="1" si="7"/>
        <v>5</v>
      </c>
      <c r="Y14">
        <f t="shared" ca="1" si="7"/>
        <v>4</v>
      </c>
      <c r="Z14">
        <f t="shared" ca="1" si="7"/>
        <v>7</v>
      </c>
      <c r="AA14">
        <f t="shared" ca="1" si="7"/>
        <v>5</v>
      </c>
      <c r="AB14">
        <f t="shared" ca="1" si="7"/>
        <v>5</v>
      </c>
      <c r="AC14">
        <f t="shared" ca="1" si="7"/>
        <v>3</v>
      </c>
      <c r="AD14">
        <f t="shared" ca="1" si="7"/>
        <v>7</v>
      </c>
      <c r="AE14">
        <f t="shared" ca="1" si="7"/>
        <v>2</v>
      </c>
      <c r="AF14">
        <f t="shared" ca="1" si="7"/>
        <v>6</v>
      </c>
      <c r="AH14" s="25">
        <f t="shared" ca="1" si="6"/>
        <v>153</v>
      </c>
      <c r="AI14">
        <v>88</v>
      </c>
      <c r="AJ14">
        <v>99</v>
      </c>
      <c r="AK14">
        <f t="shared" si="3"/>
        <v>11</v>
      </c>
      <c r="AL14" s="15">
        <f t="shared" ca="1" si="4"/>
        <v>15147</v>
      </c>
      <c r="AM14" s="15">
        <f t="shared" ca="1" si="5"/>
        <v>1683</v>
      </c>
      <c r="AO14" t="s">
        <v>93</v>
      </c>
      <c r="AP14" s="13">
        <v>2000</v>
      </c>
    </row>
    <row r="15" spans="1:42">
      <c r="A15" s="27"/>
      <c r="B15" t="s">
        <v>32</v>
      </c>
      <c r="C15">
        <f t="shared" ca="1" si="2"/>
        <v>7</v>
      </c>
      <c r="D15">
        <f t="shared" ca="1" si="2"/>
        <v>4</v>
      </c>
      <c r="E15">
        <f t="shared" ca="1" si="2"/>
        <v>9</v>
      </c>
      <c r="F15">
        <f t="shared" ca="1" si="2"/>
        <v>4</v>
      </c>
      <c r="G15">
        <f t="shared" ca="1" si="2"/>
        <v>7</v>
      </c>
      <c r="H15">
        <f t="shared" ca="1" si="2"/>
        <v>9</v>
      </c>
      <c r="I15">
        <f t="shared" ca="1" si="2"/>
        <v>10</v>
      </c>
      <c r="J15">
        <f t="shared" ca="1" si="2"/>
        <v>7</v>
      </c>
      <c r="K15">
        <f t="shared" ca="1" si="2"/>
        <v>3</v>
      </c>
      <c r="L15">
        <f t="shared" ca="1" si="2"/>
        <v>1</v>
      </c>
      <c r="M15">
        <f t="shared" ca="1" si="2"/>
        <v>4</v>
      </c>
      <c r="N15">
        <f t="shared" ca="1" si="2"/>
        <v>2</v>
      </c>
      <c r="O15">
        <f t="shared" ca="1" si="2"/>
        <v>4</v>
      </c>
      <c r="P15">
        <f t="shared" ca="1" si="2"/>
        <v>10</v>
      </c>
      <c r="Q15">
        <f t="shared" ca="1" si="2"/>
        <v>8</v>
      </c>
      <c r="R15">
        <f t="shared" ca="1" si="2"/>
        <v>9</v>
      </c>
      <c r="S15">
        <f t="shared" ca="1" si="7"/>
        <v>10</v>
      </c>
      <c r="T15">
        <f t="shared" ca="1" si="7"/>
        <v>3</v>
      </c>
      <c r="U15">
        <f t="shared" ca="1" si="7"/>
        <v>8</v>
      </c>
      <c r="V15">
        <f t="shared" ca="1" si="7"/>
        <v>1</v>
      </c>
      <c r="W15">
        <f t="shared" ca="1" si="7"/>
        <v>10</v>
      </c>
      <c r="X15">
        <f t="shared" ca="1" si="7"/>
        <v>10</v>
      </c>
      <c r="Y15">
        <f t="shared" ca="1" si="7"/>
        <v>6</v>
      </c>
      <c r="Z15">
        <f t="shared" ca="1" si="7"/>
        <v>3</v>
      </c>
      <c r="AA15">
        <f t="shared" ca="1" si="7"/>
        <v>8</v>
      </c>
      <c r="AB15">
        <f t="shared" ca="1" si="7"/>
        <v>4</v>
      </c>
      <c r="AC15">
        <f t="shared" ca="1" si="7"/>
        <v>7</v>
      </c>
      <c r="AD15">
        <f t="shared" ca="1" si="7"/>
        <v>8</v>
      </c>
      <c r="AE15">
        <f t="shared" ca="1" si="7"/>
        <v>4</v>
      </c>
      <c r="AF15">
        <f t="shared" ca="1" si="7"/>
        <v>3</v>
      </c>
      <c r="AH15" s="25">
        <f t="shared" ca="1" si="6"/>
        <v>183</v>
      </c>
      <c r="AI15">
        <v>391</v>
      </c>
      <c r="AJ15">
        <v>500</v>
      </c>
      <c r="AK15">
        <f t="shared" si="3"/>
        <v>109</v>
      </c>
      <c r="AL15" s="15">
        <f t="shared" ca="1" si="4"/>
        <v>91500</v>
      </c>
      <c r="AM15" s="15">
        <f t="shared" ca="1" si="5"/>
        <v>19947</v>
      </c>
      <c r="AO15" t="s">
        <v>80</v>
      </c>
      <c r="AP15" s="13">
        <f ca="1">SUM(AM3:AM57)</f>
        <v>282392</v>
      </c>
    </row>
    <row r="16" spans="1:42">
      <c r="A16" s="27"/>
      <c r="B16" t="s">
        <v>33</v>
      </c>
      <c r="C16">
        <f t="shared" ca="1" si="2"/>
        <v>10</v>
      </c>
      <c r="D16">
        <f t="shared" ca="1" si="2"/>
        <v>8</v>
      </c>
      <c r="E16">
        <f t="shared" ca="1" si="2"/>
        <v>6</v>
      </c>
      <c r="F16">
        <f t="shared" ca="1" si="2"/>
        <v>4</v>
      </c>
      <c r="G16">
        <f t="shared" ca="1" si="2"/>
        <v>10</v>
      </c>
      <c r="H16">
        <f t="shared" ca="1" si="2"/>
        <v>5</v>
      </c>
      <c r="I16">
        <f t="shared" ca="1" si="2"/>
        <v>7</v>
      </c>
      <c r="J16">
        <f t="shared" ca="1" si="2"/>
        <v>9</v>
      </c>
      <c r="K16">
        <f t="shared" ca="1" si="2"/>
        <v>3</v>
      </c>
      <c r="L16">
        <f t="shared" ca="1" si="2"/>
        <v>3</v>
      </c>
      <c r="M16">
        <f t="shared" ca="1" si="2"/>
        <v>1</v>
      </c>
      <c r="N16">
        <f t="shared" ca="1" si="2"/>
        <v>1</v>
      </c>
      <c r="O16">
        <f t="shared" ca="1" si="2"/>
        <v>9</v>
      </c>
      <c r="P16">
        <f t="shared" ca="1" si="2"/>
        <v>10</v>
      </c>
      <c r="Q16">
        <f t="shared" ca="1" si="2"/>
        <v>1</v>
      </c>
      <c r="R16">
        <f t="shared" ca="1" si="2"/>
        <v>6</v>
      </c>
      <c r="S16">
        <f t="shared" ca="1" si="7"/>
        <v>9</v>
      </c>
      <c r="T16">
        <f t="shared" ca="1" si="7"/>
        <v>10</v>
      </c>
      <c r="U16">
        <f t="shared" ca="1" si="7"/>
        <v>1</v>
      </c>
      <c r="V16">
        <f t="shared" ca="1" si="7"/>
        <v>3</v>
      </c>
      <c r="W16">
        <f t="shared" ca="1" si="7"/>
        <v>3</v>
      </c>
      <c r="X16">
        <f t="shared" ca="1" si="7"/>
        <v>8</v>
      </c>
      <c r="Y16">
        <f t="shared" ca="1" si="7"/>
        <v>4</v>
      </c>
      <c r="Z16">
        <f t="shared" ca="1" si="7"/>
        <v>3</v>
      </c>
      <c r="AA16">
        <f t="shared" ca="1" si="7"/>
        <v>7</v>
      </c>
      <c r="AB16">
        <f t="shared" ca="1" si="7"/>
        <v>1</v>
      </c>
      <c r="AC16">
        <f t="shared" ca="1" si="7"/>
        <v>3</v>
      </c>
      <c r="AD16">
        <f t="shared" ca="1" si="7"/>
        <v>7</v>
      </c>
      <c r="AE16">
        <f t="shared" ca="1" si="7"/>
        <v>8</v>
      </c>
      <c r="AF16">
        <f t="shared" ca="1" si="7"/>
        <v>2</v>
      </c>
      <c r="AH16" s="25">
        <f t="shared" ca="1" si="6"/>
        <v>162</v>
      </c>
      <c r="AI16">
        <v>261</v>
      </c>
      <c r="AJ16">
        <v>300</v>
      </c>
      <c r="AK16">
        <f t="shared" si="3"/>
        <v>39</v>
      </c>
      <c r="AL16" s="15">
        <f t="shared" ca="1" si="4"/>
        <v>48600</v>
      </c>
      <c r="AM16" s="15">
        <f t="shared" ca="1" si="5"/>
        <v>6318</v>
      </c>
      <c r="AO16" s="1" t="s">
        <v>94</v>
      </c>
      <c r="AP16" s="14">
        <f ca="1">AP15-(AP9+AP10+AP11+AP12+AP13+AP14)</f>
        <v>180992</v>
      </c>
    </row>
    <row r="17" spans="1:39">
      <c r="A17" s="27"/>
      <c r="B17" t="s">
        <v>34</v>
      </c>
      <c r="C17">
        <f t="shared" ca="1" si="2"/>
        <v>6</v>
      </c>
      <c r="D17">
        <f t="shared" ca="1" si="2"/>
        <v>9</v>
      </c>
      <c r="E17">
        <f t="shared" ca="1" si="2"/>
        <v>1</v>
      </c>
      <c r="F17">
        <f t="shared" ca="1" si="2"/>
        <v>4</v>
      </c>
      <c r="G17">
        <f t="shared" ca="1" si="2"/>
        <v>5</v>
      </c>
      <c r="H17">
        <f t="shared" ca="1" si="2"/>
        <v>2</v>
      </c>
      <c r="I17">
        <f t="shared" ca="1" si="2"/>
        <v>10</v>
      </c>
      <c r="J17">
        <f t="shared" ca="1" si="2"/>
        <v>7</v>
      </c>
      <c r="K17">
        <f t="shared" ca="1" si="2"/>
        <v>2</v>
      </c>
      <c r="L17">
        <f t="shared" ca="1" si="2"/>
        <v>1</v>
      </c>
      <c r="M17">
        <f t="shared" ca="1" si="2"/>
        <v>3</v>
      </c>
      <c r="N17">
        <f t="shared" ca="1" si="2"/>
        <v>3</v>
      </c>
      <c r="O17">
        <f t="shared" ca="1" si="2"/>
        <v>6</v>
      </c>
      <c r="P17">
        <f t="shared" ca="1" si="2"/>
        <v>2</v>
      </c>
      <c r="Q17">
        <f t="shared" ca="1" si="2"/>
        <v>1</v>
      </c>
      <c r="R17">
        <f t="shared" ca="1" si="2"/>
        <v>5</v>
      </c>
      <c r="S17">
        <f t="shared" ca="1" si="7"/>
        <v>3</v>
      </c>
      <c r="T17">
        <f t="shared" ca="1" si="7"/>
        <v>2</v>
      </c>
      <c r="U17">
        <f t="shared" ca="1" si="7"/>
        <v>7</v>
      </c>
      <c r="V17">
        <f t="shared" ca="1" si="7"/>
        <v>9</v>
      </c>
      <c r="W17">
        <f t="shared" ca="1" si="7"/>
        <v>7</v>
      </c>
      <c r="X17">
        <f t="shared" ca="1" si="7"/>
        <v>4</v>
      </c>
      <c r="Y17">
        <f t="shared" ca="1" si="7"/>
        <v>1</v>
      </c>
      <c r="Z17">
        <f t="shared" ca="1" si="7"/>
        <v>5</v>
      </c>
      <c r="AA17">
        <f t="shared" ca="1" si="7"/>
        <v>7</v>
      </c>
      <c r="AB17">
        <f t="shared" ca="1" si="7"/>
        <v>6</v>
      </c>
      <c r="AC17">
        <f t="shared" ca="1" si="7"/>
        <v>10</v>
      </c>
      <c r="AD17">
        <f t="shared" ca="1" si="7"/>
        <v>7</v>
      </c>
      <c r="AE17">
        <f t="shared" ca="1" si="7"/>
        <v>3</v>
      </c>
      <c r="AF17">
        <f t="shared" ca="1" si="7"/>
        <v>2</v>
      </c>
      <c r="AH17" s="25">
        <f t="shared" ca="1" si="6"/>
        <v>140</v>
      </c>
      <c r="AI17">
        <v>67</v>
      </c>
      <c r="AJ17">
        <v>99</v>
      </c>
      <c r="AK17">
        <f t="shared" si="3"/>
        <v>32</v>
      </c>
      <c r="AL17" s="15">
        <f t="shared" ca="1" si="4"/>
        <v>13860</v>
      </c>
      <c r="AM17" s="15">
        <f t="shared" ca="1" si="5"/>
        <v>4480</v>
      </c>
    </row>
    <row r="18" spans="1:39">
      <c r="A18" s="27"/>
      <c r="B18" t="s">
        <v>35</v>
      </c>
      <c r="C18">
        <f t="shared" ca="1" si="2"/>
        <v>8</v>
      </c>
      <c r="D18">
        <f t="shared" ca="1" si="2"/>
        <v>6</v>
      </c>
      <c r="E18">
        <f t="shared" ca="1" si="2"/>
        <v>6</v>
      </c>
      <c r="F18">
        <f t="shared" ca="1" si="2"/>
        <v>7</v>
      </c>
      <c r="G18">
        <f t="shared" ca="1" si="2"/>
        <v>9</v>
      </c>
      <c r="H18">
        <f t="shared" ca="1" si="2"/>
        <v>3</v>
      </c>
      <c r="I18">
        <f t="shared" ca="1" si="2"/>
        <v>7</v>
      </c>
      <c r="J18">
        <f t="shared" ca="1" si="2"/>
        <v>7</v>
      </c>
      <c r="K18">
        <f t="shared" ca="1" si="2"/>
        <v>6</v>
      </c>
      <c r="L18">
        <f t="shared" ca="1" si="2"/>
        <v>8</v>
      </c>
      <c r="M18">
        <f t="shared" ca="1" si="2"/>
        <v>6</v>
      </c>
      <c r="N18">
        <f t="shared" ca="1" si="2"/>
        <v>2</v>
      </c>
      <c r="O18">
        <f t="shared" ca="1" si="2"/>
        <v>7</v>
      </c>
      <c r="P18">
        <f t="shared" ca="1" si="2"/>
        <v>7</v>
      </c>
      <c r="Q18">
        <f t="shared" ca="1" si="2"/>
        <v>1</v>
      </c>
      <c r="R18">
        <f t="shared" ca="1" si="2"/>
        <v>1</v>
      </c>
      <c r="S18">
        <f t="shared" ca="1" si="7"/>
        <v>4</v>
      </c>
      <c r="T18">
        <f t="shared" ca="1" si="7"/>
        <v>4</v>
      </c>
      <c r="U18">
        <f t="shared" ca="1" si="7"/>
        <v>9</v>
      </c>
      <c r="V18">
        <f t="shared" ca="1" si="7"/>
        <v>10</v>
      </c>
      <c r="W18">
        <f t="shared" ca="1" si="7"/>
        <v>10</v>
      </c>
      <c r="X18">
        <f t="shared" ca="1" si="7"/>
        <v>2</v>
      </c>
      <c r="Y18">
        <f t="shared" ca="1" si="7"/>
        <v>1</v>
      </c>
      <c r="Z18">
        <f t="shared" ca="1" si="7"/>
        <v>4</v>
      </c>
      <c r="AA18">
        <f t="shared" ca="1" si="7"/>
        <v>4</v>
      </c>
      <c r="AB18">
        <f t="shared" ca="1" si="7"/>
        <v>4</v>
      </c>
      <c r="AC18">
        <f t="shared" ca="1" si="7"/>
        <v>3</v>
      </c>
      <c r="AD18">
        <f t="shared" ca="1" si="7"/>
        <v>9</v>
      </c>
      <c r="AE18">
        <f t="shared" ca="1" si="7"/>
        <v>7</v>
      </c>
      <c r="AF18">
        <f t="shared" ca="1" si="7"/>
        <v>4</v>
      </c>
      <c r="AH18" s="25">
        <f t="shared" ca="1" si="6"/>
        <v>166</v>
      </c>
      <c r="AI18">
        <v>138</v>
      </c>
      <c r="AJ18">
        <v>150</v>
      </c>
      <c r="AK18">
        <f t="shared" si="3"/>
        <v>12</v>
      </c>
      <c r="AL18" s="15">
        <f t="shared" ca="1" si="4"/>
        <v>24900</v>
      </c>
      <c r="AM18" s="15">
        <f t="shared" ca="1" si="5"/>
        <v>1992</v>
      </c>
    </row>
    <row r="19" spans="1:39">
      <c r="A19" s="27"/>
      <c r="B19" t="s">
        <v>36</v>
      </c>
      <c r="C19">
        <f t="shared" ca="1" si="2"/>
        <v>4</v>
      </c>
      <c r="D19">
        <f t="shared" ca="1" si="2"/>
        <v>4</v>
      </c>
      <c r="E19">
        <f t="shared" ca="1" si="2"/>
        <v>3</v>
      </c>
      <c r="F19">
        <f t="shared" ca="1" si="2"/>
        <v>6</v>
      </c>
      <c r="G19">
        <f t="shared" ca="1" si="2"/>
        <v>3</v>
      </c>
      <c r="H19">
        <f t="shared" ca="1" si="2"/>
        <v>2</v>
      </c>
      <c r="I19">
        <f t="shared" ca="1" si="2"/>
        <v>5</v>
      </c>
      <c r="J19">
        <f t="shared" ca="1" si="2"/>
        <v>3</v>
      </c>
      <c r="K19">
        <f t="shared" ca="1" si="2"/>
        <v>3</v>
      </c>
      <c r="L19">
        <f t="shared" ca="1" si="2"/>
        <v>2</v>
      </c>
      <c r="M19">
        <f t="shared" ca="1" si="2"/>
        <v>2</v>
      </c>
      <c r="N19">
        <f t="shared" ca="1" si="2"/>
        <v>1</v>
      </c>
      <c r="O19">
        <f t="shared" ca="1" si="2"/>
        <v>2</v>
      </c>
      <c r="P19">
        <f t="shared" ca="1" si="2"/>
        <v>5</v>
      </c>
      <c r="Q19">
        <f t="shared" ca="1" si="2"/>
        <v>8</v>
      </c>
      <c r="R19">
        <f t="shared" ca="1" si="2"/>
        <v>2</v>
      </c>
      <c r="S19">
        <f t="shared" ca="1" si="7"/>
        <v>10</v>
      </c>
      <c r="T19">
        <f t="shared" ca="1" si="7"/>
        <v>9</v>
      </c>
      <c r="U19">
        <f t="shared" ca="1" si="7"/>
        <v>2</v>
      </c>
      <c r="V19">
        <f t="shared" ca="1" si="7"/>
        <v>4</v>
      </c>
      <c r="W19">
        <f t="shared" ca="1" si="7"/>
        <v>1</v>
      </c>
      <c r="X19">
        <f t="shared" ca="1" si="7"/>
        <v>10</v>
      </c>
      <c r="Y19">
        <f t="shared" ca="1" si="7"/>
        <v>5</v>
      </c>
      <c r="Z19">
        <f t="shared" ca="1" si="7"/>
        <v>8</v>
      </c>
      <c r="AA19">
        <f t="shared" ca="1" si="7"/>
        <v>7</v>
      </c>
      <c r="AB19">
        <f t="shared" ca="1" si="7"/>
        <v>1</v>
      </c>
      <c r="AC19">
        <f t="shared" ca="1" si="7"/>
        <v>2</v>
      </c>
      <c r="AD19">
        <f t="shared" ca="1" si="7"/>
        <v>5</v>
      </c>
      <c r="AE19">
        <f t="shared" ca="1" si="7"/>
        <v>3</v>
      </c>
      <c r="AF19">
        <f t="shared" ca="1" si="7"/>
        <v>1</v>
      </c>
      <c r="AH19" s="25">
        <f t="shared" ca="1" si="6"/>
        <v>123</v>
      </c>
      <c r="AI19">
        <v>60</v>
      </c>
      <c r="AJ19">
        <v>80</v>
      </c>
      <c r="AK19">
        <f t="shared" si="3"/>
        <v>20</v>
      </c>
      <c r="AL19" s="15">
        <f t="shared" ca="1" si="4"/>
        <v>9840</v>
      </c>
      <c r="AM19" s="15">
        <f t="shared" ca="1" si="5"/>
        <v>2460</v>
      </c>
    </row>
    <row r="20" spans="1:39">
      <c r="A20" s="27"/>
      <c r="B20" t="s">
        <v>37</v>
      </c>
      <c r="C20">
        <f t="shared" ref="C20:R35" ca="1" si="8">RANDBETWEEN(1,10)</f>
        <v>8</v>
      </c>
      <c r="D20">
        <f t="shared" ca="1" si="8"/>
        <v>8</v>
      </c>
      <c r="E20">
        <f t="shared" ca="1" si="8"/>
        <v>4</v>
      </c>
      <c r="F20">
        <f t="shared" ca="1" si="8"/>
        <v>6</v>
      </c>
      <c r="G20">
        <f t="shared" ca="1" si="8"/>
        <v>3</v>
      </c>
      <c r="H20">
        <f t="shared" ca="1" si="8"/>
        <v>3</v>
      </c>
      <c r="I20">
        <f t="shared" ca="1" si="8"/>
        <v>4</v>
      </c>
      <c r="J20">
        <f t="shared" ca="1" si="8"/>
        <v>9</v>
      </c>
      <c r="K20">
        <f t="shared" ca="1" si="8"/>
        <v>7</v>
      </c>
      <c r="L20">
        <f t="shared" ca="1" si="8"/>
        <v>7</v>
      </c>
      <c r="M20">
        <f t="shared" ca="1" si="8"/>
        <v>2</v>
      </c>
      <c r="N20">
        <f t="shared" ca="1" si="8"/>
        <v>3</v>
      </c>
      <c r="O20">
        <f t="shared" ca="1" si="8"/>
        <v>4</v>
      </c>
      <c r="P20">
        <f t="shared" ca="1" si="8"/>
        <v>4</v>
      </c>
      <c r="Q20">
        <f t="shared" ca="1" si="8"/>
        <v>6</v>
      </c>
      <c r="R20">
        <f t="shared" ca="1" si="8"/>
        <v>9</v>
      </c>
      <c r="S20">
        <f t="shared" ca="1" si="7"/>
        <v>7</v>
      </c>
      <c r="T20">
        <f t="shared" ca="1" si="7"/>
        <v>8</v>
      </c>
      <c r="U20">
        <f t="shared" ca="1" si="7"/>
        <v>9</v>
      </c>
      <c r="V20">
        <f t="shared" ca="1" si="7"/>
        <v>10</v>
      </c>
      <c r="W20">
        <f t="shared" ca="1" si="7"/>
        <v>1</v>
      </c>
      <c r="X20">
        <f t="shared" ca="1" si="7"/>
        <v>6</v>
      </c>
      <c r="Y20">
        <f t="shared" ca="1" si="7"/>
        <v>7</v>
      </c>
      <c r="Z20">
        <f t="shared" ca="1" si="7"/>
        <v>10</v>
      </c>
      <c r="AA20">
        <f t="shared" ca="1" si="7"/>
        <v>9</v>
      </c>
      <c r="AB20">
        <f t="shared" ca="1" si="7"/>
        <v>5</v>
      </c>
      <c r="AC20">
        <f t="shared" ca="1" si="7"/>
        <v>5</v>
      </c>
      <c r="AD20">
        <f t="shared" ca="1" si="7"/>
        <v>10</v>
      </c>
      <c r="AE20">
        <f t="shared" ca="1" si="7"/>
        <v>10</v>
      </c>
      <c r="AF20">
        <f t="shared" ca="1" si="7"/>
        <v>10</v>
      </c>
      <c r="AH20" s="25">
        <f t="shared" ca="1" si="6"/>
        <v>194</v>
      </c>
      <c r="AI20">
        <v>44</v>
      </c>
      <c r="AJ20">
        <v>50</v>
      </c>
      <c r="AK20">
        <f t="shared" si="3"/>
        <v>6</v>
      </c>
      <c r="AL20" s="15">
        <f t="shared" ca="1" si="4"/>
        <v>9700</v>
      </c>
      <c r="AM20" s="15">
        <f t="shared" ca="1" si="5"/>
        <v>1164</v>
      </c>
    </row>
    <row r="21" spans="1:39">
      <c r="A21" s="27"/>
      <c r="B21" t="s">
        <v>38</v>
      </c>
      <c r="C21">
        <f t="shared" ca="1" si="8"/>
        <v>6</v>
      </c>
      <c r="D21">
        <f t="shared" ca="1" si="8"/>
        <v>5</v>
      </c>
      <c r="E21">
        <f t="shared" ca="1" si="8"/>
        <v>4</v>
      </c>
      <c r="F21">
        <f t="shared" ca="1" si="8"/>
        <v>7</v>
      </c>
      <c r="G21">
        <f t="shared" ca="1" si="8"/>
        <v>10</v>
      </c>
      <c r="H21">
        <f t="shared" ca="1" si="8"/>
        <v>8</v>
      </c>
      <c r="I21">
        <f t="shared" ca="1" si="8"/>
        <v>2</v>
      </c>
      <c r="J21">
        <f t="shared" ca="1" si="8"/>
        <v>8</v>
      </c>
      <c r="K21">
        <f t="shared" ca="1" si="8"/>
        <v>2</v>
      </c>
      <c r="L21">
        <f t="shared" ca="1" si="8"/>
        <v>10</v>
      </c>
      <c r="M21">
        <f t="shared" ca="1" si="8"/>
        <v>1</v>
      </c>
      <c r="N21">
        <f t="shared" ca="1" si="8"/>
        <v>5</v>
      </c>
      <c r="O21">
        <f t="shared" ca="1" si="8"/>
        <v>5</v>
      </c>
      <c r="P21">
        <f t="shared" ca="1" si="8"/>
        <v>4</v>
      </c>
      <c r="Q21">
        <f t="shared" ca="1" si="8"/>
        <v>3</v>
      </c>
      <c r="R21">
        <f t="shared" ca="1" si="8"/>
        <v>10</v>
      </c>
      <c r="S21">
        <f t="shared" ca="1" si="7"/>
        <v>1</v>
      </c>
      <c r="T21">
        <f t="shared" ca="1" si="7"/>
        <v>5</v>
      </c>
      <c r="U21">
        <f t="shared" ca="1" si="7"/>
        <v>6</v>
      </c>
      <c r="V21">
        <f t="shared" ca="1" si="7"/>
        <v>8</v>
      </c>
      <c r="W21">
        <f t="shared" ca="1" si="7"/>
        <v>7</v>
      </c>
      <c r="X21">
        <f t="shared" ca="1" si="7"/>
        <v>4</v>
      </c>
      <c r="Y21">
        <f t="shared" ca="1" si="7"/>
        <v>1</v>
      </c>
      <c r="Z21">
        <f t="shared" ca="1" si="7"/>
        <v>9</v>
      </c>
      <c r="AA21">
        <f t="shared" ca="1" si="7"/>
        <v>7</v>
      </c>
      <c r="AB21">
        <f t="shared" ca="1" si="7"/>
        <v>8</v>
      </c>
      <c r="AC21">
        <f t="shared" ca="1" si="7"/>
        <v>5</v>
      </c>
      <c r="AD21">
        <f t="shared" ca="1" si="7"/>
        <v>3</v>
      </c>
      <c r="AE21">
        <f t="shared" ca="1" si="7"/>
        <v>2</v>
      </c>
      <c r="AF21">
        <f t="shared" ca="1" si="7"/>
        <v>6</v>
      </c>
      <c r="AH21" s="25">
        <f t="shared" ca="1" si="6"/>
        <v>162</v>
      </c>
      <c r="AI21">
        <v>308</v>
      </c>
      <c r="AJ21">
        <v>320</v>
      </c>
      <c r="AK21">
        <f t="shared" si="3"/>
        <v>12</v>
      </c>
      <c r="AL21" s="15">
        <f t="shared" ca="1" si="4"/>
        <v>51840</v>
      </c>
      <c r="AM21" s="15">
        <f t="shared" ca="1" si="5"/>
        <v>1944</v>
      </c>
    </row>
    <row r="22" spans="1:39">
      <c r="A22" s="27"/>
      <c r="B22" t="s">
        <v>39</v>
      </c>
      <c r="C22">
        <f t="shared" ca="1" si="8"/>
        <v>2</v>
      </c>
      <c r="D22">
        <f t="shared" ca="1" si="8"/>
        <v>1</v>
      </c>
      <c r="E22">
        <f t="shared" ca="1" si="8"/>
        <v>5</v>
      </c>
      <c r="F22">
        <f t="shared" ca="1" si="8"/>
        <v>10</v>
      </c>
      <c r="G22">
        <f t="shared" ca="1" si="8"/>
        <v>6</v>
      </c>
      <c r="H22">
        <f t="shared" ca="1" si="8"/>
        <v>1</v>
      </c>
      <c r="I22">
        <f t="shared" ca="1" si="8"/>
        <v>10</v>
      </c>
      <c r="J22">
        <f t="shared" ca="1" si="8"/>
        <v>4</v>
      </c>
      <c r="K22">
        <f t="shared" ca="1" si="8"/>
        <v>4</v>
      </c>
      <c r="L22">
        <f t="shared" ca="1" si="8"/>
        <v>8</v>
      </c>
      <c r="M22">
        <f t="shared" ca="1" si="8"/>
        <v>7</v>
      </c>
      <c r="N22">
        <f t="shared" ca="1" si="8"/>
        <v>7</v>
      </c>
      <c r="O22">
        <f t="shared" ca="1" si="8"/>
        <v>6</v>
      </c>
      <c r="P22">
        <f t="shared" ca="1" si="8"/>
        <v>3</v>
      </c>
      <c r="Q22">
        <f t="shared" ca="1" si="8"/>
        <v>10</v>
      </c>
      <c r="R22">
        <f t="shared" ca="1" si="8"/>
        <v>1</v>
      </c>
      <c r="S22">
        <f t="shared" ca="1" si="7"/>
        <v>5</v>
      </c>
      <c r="T22">
        <f t="shared" ca="1" si="7"/>
        <v>4</v>
      </c>
      <c r="U22">
        <f t="shared" ca="1" si="7"/>
        <v>5</v>
      </c>
      <c r="V22">
        <f t="shared" ca="1" si="7"/>
        <v>4</v>
      </c>
      <c r="W22">
        <f t="shared" ca="1" si="7"/>
        <v>9</v>
      </c>
      <c r="X22">
        <f t="shared" ca="1" si="7"/>
        <v>1</v>
      </c>
      <c r="Y22">
        <f t="shared" ca="1" si="7"/>
        <v>10</v>
      </c>
      <c r="Z22">
        <f t="shared" ca="1" si="7"/>
        <v>9</v>
      </c>
      <c r="AA22">
        <f t="shared" ca="1" si="7"/>
        <v>10</v>
      </c>
      <c r="AB22">
        <f t="shared" ca="1" si="7"/>
        <v>7</v>
      </c>
      <c r="AC22">
        <f t="shared" ca="1" si="7"/>
        <v>3</v>
      </c>
      <c r="AD22">
        <f t="shared" ca="1" si="7"/>
        <v>5</v>
      </c>
      <c r="AE22">
        <f t="shared" ca="1" si="7"/>
        <v>2</v>
      </c>
      <c r="AF22">
        <f t="shared" ca="1" si="7"/>
        <v>8</v>
      </c>
      <c r="AH22" s="25">
        <f t="shared" ca="1" si="6"/>
        <v>167</v>
      </c>
      <c r="AI22">
        <v>234</v>
      </c>
      <c r="AJ22">
        <v>250</v>
      </c>
      <c r="AK22">
        <f t="shared" si="3"/>
        <v>16</v>
      </c>
      <c r="AL22" s="15">
        <f t="shared" ca="1" si="4"/>
        <v>41750</v>
      </c>
      <c r="AM22" s="15">
        <f t="shared" ca="1" si="5"/>
        <v>2672</v>
      </c>
    </row>
    <row r="23" spans="1:39">
      <c r="A23" s="27"/>
      <c r="B23" t="s">
        <v>40</v>
      </c>
      <c r="C23">
        <f t="shared" ca="1" si="8"/>
        <v>3</v>
      </c>
      <c r="D23">
        <f t="shared" ca="1" si="8"/>
        <v>10</v>
      </c>
      <c r="E23">
        <f t="shared" ca="1" si="8"/>
        <v>1</v>
      </c>
      <c r="F23">
        <f t="shared" ca="1" si="8"/>
        <v>2</v>
      </c>
      <c r="G23">
        <f t="shared" ca="1" si="8"/>
        <v>8</v>
      </c>
      <c r="H23">
        <f t="shared" ca="1" si="8"/>
        <v>9</v>
      </c>
      <c r="I23">
        <f t="shared" ca="1" si="8"/>
        <v>4</v>
      </c>
      <c r="J23">
        <f t="shared" ca="1" si="8"/>
        <v>7</v>
      </c>
      <c r="K23">
        <f t="shared" ca="1" si="8"/>
        <v>6</v>
      </c>
      <c r="L23">
        <f t="shared" ca="1" si="8"/>
        <v>3</v>
      </c>
      <c r="M23">
        <f t="shared" ca="1" si="8"/>
        <v>9</v>
      </c>
      <c r="N23">
        <f t="shared" ca="1" si="8"/>
        <v>3</v>
      </c>
      <c r="O23">
        <f t="shared" ca="1" si="8"/>
        <v>2</v>
      </c>
      <c r="P23">
        <f t="shared" ca="1" si="8"/>
        <v>5</v>
      </c>
      <c r="Q23">
        <f t="shared" ca="1" si="8"/>
        <v>8</v>
      </c>
      <c r="R23">
        <f t="shared" ca="1" si="8"/>
        <v>6</v>
      </c>
      <c r="S23">
        <f t="shared" ca="1" si="7"/>
        <v>8</v>
      </c>
      <c r="T23">
        <f t="shared" ca="1" si="7"/>
        <v>2</v>
      </c>
      <c r="U23">
        <f t="shared" ca="1" si="7"/>
        <v>6</v>
      </c>
      <c r="V23">
        <f t="shared" ca="1" si="7"/>
        <v>8</v>
      </c>
      <c r="W23">
        <f t="shared" ca="1" si="7"/>
        <v>10</v>
      </c>
      <c r="X23">
        <f t="shared" ca="1" si="7"/>
        <v>7</v>
      </c>
      <c r="Y23">
        <f t="shared" ca="1" si="7"/>
        <v>10</v>
      </c>
      <c r="Z23">
        <f t="shared" ca="1" si="7"/>
        <v>1</v>
      </c>
      <c r="AA23">
        <f t="shared" ca="1" si="7"/>
        <v>6</v>
      </c>
      <c r="AB23">
        <f t="shared" ca="1" si="7"/>
        <v>5</v>
      </c>
      <c r="AC23">
        <f t="shared" ca="1" si="7"/>
        <v>3</v>
      </c>
      <c r="AD23">
        <f t="shared" ca="1" si="7"/>
        <v>7</v>
      </c>
      <c r="AE23">
        <f t="shared" ca="1" si="7"/>
        <v>5</v>
      </c>
      <c r="AF23">
        <f t="shared" ca="1" si="7"/>
        <v>9</v>
      </c>
      <c r="AH23" s="25">
        <f t="shared" ca="1" si="6"/>
        <v>173</v>
      </c>
      <c r="AI23">
        <v>121</v>
      </c>
      <c r="AJ23">
        <v>140</v>
      </c>
      <c r="AK23">
        <f t="shared" si="3"/>
        <v>19</v>
      </c>
      <c r="AL23" s="15">
        <f t="shared" ca="1" si="4"/>
        <v>24220</v>
      </c>
      <c r="AM23" s="15">
        <f t="shared" ca="1" si="5"/>
        <v>3287</v>
      </c>
    </row>
    <row r="24" spans="1:39">
      <c r="A24" s="27"/>
      <c r="B24" t="s">
        <v>41</v>
      </c>
      <c r="C24">
        <f t="shared" ca="1" si="8"/>
        <v>2</v>
      </c>
      <c r="D24">
        <f t="shared" ca="1" si="8"/>
        <v>4</v>
      </c>
      <c r="E24">
        <f t="shared" ca="1" si="8"/>
        <v>2</v>
      </c>
      <c r="F24">
        <f t="shared" ca="1" si="8"/>
        <v>7</v>
      </c>
      <c r="G24">
        <f t="shared" ca="1" si="8"/>
        <v>3</v>
      </c>
      <c r="H24">
        <f t="shared" ca="1" si="8"/>
        <v>9</v>
      </c>
      <c r="I24">
        <f t="shared" ca="1" si="8"/>
        <v>8</v>
      </c>
      <c r="J24">
        <f t="shared" ca="1" si="8"/>
        <v>4</v>
      </c>
      <c r="K24">
        <f t="shared" ca="1" si="8"/>
        <v>4</v>
      </c>
      <c r="L24">
        <f t="shared" ca="1" si="8"/>
        <v>2</v>
      </c>
      <c r="M24">
        <f t="shared" ca="1" si="8"/>
        <v>7</v>
      </c>
      <c r="N24">
        <f t="shared" ca="1" si="8"/>
        <v>6</v>
      </c>
      <c r="O24">
        <f t="shared" ca="1" si="8"/>
        <v>4</v>
      </c>
      <c r="P24">
        <f t="shared" ca="1" si="8"/>
        <v>8</v>
      </c>
      <c r="Q24">
        <f t="shared" ca="1" si="8"/>
        <v>2</v>
      </c>
      <c r="R24">
        <f t="shared" ca="1" si="8"/>
        <v>10</v>
      </c>
      <c r="S24">
        <f t="shared" ca="1" si="7"/>
        <v>4</v>
      </c>
      <c r="T24">
        <f t="shared" ca="1" si="7"/>
        <v>1</v>
      </c>
      <c r="U24">
        <f t="shared" ca="1" si="7"/>
        <v>6</v>
      </c>
      <c r="V24">
        <f t="shared" ca="1" si="7"/>
        <v>6</v>
      </c>
      <c r="W24">
        <f t="shared" ca="1" si="7"/>
        <v>6</v>
      </c>
      <c r="X24">
        <f t="shared" ca="1" si="7"/>
        <v>6</v>
      </c>
      <c r="Y24">
        <f t="shared" ca="1" si="7"/>
        <v>4</v>
      </c>
      <c r="Z24">
        <f t="shared" ca="1" si="7"/>
        <v>9</v>
      </c>
      <c r="AA24">
        <f t="shared" ca="1" si="7"/>
        <v>9</v>
      </c>
      <c r="AB24">
        <f t="shared" ca="1" si="7"/>
        <v>7</v>
      </c>
      <c r="AC24">
        <f t="shared" ca="1" si="7"/>
        <v>3</v>
      </c>
      <c r="AD24">
        <f t="shared" ca="1" si="7"/>
        <v>5</v>
      </c>
      <c r="AE24">
        <f t="shared" ca="1" si="7"/>
        <v>3</v>
      </c>
      <c r="AF24">
        <f t="shared" ca="1" si="7"/>
        <v>5</v>
      </c>
      <c r="AH24" s="25">
        <f t="shared" ca="1" si="6"/>
        <v>156</v>
      </c>
      <c r="AI24">
        <v>350</v>
      </c>
      <c r="AJ24">
        <v>390</v>
      </c>
      <c r="AK24">
        <f t="shared" si="3"/>
        <v>40</v>
      </c>
      <c r="AL24" s="15">
        <f t="shared" ca="1" si="4"/>
        <v>60840</v>
      </c>
      <c r="AM24" s="15">
        <f t="shared" ca="1" si="5"/>
        <v>6240</v>
      </c>
    </row>
    <row r="25" spans="1:39">
      <c r="A25" s="27"/>
      <c r="B25" t="s">
        <v>42</v>
      </c>
      <c r="C25">
        <f t="shared" ca="1" si="8"/>
        <v>10</v>
      </c>
      <c r="D25">
        <f t="shared" ca="1" si="8"/>
        <v>4</v>
      </c>
      <c r="E25">
        <f t="shared" ca="1" si="8"/>
        <v>8</v>
      </c>
      <c r="F25">
        <f t="shared" ca="1" si="8"/>
        <v>2</v>
      </c>
      <c r="G25">
        <f t="shared" ca="1" si="8"/>
        <v>4</v>
      </c>
      <c r="H25">
        <f t="shared" ca="1" si="8"/>
        <v>1</v>
      </c>
      <c r="I25">
        <f t="shared" ca="1" si="8"/>
        <v>7</v>
      </c>
      <c r="J25">
        <f t="shared" ca="1" si="8"/>
        <v>10</v>
      </c>
      <c r="K25">
        <f t="shared" ca="1" si="8"/>
        <v>8</v>
      </c>
      <c r="L25">
        <f t="shared" ca="1" si="8"/>
        <v>7</v>
      </c>
      <c r="M25">
        <f t="shared" ca="1" si="8"/>
        <v>8</v>
      </c>
      <c r="N25">
        <f t="shared" ca="1" si="8"/>
        <v>6</v>
      </c>
      <c r="O25">
        <f t="shared" ca="1" si="8"/>
        <v>9</v>
      </c>
      <c r="P25">
        <f t="shared" ca="1" si="8"/>
        <v>7</v>
      </c>
      <c r="Q25">
        <f t="shared" ca="1" si="8"/>
        <v>3</v>
      </c>
      <c r="R25">
        <f t="shared" ca="1" si="8"/>
        <v>10</v>
      </c>
      <c r="S25">
        <f t="shared" ca="1" si="7"/>
        <v>8</v>
      </c>
      <c r="T25">
        <f t="shared" ca="1" si="7"/>
        <v>10</v>
      </c>
      <c r="U25">
        <f t="shared" ca="1" si="7"/>
        <v>5</v>
      </c>
      <c r="V25">
        <f t="shared" ca="1" si="7"/>
        <v>3</v>
      </c>
      <c r="W25">
        <f t="shared" ca="1" si="7"/>
        <v>5</v>
      </c>
      <c r="X25">
        <f t="shared" ca="1" si="7"/>
        <v>5</v>
      </c>
      <c r="Y25">
        <f t="shared" ca="1" si="7"/>
        <v>6</v>
      </c>
      <c r="Z25">
        <f t="shared" ca="1" si="7"/>
        <v>5</v>
      </c>
      <c r="AA25">
        <f t="shared" ca="1" si="7"/>
        <v>7</v>
      </c>
      <c r="AB25">
        <f t="shared" ca="1" si="7"/>
        <v>7</v>
      </c>
      <c r="AC25">
        <f t="shared" ca="1" si="7"/>
        <v>10</v>
      </c>
      <c r="AD25">
        <f t="shared" ca="1" si="7"/>
        <v>8</v>
      </c>
      <c r="AE25">
        <f t="shared" ca="1" si="7"/>
        <v>7</v>
      </c>
      <c r="AF25">
        <f t="shared" ca="1" si="7"/>
        <v>2</v>
      </c>
      <c r="AH25" s="25">
        <f t="shared" ca="1" si="6"/>
        <v>192</v>
      </c>
      <c r="AI25">
        <v>211</v>
      </c>
      <c r="AJ25">
        <v>240</v>
      </c>
      <c r="AK25">
        <f t="shared" si="3"/>
        <v>29</v>
      </c>
      <c r="AL25" s="15">
        <f t="shared" ca="1" si="4"/>
        <v>46080</v>
      </c>
      <c r="AM25" s="15">
        <f t="shared" ca="1" si="5"/>
        <v>5568</v>
      </c>
    </row>
    <row r="26" spans="1:39">
      <c r="A26" s="27"/>
      <c r="B26" t="s">
        <v>43</v>
      </c>
      <c r="C26">
        <f t="shared" ca="1" si="8"/>
        <v>4</v>
      </c>
      <c r="D26">
        <f t="shared" ca="1" si="8"/>
        <v>5</v>
      </c>
      <c r="E26">
        <f t="shared" ca="1" si="8"/>
        <v>5</v>
      </c>
      <c r="F26">
        <f t="shared" ca="1" si="8"/>
        <v>5</v>
      </c>
      <c r="G26">
        <f t="shared" ca="1" si="8"/>
        <v>9</v>
      </c>
      <c r="H26">
        <f t="shared" ca="1" si="8"/>
        <v>6</v>
      </c>
      <c r="I26">
        <f t="shared" ca="1" si="8"/>
        <v>9</v>
      </c>
      <c r="J26">
        <f t="shared" ca="1" si="8"/>
        <v>2</v>
      </c>
      <c r="K26">
        <f t="shared" ca="1" si="8"/>
        <v>5</v>
      </c>
      <c r="L26">
        <f t="shared" ca="1" si="8"/>
        <v>3</v>
      </c>
      <c r="M26">
        <f t="shared" ca="1" si="8"/>
        <v>9</v>
      </c>
      <c r="N26">
        <f t="shared" ca="1" si="8"/>
        <v>4</v>
      </c>
      <c r="O26">
        <f t="shared" ca="1" si="8"/>
        <v>7</v>
      </c>
      <c r="P26">
        <f t="shared" ca="1" si="8"/>
        <v>4</v>
      </c>
      <c r="Q26">
        <f t="shared" ca="1" si="8"/>
        <v>1</v>
      </c>
      <c r="R26">
        <f t="shared" ca="1" si="8"/>
        <v>5</v>
      </c>
      <c r="S26">
        <f t="shared" ca="1" si="7"/>
        <v>6</v>
      </c>
      <c r="T26">
        <f t="shared" ca="1" si="7"/>
        <v>9</v>
      </c>
      <c r="U26">
        <f t="shared" ca="1" si="7"/>
        <v>9</v>
      </c>
      <c r="V26">
        <f t="shared" ca="1" si="7"/>
        <v>5</v>
      </c>
      <c r="W26">
        <f t="shared" ca="1" si="7"/>
        <v>4</v>
      </c>
      <c r="X26">
        <f t="shared" ca="1" si="7"/>
        <v>9</v>
      </c>
      <c r="Y26">
        <f t="shared" ca="1" si="7"/>
        <v>7</v>
      </c>
      <c r="Z26">
        <f t="shared" ca="1" si="7"/>
        <v>7</v>
      </c>
      <c r="AA26">
        <f t="shared" ca="1" si="7"/>
        <v>3</v>
      </c>
      <c r="AB26">
        <f t="shared" ca="1" si="7"/>
        <v>4</v>
      </c>
      <c r="AC26">
        <f t="shared" ca="1" si="7"/>
        <v>1</v>
      </c>
      <c r="AD26">
        <f t="shared" ca="1" si="7"/>
        <v>10</v>
      </c>
      <c r="AE26">
        <f t="shared" ca="1" si="7"/>
        <v>6</v>
      </c>
      <c r="AF26">
        <f t="shared" ca="1" si="7"/>
        <v>8</v>
      </c>
      <c r="AH26" s="25">
        <f t="shared" ca="1" si="6"/>
        <v>171</v>
      </c>
      <c r="AI26">
        <v>247</v>
      </c>
      <c r="AJ26">
        <v>280</v>
      </c>
      <c r="AK26">
        <f t="shared" si="3"/>
        <v>33</v>
      </c>
      <c r="AL26" s="15">
        <f t="shared" ca="1" si="4"/>
        <v>47880</v>
      </c>
      <c r="AM26" s="15">
        <f t="shared" ca="1" si="5"/>
        <v>5643</v>
      </c>
    </row>
    <row r="27" spans="1:39">
      <c r="A27" s="27"/>
      <c r="B27" t="s">
        <v>44</v>
      </c>
      <c r="C27">
        <f t="shared" ca="1" si="8"/>
        <v>7</v>
      </c>
      <c r="D27">
        <f t="shared" ca="1" si="8"/>
        <v>4</v>
      </c>
      <c r="E27">
        <f t="shared" ca="1" si="8"/>
        <v>3</v>
      </c>
      <c r="F27">
        <f t="shared" ca="1" si="8"/>
        <v>1</v>
      </c>
      <c r="G27">
        <f t="shared" ca="1" si="8"/>
        <v>4</v>
      </c>
      <c r="H27">
        <f t="shared" ca="1" si="8"/>
        <v>7</v>
      </c>
      <c r="I27">
        <f t="shared" ca="1" si="8"/>
        <v>3</v>
      </c>
      <c r="J27">
        <f t="shared" ca="1" si="8"/>
        <v>4</v>
      </c>
      <c r="K27">
        <f t="shared" ca="1" si="8"/>
        <v>6</v>
      </c>
      <c r="L27">
        <f t="shared" ca="1" si="8"/>
        <v>2</v>
      </c>
      <c r="M27">
        <f t="shared" ca="1" si="8"/>
        <v>2</v>
      </c>
      <c r="N27">
        <f t="shared" ca="1" si="8"/>
        <v>10</v>
      </c>
      <c r="O27">
        <f t="shared" ca="1" si="8"/>
        <v>9</v>
      </c>
      <c r="P27">
        <f t="shared" ca="1" si="8"/>
        <v>7</v>
      </c>
      <c r="Q27">
        <f t="shared" ca="1" si="8"/>
        <v>3</v>
      </c>
      <c r="R27">
        <f t="shared" ca="1" si="8"/>
        <v>8</v>
      </c>
      <c r="S27">
        <f t="shared" ca="1" si="7"/>
        <v>4</v>
      </c>
      <c r="T27">
        <f t="shared" ca="1" si="7"/>
        <v>7</v>
      </c>
      <c r="U27">
        <f t="shared" ca="1" si="7"/>
        <v>5</v>
      </c>
      <c r="V27">
        <f t="shared" ca="1" si="7"/>
        <v>6</v>
      </c>
      <c r="W27">
        <f t="shared" ca="1" si="7"/>
        <v>7</v>
      </c>
      <c r="X27">
        <f t="shared" ca="1" si="7"/>
        <v>2</v>
      </c>
      <c r="Y27">
        <f t="shared" ca="1" si="7"/>
        <v>3</v>
      </c>
      <c r="Z27">
        <f t="shared" ca="1" si="7"/>
        <v>9</v>
      </c>
      <c r="AA27">
        <f t="shared" ca="1" si="7"/>
        <v>8</v>
      </c>
      <c r="AB27">
        <f t="shared" ca="1" si="7"/>
        <v>7</v>
      </c>
      <c r="AC27">
        <f t="shared" ca="1" si="7"/>
        <v>2</v>
      </c>
      <c r="AD27">
        <f t="shared" ca="1" si="7"/>
        <v>10</v>
      </c>
      <c r="AE27">
        <f t="shared" ca="1" si="7"/>
        <v>2</v>
      </c>
      <c r="AF27">
        <f t="shared" ca="1" si="7"/>
        <v>2</v>
      </c>
      <c r="AH27" s="25">
        <f t="shared" ca="1" si="6"/>
        <v>154</v>
      </c>
      <c r="AI27">
        <v>286</v>
      </c>
      <c r="AJ27">
        <v>320</v>
      </c>
      <c r="AK27">
        <f t="shared" si="3"/>
        <v>34</v>
      </c>
      <c r="AL27" s="15">
        <f t="shared" ca="1" si="4"/>
        <v>49280</v>
      </c>
      <c r="AM27" s="15">
        <f t="shared" ca="1" si="5"/>
        <v>5236</v>
      </c>
    </row>
    <row r="28" spans="1:39">
      <c r="A28" s="27"/>
      <c r="B28" t="s">
        <v>45</v>
      </c>
      <c r="C28">
        <f t="shared" ca="1" si="8"/>
        <v>10</v>
      </c>
      <c r="D28">
        <f t="shared" ca="1" si="8"/>
        <v>8</v>
      </c>
      <c r="E28">
        <f t="shared" ca="1" si="8"/>
        <v>9</v>
      </c>
      <c r="F28">
        <f t="shared" ca="1" si="8"/>
        <v>7</v>
      </c>
      <c r="G28">
        <f t="shared" ca="1" si="8"/>
        <v>1</v>
      </c>
      <c r="H28">
        <f t="shared" ca="1" si="8"/>
        <v>8</v>
      </c>
      <c r="I28">
        <f t="shared" ca="1" si="8"/>
        <v>6</v>
      </c>
      <c r="J28">
        <f t="shared" ca="1" si="8"/>
        <v>5</v>
      </c>
      <c r="K28">
        <f t="shared" ca="1" si="8"/>
        <v>10</v>
      </c>
      <c r="L28">
        <f t="shared" ca="1" si="8"/>
        <v>3</v>
      </c>
      <c r="M28">
        <f t="shared" ca="1" si="8"/>
        <v>4</v>
      </c>
      <c r="N28">
        <f t="shared" ca="1" si="8"/>
        <v>7</v>
      </c>
      <c r="O28">
        <f t="shared" ca="1" si="8"/>
        <v>8</v>
      </c>
      <c r="P28">
        <f t="shared" ca="1" si="8"/>
        <v>2</v>
      </c>
      <c r="Q28">
        <f t="shared" ca="1" si="8"/>
        <v>9</v>
      </c>
      <c r="R28">
        <f t="shared" ca="1" si="8"/>
        <v>3</v>
      </c>
      <c r="S28">
        <f t="shared" ref="S28:AF34" ca="1" si="9">RANDBETWEEN(1,10)</f>
        <v>1</v>
      </c>
      <c r="T28">
        <f t="shared" ca="1" si="9"/>
        <v>5</v>
      </c>
      <c r="U28">
        <f t="shared" ca="1" si="9"/>
        <v>2</v>
      </c>
      <c r="V28">
        <f t="shared" ca="1" si="9"/>
        <v>9</v>
      </c>
      <c r="W28">
        <f t="shared" ca="1" si="9"/>
        <v>9</v>
      </c>
      <c r="X28">
        <f t="shared" ca="1" si="9"/>
        <v>7</v>
      </c>
      <c r="Y28">
        <f t="shared" ca="1" si="9"/>
        <v>4</v>
      </c>
      <c r="Z28">
        <f t="shared" ca="1" si="9"/>
        <v>6</v>
      </c>
      <c r="AA28">
        <f t="shared" ca="1" si="9"/>
        <v>6</v>
      </c>
      <c r="AB28">
        <f t="shared" ca="1" si="9"/>
        <v>8</v>
      </c>
      <c r="AC28">
        <f t="shared" ca="1" si="9"/>
        <v>4</v>
      </c>
      <c r="AD28">
        <f t="shared" ca="1" si="9"/>
        <v>3</v>
      </c>
      <c r="AE28">
        <f t="shared" ca="1" si="9"/>
        <v>1</v>
      </c>
      <c r="AF28">
        <f t="shared" ca="1" si="9"/>
        <v>2</v>
      </c>
      <c r="AH28" s="25">
        <f t="shared" ca="1" si="6"/>
        <v>167</v>
      </c>
      <c r="AI28">
        <v>67</v>
      </c>
      <c r="AJ28">
        <v>80</v>
      </c>
      <c r="AK28">
        <f t="shared" si="3"/>
        <v>13</v>
      </c>
      <c r="AL28" s="15">
        <f t="shared" ca="1" si="4"/>
        <v>13360</v>
      </c>
      <c r="AM28" s="15">
        <f t="shared" ca="1" si="5"/>
        <v>2171</v>
      </c>
    </row>
    <row r="29" spans="1:39">
      <c r="A29" s="27"/>
      <c r="B29" t="s">
        <v>46</v>
      </c>
      <c r="C29">
        <f t="shared" ca="1" si="8"/>
        <v>3</v>
      </c>
      <c r="D29">
        <f t="shared" ca="1" si="8"/>
        <v>5</v>
      </c>
      <c r="E29">
        <f t="shared" ca="1" si="8"/>
        <v>3</v>
      </c>
      <c r="F29">
        <f t="shared" ca="1" si="8"/>
        <v>2</v>
      </c>
      <c r="G29">
        <f t="shared" ca="1" si="8"/>
        <v>1</v>
      </c>
      <c r="H29">
        <f t="shared" ca="1" si="8"/>
        <v>6</v>
      </c>
      <c r="I29">
        <f t="shared" ca="1" si="8"/>
        <v>6</v>
      </c>
      <c r="J29">
        <f t="shared" ca="1" si="8"/>
        <v>1</v>
      </c>
      <c r="K29">
        <f t="shared" ca="1" si="8"/>
        <v>7</v>
      </c>
      <c r="L29">
        <f t="shared" ca="1" si="8"/>
        <v>2</v>
      </c>
      <c r="M29">
        <f t="shared" ca="1" si="8"/>
        <v>3</v>
      </c>
      <c r="N29">
        <f t="shared" ca="1" si="8"/>
        <v>10</v>
      </c>
      <c r="O29">
        <f t="shared" ca="1" si="8"/>
        <v>9</v>
      </c>
      <c r="P29">
        <f t="shared" ca="1" si="8"/>
        <v>4</v>
      </c>
      <c r="Q29">
        <f t="shared" ca="1" si="8"/>
        <v>5</v>
      </c>
      <c r="R29">
        <f t="shared" ca="1" si="8"/>
        <v>7</v>
      </c>
      <c r="S29">
        <f t="shared" ca="1" si="9"/>
        <v>8</v>
      </c>
      <c r="T29">
        <f t="shared" ca="1" si="9"/>
        <v>7</v>
      </c>
      <c r="U29">
        <f t="shared" ca="1" si="9"/>
        <v>4</v>
      </c>
      <c r="V29">
        <f t="shared" ca="1" si="9"/>
        <v>4</v>
      </c>
      <c r="W29">
        <f t="shared" ca="1" si="9"/>
        <v>9</v>
      </c>
      <c r="X29">
        <f t="shared" ca="1" si="9"/>
        <v>2</v>
      </c>
      <c r="Y29">
        <f t="shared" ca="1" si="9"/>
        <v>3</v>
      </c>
      <c r="Z29">
        <f t="shared" ca="1" si="9"/>
        <v>9</v>
      </c>
      <c r="AA29">
        <f t="shared" ca="1" si="9"/>
        <v>2</v>
      </c>
      <c r="AB29">
        <f t="shared" ca="1" si="9"/>
        <v>3</v>
      </c>
      <c r="AC29">
        <f t="shared" ca="1" si="9"/>
        <v>6</v>
      </c>
      <c r="AD29">
        <f t="shared" ca="1" si="9"/>
        <v>8</v>
      </c>
      <c r="AE29">
        <f t="shared" ca="1" si="9"/>
        <v>8</v>
      </c>
      <c r="AF29">
        <f t="shared" ca="1" si="9"/>
        <v>8</v>
      </c>
      <c r="AH29" s="25">
        <f t="shared" ca="1" si="6"/>
        <v>155</v>
      </c>
      <c r="AI29">
        <v>335</v>
      </c>
      <c r="AJ29">
        <v>350</v>
      </c>
      <c r="AK29">
        <f t="shared" si="3"/>
        <v>15</v>
      </c>
      <c r="AL29" s="15">
        <f t="shared" ca="1" si="4"/>
        <v>54250</v>
      </c>
      <c r="AM29" s="15">
        <f t="shared" ca="1" si="5"/>
        <v>2325</v>
      </c>
    </row>
    <row r="30" spans="1:39">
      <c r="A30" s="27"/>
      <c r="B30" t="s">
        <v>47</v>
      </c>
      <c r="C30">
        <f t="shared" ca="1" si="8"/>
        <v>3</v>
      </c>
      <c r="D30">
        <f t="shared" ca="1" si="8"/>
        <v>6</v>
      </c>
      <c r="E30">
        <f t="shared" ca="1" si="8"/>
        <v>6</v>
      </c>
      <c r="F30">
        <f t="shared" ca="1" si="8"/>
        <v>3</v>
      </c>
      <c r="G30">
        <f t="shared" ca="1" si="8"/>
        <v>8</v>
      </c>
      <c r="H30">
        <f t="shared" ca="1" si="8"/>
        <v>1</v>
      </c>
      <c r="I30">
        <f t="shared" ca="1" si="8"/>
        <v>10</v>
      </c>
      <c r="J30">
        <f t="shared" ca="1" si="8"/>
        <v>1</v>
      </c>
      <c r="K30">
        <f t="shared" ca="1" si="8"/>
        <v>1</v>
      </c>
      <c r="L30">
        <f t="shared" ca="1" si="8"/>
        <v>4</v>
      </c>
      <c r="M30">
        <f t="shared" ca="1" si="8"/>
        <v>9</v>
      </c>
      <c r="N30">
        <f t="shared" ca="1" si="8"/>
        <v>8</v>
      </c>
      <c r="O30">
        <f t="shared" ca="1" si="8"/>
        <v>8</v>
      </c>
      <c r="P30">
        <f t="shared" ca="1" si="8"/>
        <v>8</v>
      </c>
      <c r="Q30">
        <f t="shared" ca="1" si="8"/>
        <v>8</v>
      </c>
      <c r="R30">
        <f t="shared" ca="1" si="8"/>
        <v>3</v>
      </c>
      <c r="S30">
        <f t="shared" ca="1" si="9"/>
        <v>4</v>
      </c>
      <c r="T30">
        <f t="shared" ca="1" si="9"/>
        <v>5</v>
      </c>
      <c r="U30">
        <f t="shared" ca="1" si="9"/>
        <v>2</v>
      </c>
      <c r="V30">
        <f t="shared" ca="1" si="9"/>
        <v>1</v>
      </c>
      <c r="W30">
        <f t="shared" ca="1" si="9"/>
        <v>2</v>
      </c>
      <c r="X30">
        <f t="shared" ca="1" si="9"/>
        <v>10</v>
      </c>
      <c r="Y30">
        <f t="shared" ca="1" si="9"/>
        <v>7</v>
      </c>
      <c r="Z30">
        <f t="shared" ca="1" si="9"/>
        <v>6</v>
      </c>
      <c r="AA30">
        <f t="shared" ca="1" si="9"/>
        <v>1</v>
      </c>
      <c r="AB30">
        <f t="shared" ca="1" si="9"/>
        <v>2</v>
      </c>
      <c r="AC30">
        <f t="shared" ca="1" si="9"/>
        <v>5</v>
      </c>
      <c r="AD30">
        <f t="shared" ca="1" si="9"/>
        <v>2</v>
      </c>
      <c r="AE30">
        <f t="shared" ca="1" si="9"/>
        <v>1</v>
      </c>
      <c r="AF30">
        <f t="shared" ca="1" si="9"/>
        <v>8</v>
      </c>
      <c r="AH30" s="25">
        <f t="shared" ca="1" si="6"/>
        <v>143</v>
      </c>
      <c r="AI30">
        <v>366</v>
      </c>
      <c r="AJ30">
        <v>400</v>
      </c>
      <c r="AK30">
        <f t="shared" si="3"/>
        <v>34</v>
      </c>
      <c r="AL30" s="15">
        <f t="shared" ca="1" si="4"/>
        <v>57200</v>
      </c>
      <c r="AM30" s="15">
        <f t="shared" ca="1" si="5"/>
        <v>4862</v>
      </c>
    </row>
    <row r="31" spans="1:39">
      <c r="A31" s="27"/>
      <c r="B31" t="s">
        <v>48</v>
      </c>
      <c r="C31">
        <f t="shared" ca="1" si="8"/>
        <v>5</v>
      </c>
      <c r="D31">
        <f t="shared" ca="1" si="8"/>
        <v>7</v>
      </c>
      <c r="E31">
        <f t="shared" ca="1" si="8"/>
        <v>8</v>
      </c>
      <c r="F31">
        <f t="shared" ca="1" si="8"/>
        <v>2</v>
      </c>
      <c r="G31">
        <f t="shared" ca="1" si="8"/>
        <v>5</v>
      </c>
      <c r="H31">
        <f t="shared" ca="1" si="8"/>
        <v>8</v>
      </c>
      <c r="I31">
        <f t="shared" ca="1" si="8"/>
        <v>9</v>
      </c>
      <c r="J31">
        <f t="shared" ca="1" si="8"/>
        <v>10</v>
      </c>
      <c r="K31">
        <f t="shared" ca="1" si="8"/>
        <v>2</v>
      </c>
      <c r="L31">
        <f t="shared" ca="1" si="8"/>
        <v>4</v>
      </c>
      <c r="M31">
        <f t="shared" ca="1" si="8"/>
        <v>9</v>
      </c>
      <c r="N31">
        <f t="shared" ca="1" si="8"/>
        <v>9</v>
      </c>
      <c r="O31">
        <f t="shared" ca="1" si="8"/>
        <v>8</v>
      </c>
      <c r="P31">
        <f t="shared" ca="1" si="8"/>
        <v>2</v>
      </c>
      <c r="Q31">
        <f t="shared" ca="1" si="8"/>
        <v>3</v>
      </c>
      <c r="R31">
        <f t="shared" ca="1" si="8"/>
        <v>5</v>
      </c>
      <c r="S31">
        <f t="shared" ca="1" si="9"/>
        <v>7</v>
      </c>
      <c r="T31">
        <f t="shared" ca="1" si="9"/>
        <v>9</v>
      </c>
      <c r="U31">
        <f t="shared" ca="1" si="9"/>
        <v>7</v>
      </c>
      <c r="V31">
        <f t="shared" ca="1" si="9"/>
        <v>4</v>
      </c>
      <c r="W31">
        <f t="shared" ca="1" si="9"/>
        <v>2</v>
      </c>
      <c r="X31">
        <f t="shared" ca="1" si="9"/>
        <v>10</v>
      </c>
      <c r="Y31">
        <f t="shared" ca="1" si="9"/>
        <v>7</v>
      </c>
      <c r="Z31">
        <f t="shared" ca="1" si="9"/>
        <v>7</v>
      </c>
      <c r="AA31">
        <f t="shared" ca="1" si="9"/>
        <v>2</v>
      </c>
      <c r="AB31">
        <f t="shared" ca="1" si="9"/>
        <v>4</v>
      </c>
      <c r="AC31">
        <f t="shared" ca="1" si="9"/>
        <v>6</v>
      </c>
      <c r="AD31">
        <f t="shared" ca="1" si="9"/>
        <v>2</v>
      </c>
      <c r="AE31">
        <f t="shared" ca="1" si="9"/>
        <v>1</v>
      </c>
      <c r="AF31">
        <f t="shared" ca="1" si="9"/>
        <v>5</v>
      </c>
      <c r="AH31" s="25">
        <f t="shared" ca="1" si="6"/>
        <v>169</v>
      </c>
      <c r="AI31">
        <v>167</v>
      </c>
      <c r="AJ31">
        <v>200</v>
      </c>
      <c r="AK31">
        <f t="shared" si="3"/>
        <v>33</v>
      </c>
      <c r="AL31" s="15">
        <f t="shared" ca="1" si="4"/>
        <v>33800</v>
      </c>
      <c r="AM31" s="15">
        <f t="shared" ca="1" si="5"/>
        <v>5577</v>
      </c>
    </row>
    <row r="32" spans="1:39">
      <c r="A32" s="27"/>
      <c r="B32" t="s">
        <v>49</v>
      </c>
      <c r="C32">
        <f t="shared" ca="1" si="8"/>
        <v>10</v>
      </c>
      <c r="D32">
        <f t="shared" ca="1" si="8"/>
        <v>6</v>
      </c>
      <c r="E32">
        <f t="shared" ca="1" si="8"/>
        <v>1</v>
      </c>
      <c r="F32">
        <f t="shared" ca="1" si="8"/>
        <v>2</v>
      </c>
      <c r="G32">
        <f t="shared" ca="1" si="8"/>
        <v>1</v>
      </c>
      <c r="H32">
        <f t="shared" ca="1" si="8"/>
        <v>8</v>
      </c>
      <c r="I32">
        <f t="shared" ca="1" si="8"/>
        <v>9</v>
      </c>
      <c r="J32">
        <f t="shared" ca="1" si="8"/>
        <v>7</v>
      </c>
      <c r="K32">
        <f t="shared" ca="1" si="8"/>
        <v>4</v>
      </c>
      <c r="L32">
        <f t="shared" ca="1" si="8"/>
        <v>4</v>
      </c>
      <c r="M32">
        <f t="shared" ca="1" si="8"/>
        <v>2</v>
      </c>
      <c r="N32">
        <f t="shared" ca="1" si="8"/>
        <v>2</v>
      </c>
      <c r="O32">
        <f t="shared" ca="1" si="8"/>
        <v>7</v>
      </c>
      <c r="P32">
        <f t="shared" ca="1" si="8"/>
        <v>7</v>
      </c>
      <c r="Q32">
        <f t="shared" ca="1" si="8"/>
        <v>3</v>
      </c>
      <c r="R32">
        <f t="shared" ca="1" si="8"/>
        <v>9</v>
      </c>
      <c r="S32">
        <f t="shared" ca="1" si="9"/>
        <v>4</v>
      </c>
      <c r="T32">
        <f t="shared" ca="1" si="9"/>
        <v>10</v>
      </c>
      <c r="U32">
        <f t="shared" ca="1" si="9"/>
        <v>3</v>
      </c>
      <c r="V32">
        <f t="shared" ca="1" si="9"/>
        <v>8</v>
      </c>
      <c r="W32">
        <f t="shared" ca="1" si="9"/>
        <v>2</v>
      </c>
      <c r="X32">
        <f t="shared" ca="1" si="9"/>
        <v>9</v>
      </c>
      <c r="Y32">
        <f t="shared" ca="1" si="9"/>
        <v>1</v>
      </c>
      <c r="Z32">
        <f t="shared" ca="1" si="9"/>
        <v>5</v>
      </c>
      <c r="AA32">
        <f t="shared" ca="1" si="9"/>
        <v>5</v>
      </c>
      <c r="AB32">
        <f t="shared" ca="1" si="9"/>
        <v>4</v>
      </c>
      <c r="AC32">
        <f t="shared" ca="1" si="9"/>
        <v>9</v>
      </c>
      <c r="AD32">
        <f t="shared" ca="1" si="9"/>
        <v>7</v>
      </c>
      <c r="AE32">
        <f t="shared" ca="1" si="9"/>
        <v>2</v>
      </c>
      <c r="AF32">
        <f t="shared" ca="1" si="9"/>
        <v>8</v>
      </c>
      <c r="AH32" s="25">
        <f t="shared" ca="1" si="6"/>
        <v>159</v>
      </c>
      <c r="AI32">
        <v>73</v>
      </c>
      <c r="AJ32">
        <v>100</v>
      </c>
      <c r="AK32">
        <f t="shared" si="3"/>
        <v>27</v>
      </c>
      <c r="AL32" s="15">
        <f t="shared" ca="1" si="4"/>
        <v>15900</v>
      </c>
      <c r="AM32" s="15">
        <f t="shared" ca="1" si="5"/>
        <v>4293</v>
      </c>
    </row>
    <row r="33" spans="1:39">
      <c r="A33" s="27"/>
      <c r="B33" t="s">
        <v>50</v>
      </c>
      <c r="C33">
        <f t="shared" ca="1" si="8"/>
        <v>4</v>
      </c>
      <c r="D33">
        <f t="shared" ca="1" si="8"/>
        <v>6</v>
      </c>
      <c r="E33">
        <f t="shared" ca="1" si="8"/>
        <v>8</v>
      </c>
      <c r="F33">
        <f t="shared" ca="1" si="8"/>
        <v>10</v>
      </c>
      <c r="G33">
        <f t="shared" ca="1" si="8"/>
        <v>6</v>
      </c>
      <c r="H33">
        <f t="shared" ca="1" si="8"/>
        <v>2</v>
      </c>
      <c r="I33">
        <f t="shared" ca="1" si="8"/>
        <v>6</v>
      </c>
      <c r="J33">
        <f t="shared" ca="1" si="8"/>
        <v>1</v>
      </c>
      <c r="K33">
        <f t="shared" ca="1" si="8"/>
        <v>7</v>
      </c>
      <c r="L33">
        <f t="shared" ca="1" si="8"/>
        <v>8</v>
      </c>
      <c r="M33">
        <f t="shared" ca="1" si="8"/>
        <v>2</v>
      </c>
      <c r="N33">
        <f t="shared" ca="1" si="8"/>
        <v>6</v>
      </c>
      <c r="O33">
        <f t="shared" ca="1" si="8"/>
        <v>4</v>
      </c>
      <c r="P33">
        <f t="shared" ca="1" si="8"/>
        <v>8</v>
      </c>
      <c r="Q33">
        <f t="shared" ca="1" si="8"/>
        <v>9</v>
      </c>
      <c r="R33">
        <f t="shared" ca="1" si="8"/>
        <v>6</v>
      </c>
      <c r="S33">
        <f t="shared" ca="1" si="9"/>
        <v>10</v>
      </c>
      <c r="T33">
        <f t="shared" ca="1" si="9"/>
        <v>4</v>
      </c>
      <c r="U33">
        <f t="shared" ca="1" si="9"/>
        <v>3</v>
      </c>
      <c r="V33">
        <f t="shared" ca="1" si="9"/>
        <v>3</v>
      </c>
      <c r="W33">
        <f t="shared" ca="1" si="9"/>
        <v>3</v>
      </c>
      <c r="X33">
        <f t="shared" ca="1" si="9"/>
        <v>3</v>
      </c>
      <c r="Y33">
        <f t="shared" ca="1" si="9"/>
        <v>3</v>
      </c>
      <c r="Z33">
        <f t="shared" ca="1" si="9"/>
        <v>8</v>
      </c>
      <c r="AA33">
        <f t="shared" ca="1" si="9"/>
        <v>8</v>
      </c>
      <c r="AB33">
        <f t="shared" ca="1" si="9"/>
        <v>1</v>
      </c>
      <c r="AC33">
        <f t="shared" ca="1" si="9"/>
        <v>10</v>
      </c>
      <c r="AD33">
        <f t="shared" ca="1" si="9"/>
        <v>7</v>
      </c>
      <c r="AE33">
        <f t="shared" ca="1" si="9"/>
        <v>6</v>
      </c>
      <c r="AF33">
        <f t="shared" ca="1" si="9"/>
        <v>5</v>
      </c>
      <c r="AH33" s="25">
        <f t="shared" ca="1" si="6"/>
        <v>167</v>
      </c>
      <c r="AI33">
        <v>367</v>
      </c>
      <c r="AJ33">
        <v>450</v>
      </c>
      <c r="AK33">
        <f t="shared" si="3"/>
        <v>83</v>
      </c>
      <c r="AL33" s="15">
        <f t="shared" ca="1" si="4"/>
        <v>75150</v>
      </c>
      <c r="AM33" s="15">
        <f t="shared" ca="1" si="5"/>
        <v>13861</v>
      </c>
    </row>
    <row r="34" spans="1:39">
      <c r="A34" s="27"/>
      <c r="B34" t="s">
        <v>51</v>
      </c>
      <c r="C34">
        <f t="shared" ca="1" si="8"/>
        <v>7</v>
      </c>
      <c r="D34">
        <f t="shared" ca="1" si="8"/>
        <v>3</v>
      </c>
      <c r="E34">
        <f t="shared" ca="1" si="8"/>
        <v>5</v>
      </c>
      <c r="F34">
        <f t="shared" ca="1" si="8"/>
        <v>5</v>
      </c>
      <c r="G34">
        <f t="shared" ca="1" si="8"/>
        <v>2</v>
      </c>
      <c r="H34">
        <f t="shared" ca="1" si="8"/>
        <v>6</v>
      </c>
      <c r="I34">
        <f t="shared" ca="1" si="8"/>
        <v>4</v>
      </c>
      <c r="J34">
        <f t="shared" ca="1" si="8"/>
        <v>8</v>
      </c>
      <c r="K34">
        <f t="shared" ca="1" si="8"/>
        <v>5</v>
      </c>
      <c r="L34">
        <f t="shared" ca="1" si="8"/>
        <v>4</v>
      </c>
      <c r="M34">
        <f t="shared" ca="1" si="8"/>
        <v>4</v>
      </c>
      <c r="N34">
        <f t="shared" ca="1" si="8"/>
        <v>10</v>
      </c>
      <c r="O34">
        <f t="shared" ca="1" si="8"/>
        <v>3</v>
      </c>
      <c r="P34">
        <f t="shared" ca="1" si="8"/>
        <v>1</v>
      </c>
      <c r="Q34">
        <f t="shared" ca="1" si="8"/>
        <v>3</v>
      </c>
      <c r="R34">
        <f t="shared" ca="1" si="8"/>
        <v>3</v>
      </c>
      <c r="S34">
        <f t="shared" ca="1" si="9"/>
        <v>9</v>
      </c>
      <c r="T34">
        <f t="shared" ca="1" si="9"/>
        <v>1</v>
      </c>
      <c r="U34">
        <f t="shared" ca="1" si="9"/>
        <v>10</v>
      </c>
      <c r="V34">
        <f t="shared" ca="1" si="9"/>
        <v>10</v>
      </c>
      <c r="W34">
        <f t="shared" ca="1" si="9"/>
        <v>7</v>
      </c>
      <c r="X34">
        <f t="shared" ca="1" si="9"/>
        <v>8</v>
      </c>
      <c r="Y34">
        <f t="shared" ca="1" si="9"/>
        <v>1</v>
      </c>
      <c r="Z34">
        <f t="shared" ca="1" si="9"/>
        <v>2</v>
      </c>
      <c r="AA34">
        <f t="shared" ca="1" si="9"/>
        <v>9</v>
      </c>
      <c r="AB34">
        <f t="shared" ca="1" si="9"/>
        <v>1</v>
      </c>
      <c r="AC34">
        <f t="shared" ca="1" si="9"/>
        <v>1</v>
      </c>
      <c r="AD34">
        <f t="shared" ca="1" si="9"/>
        <v>6</v>
      </c>
      <c r="AE34">
        <f t="shared" ca="1" si="9"/>
        <v>1</v>
      </c>
      <c r="AF34">
        <f t="shared" ca="1" si="9"/>
        <v>3</v>
      </c>
      <c r="AH34" s="25">
        <f t="shared" ca="1" si="6"/>
        <v>142</v>
      </c>
      <c r="AI34">
        <v>342</v>
      </c>
      <c r="AJ34">
        <v>390</v>
      </c>
      <c r="AK34">
        <f t="shared" si="3"/>
        <v>48</v>
      </c>
      <c r="AL34" s="15">
        <f t="shared" ca="1" si="4"/>
        <v>55380</v>
      </c>
      <c r="AM34" s="15">
        <f t="shared" ca="1" si="5"/>
        <v>6816</v>
      </c>
    </row>
    <row r="35" spans="1:39">
      <c r="A35" s="27"/>
      <c r="B35" t="s">
        <v>52</v>
      </c>
      <c r="C35">
        <f t="shared" ca="1" si="8"/>
        <v>1</v>
      </c>
      <c r="D35">
        <f t="shared" ca="1" si="8"/>
        <v>6</v>
      </c>
      <c r="E35">
        <f t="shared" ca="1" si="8"/>
        <v>2</v>
      </c>
      <c r="F35">
        <f t="shared" ca="1" si="8"/>
        <v>6</v>
      </c>
      <c r="G35">
        <f t="shared" ca="1" si="8"/>
        <v>7</v>
      </c>
      <c r="H35">
        <f t="shared" ca="1" si="8"/>
        <v>6</v>
      </c>
      <c r="I35">
        <f t="shared" ca="1" si="8"/>
        <v>7</v>
      </c>
      <c r="J35">
        <f t="shared" ca="1" si="8"/>
        <v>2</v>
      </c>
      <c r="K35">
        <f t="shared" ca="1" si="8"/>
        <v>10</v>
      </c>
      <c r="L35">
        <f t="shared" ca="1" si="8"/>
        <v>8</v>
      </c>
      <c r="M35">
        <f t="shared" ca="1" si="8"/>
        <v>8</v>
      </c>
      <c r="N35">
        <f t="shared" ca="1" si="8"/>
        <v>2</v>
      </c>
      <c r="O35">
        <f t="shared" ca="1" si="8"/>
        <v>5</v>
      </c>
      <c r="P35">
        <f t="shared" ca="1" si="8"/>
        <v>5</v>
      </c>
      <c r="Q35">
        <f t="shared" ca="1" si="8"/>
        <v>1</v>
      </c>
      <c r="R35">
        <f t="shared" ref="R35:AF50" ca="1" si="10">RANDBETWEEN(1,10)</f>
        <v>5</v>
      </c>
      <c r="S35">
        <f t="shared" ca="1" si="10"/>
        <v>5</v>
      </c>
      <c r="T35">
        <f t="shared" ca="1" si="10"/>
        <v>4</v>
      </c>
      <c r="U35">
        <f t="shared" ca="1" si="10"/>
        <v>8</v>
      </c>
      <c r="V35">
        <f t="shared" ca="1" si="10"/>
        <v>9</v>
      </c>
      <c r="W35">
        <f t="shared" ca="1" si="10"/>
        <v>10</v>
      </c>
      <c r="X35">
        <f t="shared" ca="1" si="10"/>
        <v>9</v>
      </c>
      <c r="Y35">
        <f t="shared" ca="1" si="10"/>
        <v>4</v>
      </c>
      <c r="Z35">
        <f t="shared" ca="1" si="10"/>
        <v>2</v>
      </c>
      <c r="AA35">
        <f t="shared" ca="1" si="10"/>
        <v>10</v>
      </c>
      <c r="AB35">
        <f t="shared" ca="1" si="10"/>
        <v>1</v>
      </c>
      <c r="AC35">
        <f t="shared" ca="1" si="10"/>
        <v>6</v>
      </c>
      <c r="AD35">
        <f t="shared" ca="1" si="10"/>
        <v>8</v>
      </c>
      <c r="AE35">
        <f t="shared" ca="1" si="10"/>
        <v>9</v>
      </c>
      <c r="AF35">
        <f t="shared" ca="1" si="10"/>
        <v>3</v>
      </c>
      <c r="AH35" s="25">
        <f t="shared" ca="1" si="6"/>
        <v>169</v>
      </c>
      <c r="AI35">
        <v>363</v>
      </c>
      <c r="AJ35">
        <v>420</v>
      </c>
      <c r="AK35">
        <f t="shared" si="3"/>
        <v>57</v>
      </c>
      <c r="AL35" s="15">
        <f t="shared" ca="1" si="4"/>
        <v>70980</v>
      </c>
      <c r="AM35" s="15">
        <f t="shared" ca="1" si="5"/>
        <v>9633</v>
      </c>
    </row>
    <row r="36" spans="1:39">
      <c r="A36" s="27"/>
      <c r="B36" t="s">
        <v>53</v>
      </c>
      <c r="C36">
        <f t="shared" ref="C36:R51" ca="1" si="11">RANDBETWEEN(1,10)</f>
        <v>1</v>
      </c>
      <c r="D36">
        <f t="shared" ca="1" si="11"/>
        <v>3</v>
      </c>
      <c r="E36">
        <f t="shared" ca="1" si="11"/>
        <v>8</v>
      </c>
      <c r="F36">
        <f t="shared" ca="1" si="11"/>
        <v>9</v>
      </c>
      <c r="G36">
        <f t="shared" ca="1" si="11"/>
        <v>8</v>
      </c>
      <c r="H36">
        <f t="shared" ca="1" si="11"/>
        <v>5</v>
      </c>
      <c r="I36">
        <f t="shared" ca="1" si="11"/>
        <v>9</v>
      </c>
      <c r="J36">
        <f t="shared" ca="1" si="11"/>
        <v>9</v>
      </c>
      <c r="K36">
        <f t="shared" ca="1" si="11"/>
        <v>10</v>
      </c>
      <c r="L36">
        <f t="shared" ca="1" si="11"/>
        <v>8</v>
      </c>
      <c r="M36">
        <f t="shared" ca="1" si="11"/>
        <v>1</v>
      </c>
      <c r="N36">
        <f t="shared" ca="1" si="11"/>
        <v>7</v>
      </c>
      <c r="O36">
        <f t="shared" ca="1" si="11"/>
        <v>1</v>
      </c>
      <c r="P36">
        <f t="shared" ca="1" si="11"/>
        <v>7</v>
      </c>
      <c r="Q36">
        <f t="shared" ca="1" si="11"/>
        <v>3</v>
      </c>
      <c r="R36">
        <f t="shared" ca="1" si="11"/>
        <v>1</v>
      </c>
      <c r="S36">
        <f t="shared" ca="1" si="10"/>
        <v>4</v>
      </c>
      <c r="T36">
        <f t="shared" ca="1" si="10"/>
        <v>5</v>
      </c>
      <c r="U36">
        <f t="shared" ca="1" si="10"/>
        <v>4</v>
      </c>
      <c r="V36">
        <f t="shared" ca="1" si="10"/>
        <v>7</v>
      </c>
      <c r="W36">
        <f t="shared" ca="1" si="10"/>
        <v>4</v>
      </c>
      <c r="X36">
        <f t="shared" ca="1" si="10"/>
        <v>10</v>
      </c>
      <c r="Y36">
        <f t="shared" ca="1" si="10"/>
        <v>3</v>
      </c>
      <c r="Z36">
        <f t="shared" ca="1" si="10"/>
        <v>6</v>
      </c>
      <c r="AA36">
        <f t="shared" ca="1" si="10"/>
        <v>3</v>
      </c>
      <c r="AB36">
        <f t="shared" ca="1" si="10"/>
        <v>2</v>
      </c>
      <c r="AC36">
        <f t="shared" ca="1" si="10"/>
        <v>3</v>
      </c>
      <c r="AD36">
        <f t="shared" ca="1" si="10"/>
        <v>3</v>
      </c>
      <c r="AE36">
        <f t="shared" ca="1" si="10"/>
        <v>8</v>
      </c>
      <c r="AF36">
        <f t="shared" ca="1" si="10"/>
        <v>9</v>
      </c>
      <c r="AH36" s="25">
        <f t="shared" ca="1" si="6"/>
        <v>161</v>
      </c>
      <c r="AI36">
        <v>263</v>
      </c>
      <c r="AJ36">
        <v>300</v>
      </c>
      <c r="AK36">
        <f t="shared" si="3"/>
        <v>37</v>
      </c>
      <c r="AL36" s="15">
        <f t="shared" ca="1" si="4"/>
        <v>48300</v>
      </c>
      <c r="AM36" s="15">
        <f t="shared" ca="1" si="5"/>
        <v>5957</v>
      </c>
    </row>
    <row r="37" spans="1:39">
      <c r="A37" s="27"/>
      <c r="B37" t="s">
        <v>54</v>
      </c>
      <c r="C37">
        <f t="shared" ca="1" si="11"/>
        <v>7</v>
      </c>
      <c r="D37">
        <f t="shared" ca="1" si="11"/>
        <v>9</v>
      </c>
      <c r="E37">
        <f t="shared" ca="1" si="11"/>
        <v>4</v>
      </c>
      <c r="F37">
        <f t="shared" ca="1" si="11"/>
        <v>6</v>
      </c>
      <c r="G37">
        <f t="shared" ca="1" si="11"/>
        <v>3</v>
      </c>
      <c r="H37">
        <f t="shared" ca="1" si="11"/>
        <v>3</v>
      </c>
      <c r="I37">
        <f t="shared" ca="1" si="11"/>
        <v>3</v>
      </c>
      <c r="J37">
        <f t="shared" ca="1" si="11"/>
        <v>9</v>
      </c>
      <c r="K37">
        <f t="shared" ca="1" si="11"/>
        <v>1</v>
      </c>
      <c r="L37">
        <f t="shared" ca="1" si="11"/>
        <v>7</v>
      </c>
      <c r="M37">
        <f t="shared" ca="1" si="11"/>
        <v>2</v>
      </c>
      <c r="N37">
        <f t="shared" ca="1" si="11"/>
        <v>2</v>
      </c>
      <c r="O37">
        <f t="shared" ca="1" si="11"/>
        <v>8</v>
      </c>
      <c r="P37">
        <f t="shared" ca="1" si="11"/>
        <v>1</v>
      </c>
      <c r="Q37">
        <f t="shared" ca="1" si="11"/>
        <v>9</v>
      </c>
      <c r="R37">
        <f t="shared" ca="1" si="11"/>
        <v>6</v>
      </c>
      <c r="S37">
        <f t="shared" ca="1" si="10"/>
        <v>5</v>
      </c>
      <c r="T37">
        <f t="shared" ca="1" si="10"/>
        <v>3</v>
      </c>
      <c r="U37">
        <f t="shared" ca="1" si="10"/>
        <v>6</v>
      </c>
      <c r="V37">
        <f t="shared" ca="1" si="10"/>
        <v>6</v>
      </c>
      <c r="W37">
        <f t="shared" ca="1" si="10"/>
        <v>7</v>
      </c>
      <c r="X37">
        <f t="shared" ca="1" si="10"/>
        <v>4</v>
      </c>
      <c r="Y37">
        <f t="shared" ca="1" si="10"/>
        <v>1</v>
      </c>
      <c r="Z37">
        <f t="shared" ca="1" si="10"/>
        <v>6</v>
      </c>
      <c r="AA37">
        <f t="shared" ca="1" si="10"/>
        <v>6</v>
      </c>
      <c r="AB37">
        <f t="shared" ca="1" si="10"/>
        <v>7</v>
      </c>
      <c r="AC37">
        <f t="shared" ca="1" si="10"/>
        <v>1</v>
      </c>
      <c r="AD37">
        <f t="shared" ca="1" si="10"/>
        <v>5</v>
      </c>
      <c r="AE37">
        <f t="shared" ca="1" si="10"/>
        <v>3</v>
      </c>
      <c r="AF37">
        <f t="shared" ca="1" si="10"/>
        <v>1</v>
      </c>
      <c r="AH37" s="25">
        <f t="shared" ca="1" si="6"/>
        <v>141</v>
      </c>
      <c r="AI37">
        <v>96</v>
      </c>
      <c r="AJ37">
        <v>120</v>
      </c>
      <c r="AK37">
        <f t="shared" si="3"/>
        <v>24</v>
      </c>
      <c r="AL37" s="15">
        <f t="shared" ca="1" si="4"/>
        <v>16920</v>
      </c>
      <c r="AM37" s="15">
        <f t="shared" ca="1" si="5"/>
        <v>3384</v>
      </c>
    </row>
    <row r="38" spans="1:39">
      <c r="A38" s="27"/>
      <c r="B38" t="s">
        <v>55</v>
      </c>
      <c r="C38">
        <f t="shared" ca="1" si="11"/>
        <v>8</v>
      </c>
      <c r="D38">
        <f t="shared" ca="1" si="11"/>
        <v>10</v>
      </c>
      <c r="E38">
        <f t="shared" ca="1" si="11"/>
        <v>6</v>
      </c>
      <c r="F38">
        <f t="shared" ca="1" si="11"/>
        <v>3</v>
      </c>
      <c r="G38">
        <f t="shared" ca="1" si="11"/>
        <v>8</v>
      </c>
      <c r="H38">
        <f t="shared" ca="1" si="11"/>
        <v>1</v>
      </c>
      <c r="I38">
        <f t="shared" ca="1" si="11"/>
        <v>2</v>
      </c>
      <c r="J38">
        <f t="shared" ca="1" si="11"/>
        <v>3</v>
      </c>
      <c r="K38">
        <f t="shared" ca="1" si="11"/>
        <v>3</v>
      </c>
      <c r="L38">
        <f t="shared" ca="1" si="11"/>
        <v>9</v>
      </c>
      <c r="M38">
        <f t="shared" ca="1" si="11"/>
        <v>8</v>
      </c>
      <c r="N38">
        <f t="shared" ca="1" si="11"/>
        <v>9</v>
      </c>
      <c r="O38">
        <f t="shared" ca="1" si="11"/>
        <v>8</v>
      </c>
      <c r="P38">
        <f t="shared" ca="1" si="11"/>
        <v>5</v>
      </c>
      <c r="Q38">
        <f t="shared" ca="1" si="11"/>
        <v>9</v>
      </c>
      <c r="R38">
        <f t="shared" ca="1" si="11"/>
        <v>1</v>
      </c>
      <c r="S38">
        <f t="shared" ca="1" si="10"/>
        <v>5</v>
      </c>
      <c r="T38">
        <f t="shared" ca="1" si="10"/>
        <v>7</v>
      </c>
      <c r="U38">
        <f t="shared" ca="1" si="10"/>
        <v>7</v>
      </c>
      <c r="V38">
        <f t="shared" ca="1" si="10"/>
        <v>10</v>
      </c>
      <c r="W38">
        <f t="shared" ca="1" si="10"/>
        <v>2</v>
      </c>
      <c r="X38">
        <f t="shared" ca="1" si="10"/>
        <v>10</v>
      </c>
      <c r="Y38">
        <f t="shared" ca="1" si="10"/>
        <v>7</v>
      </c>
      <c r="Z38">
        <f t="shared" ca="1" si="10"/>
        <v>7</v>
      </c>
      <c r="AA38">
        <f t="shared" ca="1" si="10"/>
        <v>8</v>
      </c>
      <c r="AB38">
        <f t="shared" ca="1" si="10"/>
        <v>10</v>
      </c>
      <c r="AC38">
        <f t="shared" ca="1" si="10"/>
        <v>10</v>
      </c>
      <c r="AD38">
        <f t="shared" ca="1" si="10"/>
        <v>4</v>
      </c>
      <c r="AE38">
        <f t="shared" ca="1" si="10"/>
        <v>3</v>
      </c>
      <c r="AF38">
        <f t="shared" ca="1" si="10"/>
        <v>10</v>
      </c>
      <c r="AH38" s="25">
        <f t="shared" ca="1" si="6"/>
        <v>193</v>
      </c>
      <c r="AI38">
        <v>196</v>
      </c>
      <c r="AJ38">
        <v>230</v>
      </c>
      <c r="AK38">
        <f t="shared" si="3"/>
        <v>34</v>
      </c>
      <c r="AL38" s="15">
        <f t="shared" ca="1" si="4"/>
        <v>44390</v>
      </c>
      <c r="AM38" s="15">
        <f t="shared" ca="1" si="5"/>
        <v>6562</v>
      </c>
    </row>
    <row r="39" spans="1:39">
      <c r="A39" s="27"/>
      <c r="B39" t="s">
        <v>56</v>
      </c>
      <c r="C39">
        <f t="shared" ca="1" si="11"/>
        <v>6</v>
      </c>
      <c r="D39">
        <f t="shared" ca="1" si="11"/>
        <v>2</v>
      </c>
      <c r="E39">
        <f t="shared" ca="1" si="11"/>
        <v>1</v>
      </c>
      <c r="F39">
        <f t="shared" ca="1" si="11"/>
        <v>2</v>
      </c>
      <c r="G39">
        <f t="shared" ca="1" si="11"/>
        <v>2</v>
      </c>
      <c r="H39">
        <f t="shared" ca="1" si="11"/>
        <v>4</v>
      </c>
      <c r="I39">
        <f t="shared" ca="1" si="11"/>
        <v>9</v>
      </c>
      <c r="J39">
        <f t="shared" ca="1" si="11"/>
        <v>4</v>
      </c>
      <c r="K39">
        <f t="shared" ca="1" si="11"/>
        <v>5</v>
      </c>
      <c r="L39">
        <f t="shared" ca="1" si="11"/>
        <v>3</v>
      </c>
      <c r="M39">
        <f t="shared" ca="1" si="11"/>
        <v>9</v>
      </c>
      <c r="N39">
        <f t="shared" ca="1" si="11"/>
        <v>9</v>
      </c>
      <c r="O39">
        <f t="shared" ca="1" si="11"/>
        <v>6</v>
      </c>
      <c r="P39">
        <f t="shared" ca="1" si="11"/>
        <v>2</v>
      </c>
      <c r="Q39">
        <f t="shared" ca="1" si="11"/>
        <v>1</v>
      </c>
      <c r="R39">
        <f t="shared" ca="1" si="11"/>
        <v>3</v>
      </c>
      <c r="S39">
        <f t="shared" ca="1" si="10"/>
        <v>7</v>
      </c>
      <c r="T39">
        <f t="shared" ca="1" si="10"/>
        <v>2</v>
      </c>
      <c r="U39">
        <f t="shared" ca="1" si="10"/>
        <v>7</v>
      </c>
      <c r="V39">
        <f t="shared" ca="1" si="10"/>
        <v>9</v>
      </c>
      <c r="W39">
        <f t="shared" ca="1" si="10"/>
        <v>7</v>
      </c>
      <c r="X39">
        <f t="shared" ca="1" si="10"/>
        <v>8</v>
      </c>
      <c r="Y39">
        <f t="shared" ca="1" si="10"/>
        <v>4</v>
      </c>
      <c r="Z39">
        <f t="shared" ca="1" si="10"/>
        <v>3</v>
      </c>
      <c r="AA39">
        <f t="shared" ca="1" si="10"/>
        <v>10</v>
      </c>
      <c r="AB39">
        <f t="shared" ca="1" si="10"/>
        <v>8</v>
      </c>
      <c r="AC39">
        <f t="shared" ca="1" si="10"/>
        <v>6</v>
      </c>
      <c r="AD39">
        <f t="shared" ca="1" si="10"/>
        <v>2</v>
      </c>
      <c r="AE39">
        <f t="shared" ca="1" si="10"/>
        <v>9</v>
      </c>
      <c r="AF39">
        <f t="shared" ca="1" si="10"/>
        <v>5</v>
      </c>
      <c r="AH39" s="25">
        <f t="shared" ca="1" si="6"/>
        <v>155</v>
      </c>
      <c r="AI39">
        <v>98</v>
      </c>
      <c r="AJ39">
        <v>115</v>
      </c>
      <c r="AK39">
        <f t="shared" si="3"/>
        <v>17</v>
      </c>
      <c r="AL39" s="15">
        <f t="shared" ca="1" si="4"/>
        <v>17825</v>
      </c>
      <c r="AM39" s="15">
        <f t="shared" ca="1" si="5"/>
        <v>2635</v>
      </c>
    </row>
    <row r="40" spans="1:39">
      <c r="A40" s="27"/>
      <c r="B40" t="s">
        <v>57</v>
      </c>
      <c r="C40">
        <f t="shared" ca="1" si="11"/>
        <v>7</v>
      </c>
      <c r="D40">
        <f t="shared" ca="1" si="11"/>
        <v>10</v>
      </c>
      <c r="E40">
        <f t="shared" ca="1" si="11"/>
        <v>7</v>
      </c>
      <c r="F40">
        <f t="shared" ca="1" si="11"/>
        <v>4</v>
      </c>
      <c r="G40">
        <f t="shared" ca="1" si="11"/>
        <v>1</v>
      </c>
      <c r="H40">
        <f t="shared" ca="1" si="11"/>
        <v>3</v>
      </c>
      <c r="I40">
        <f t="shared" ca="1" si="11"/>
        <v>6</v>
      </c>
      <c r="J40">
        <f t="shared" ca="1" si="11"/>
        <v>3</v>
      </c>
      <c r="K40">
        <f t="shared" ca="1" si="11"/>
        <v>4</v>
      </c>
      <c r="L40">
        <f t="shared" ca="1" si="11"/>
        <v>4</v>
      </c>
      <c r="M40">
        <f t="shared" ca="1" si="11"/>
        <v>10</v>
      </c>
      <c r="N40">
        <f t="shared" ca="1" si="11"/>
        <v>3</v>
      </c>
      <c r="O40">
        <f t="shared" ca="1" si="11"/>
        <v>8</v>
      </c>
      <c r="P40">
        <f t="shared" ca="1" si="11"/>
        <v>1</v>
      </c>
      <c r="Q40">
        <f t="shared" ca="1" si="11"/>
        <v>8</v>
      </c>
      <c r="R40">
        <f t="shared" ca="1" si="11"/>
        <v>10</v>
      </c>
      <c r="S40">
        <f t="shared" ca="1" si="10"/>
        <v>6</v>
      </c>
      <c r="T40">
        <f t="shared" ca="1" si="10"/>
        <v>8</v>
      </c>
      <c r="U40">
        <f t="shared" ca="1" si="10"/>
        <v>4</v>
      </c>
      <c r="V40">
        <f t="shared" ca="1" si="10"/>
        <v>5</v>
      </c>
      <c r="W40">
        <f t="shared" ca="1" si="10"/>
        <v>9</v>
      </c>
      <c r="X40">
        <f t="shared" ca="1" si="10"/>
        <v>1</v>
      </c>
      <c r="Y40">
        <f t="shared" ca="1" si="10"/>
        <v>4</v>
      </c>
      <c r="Z40">
        <f t="shared" ca="1" si="10"/>
        <v>8</v>
      </c>
      <c r="AA40">
        <f t="shared" ca="1" si="10"/>
        <v>4</v>
      </c>
      <c r="AB40">
        <f t="shared" ca="1" si="10"/>
        <v>9</v>
      </c>
      <c r="AC40">
        <f t="shared" ca="1" si="10"/>
        <v>4</v>
      </c>
      <c r="AD40">
        <f t="shared" ca="1" si="10"/>
        <v>5</v>
      </c>
      <c r="AE40">
        <f t="shared" ca="1" si="10"/>
        <v>4</v>
      </c>
      <c r="AF40">
        <f t="shared" ca="1" si="10"/>
        <v>2</v>
      </c>
      <c r="AH40" s="25">
        <f t="shared" ca="1" si="6"/>
        <v>162</v>
      </c>
      <c r="AI40">
        <v>75</v>
      </c>
      <c r="AJ40">
        <v>99</v>
      </c>
      <c r="AK40">
        <f t="shared" si="3"/>
        <v>24</v>
      </c>
      <c r="AL40" s="15">
        <f t="shared" ca="1" si="4"/>
        <v>16038</v>
      </c>
      <c r="AM40" s="15">
        <f t="shared" ca="1" si="5"/>
        <v>3888</v>
      </c>
    </row>
    <row r="41" spans="1:39">
      <c r="A41" s="27"/>
      <c r="B41" t="s">
        <v>58</v>
      </c>
      <c r="C41">
        <f t="shared" ca="1" si="11"/>
        <v>5</v>
      </c>
      <c r="D41">
        <f t="shared" ca="1" si="11"/>
        <v>7</v>
      </c>
      <c r="E41">
        <f t="shared" ca="1" si="11"/>
        <v>10</v>
      </c>
      <c r="F41">
        <f t="shared" ca="1" si="11"/>
        <v>6</v>
      </c>
      <c r="G41">
        <f t="shared" ca="1" si="11"/>
        <v>9</v>
      </c>
      <c r="H41">
        <f t="shared" ca="1" si="11"/>
        <v>2</v>
      </c>
      <c r="I41">
        <f t="shared" ca="1" si="11"/>
        <v>8</v>
      </c>
      <c r="J41">
        <f t="shared" ca="1" si="11"/>
        <v>9</v>
      </c>
      <c r="K41">
        <f t="shared" ca="1" si="11"/>
        <v>2</v>
      </c>
      <c r="L41">
        <f t="shared" ca="1" si="11"/>
        <v>7</v>
      </c>
      <c r="M41">
        <f t="shared" ca="1" si="11"/>
        <v>6</v>
      </c>
      <c r="N41">
        <f t="shared" ca="1" si="11"/>
        <v>9</v>
      </c>
      <c r="O41">
        <f t="shared" ca="1" si="11"/>
        <v>2</v>
      </c>
      <c r="P41">
        <f t="shared" ca="1" si="11"/>
        <v>6</v>
      </c>
      <c r="Q41">
        <f t="shared" ca="1" si="11"/>
        <v>2</v>
      </c>
      <c r="R41">
        <f t="shared" ca="1" si="11"/>
        <v>5</v>
      </c>
      <c r="S41">
        <f t="shared" ca="1" si="10"/>
        <v>1</v>
      </c>
      <c r="T41">
        <f t="shared" ca="1" si="10"/>
        <v>6</v>
      </c>
      <c r="U41">
        <f t="shared" ca="1" si="10"/>
        <v>1</v>
      </c>
      <c r="V41">
        <f t="shared" ca="1" si="10"/>
        <v>7</v>
      </c>
      <c r="W41">
        <f t="shared" ca="1" si="10"/>
        <v>8</v>
      </c>
      <c r="X41">
        <f t="shared" ca="1" si="10"/>
        <v>4</v>
      </c>
      <c r="Y41">
        <f t="shared" ca="1" si="10"/>
        <v>2</v>
      </c>
      <c r="Z41">
        <f t="shared" ca="1" si="10"/>
        <v>8</v>
      </c>
      <c r="AA41">
        <f t="shared" ca="1" si="10"/>
        <v>10</v>
      </c>
      <c r="AB41">
        <f t="shared" ca="1" si="10"/>
        <v>8</v>
      </c>
      <c r="AC41">
        <f t="shared" ca="1" si="10"/>
        <v>6</v>
      </c>
      <c r="AD41">
        <f t="shared" ca="1" si="10"/>
        <v>3</v>
      </c>
      <c r="AE41">
        <f t="shared" ca="1" si="10"/>
        <v>2</v>
      </c>
      <c r="AF41">
        <f t="shared" ca="1" si="10"/>
        <v>2</v>
      </c>
      <c r="AH41" s="25">
        <f t="shared" ca="1" si="6"/>
        <v>163</v>
      </c>
      <c r="AI41">
        <v>105</v>
      </c>
      <c r="AJ41">
        <v>140</v>
      </c>
      <c r="AK41">
        <f t="shared" si="3"/>
        <v>35</v>
      </c>
      <c r="AL41" s="15">
        <f t="shared" ca="1" si="4"/>
        <v>22820</v>
      </c>
      <c r="AM41" s="15">
        <f t="shared" ca="1" si="5"/>
        <v>5705</v>
      </c>
    </row>
    <row r="42" spans="1:39">
      <c r="A42" s="27"/>
      <c r="B42" t="s">
        <v>59</v>
      </c>
      <c r="C42">
        <f t="shared" ca="1" si="11"/>
        <v>7</v>
      </c>
      <c r="D42">
        <f t="shared" ca="1" si="11"/>
        <v>8</v>
      </c>
      <c r="E42">
        <f t="shared" ca="1" si="11"/>
        <v>4</v>
      </c>
      <c r="F42">
        <f t="shared" ca="1" si="11"/>
        <v>4</v>
      </c>
      <c r="G42">
        <f t="shared" ca="1" si="11"/>
        <v>1</v>
      </c>
      <c r="H42">
        <f t="shared" ca="1" si="11"/>
        <v>5</v>
      </c>
      <c r="I42">
        <f t="shared" ca="1" si="11"/>
        <v>1</v>
      </c>
      <c r="J42">
        <f t="shared" ca="1" si="11"/>
        <v>3</v>
      </c>
      <c r="K42">
        <f t="shared" ca="1" si="11"/>
        <v>3</v>
      </c>
      <c r="L42">
        <f t="shared" ca="1" si="11"/>
        <v>4</v>
      </c>
      <c r="M42">
        <f t="shared" ca="1" si="11"/>
        <v>9</v>
      </c>
      <c r="N42">
        <f t="shared" ca="1" si="11"/>
        <v>7</v>
      </c>
      <c r="O42">
        <f t="shared" ca="1" si="11"/>
        <v>10</v>
      </c>
      <c r="P42">
        <f t="shared" ca="1" si="11"/>
        <v>6</v>
      </c>
      <c r="Q42">
        <f t="shared" ca="1" si="11"/>
        <v>9</v>
      </c>
      <c r="R42">
        <f t="shared" ca="1" si="11"/>
        <v>6</v>
      </c>
      <c r="S42">
        <f t="shared" ca="1" si="10"/>
        <v>3</v>
      </c>
      <c r="T42">
        <f t="shared" ca="1" si="10"/>
        <v>2</v>
      </c>
      <c r="U42">
        <f t="shared" ca="1" si="10"/>
        <v>6</v>
      </c>
      <c r="V42">
        <f t="shared" ca="1" si="10"/>
        <v>9</v>
      </c>
      <c r="W42">
        <f t="shared" ca="1" si="10"/>
        <v>9</v>
      </c>
      <c r="X42">
        <f t="shared" ca="1" si="10"/>
        <v>5</v>
      </c>
      <c r="Y42">
        <f t="shared" ca="1" si="10"/>
        <v>1</v>
      </c>
      <c r="Z42">
        <f t="shared" ca="1" si="10"/>
        <v>6</v>
      </c>
      <c r="AA42">
        <f t="shared" ca="1" si="10"/>
        <v>10</v>
      </c>
      <c r="AB42">
        <f t="shared" ca="1" si="10"/>
        <v>10</v>
      </c>
      <c r="AC42">
        <f t="shared" ca="1" si="10"/>
        <v>4</v>
      </c>
      <c r="AD42">
        <f t="shared" ca="1" si="10"/>
        <v>4</v>
      </c>
      <c r="AE42">
        <f t="shared" ca="1" si="10"/>
        <v>7</v>
      </c>
      <c r="AF42">
        <f t="shared" ca="1" si="10"/>
        <v>2</v>
      </c>
      <c r="AH42" s="25">
        <f t="shared" ca="1" si="6"/>
        <v>165</v>
      </c>
      <c r="AI42">
        <v>37</v>
      </c>
      <c r="AJ42">
        <v>50</v>
      </c>
      <c r="AK42">
        <f t="shared" si="3"/>
        <v>13</v>
      </c>
      <c r="AL42" s="15">
        <f t="shared" ca="1" si="4"/>
        <v>8250</v>
      </c>
      <c r="AM42" s="15">
        <f t="shared" ca="1" si="5"/>
        <v>2145</v>
      </c>
    </row>
    <row r="43" spans="1:39">
      <c r="A43" s="27"/>
      <c r="B43" t="s">
        <v>60</v>
      </c>
      <c r="C43">
        <f t="shared" ca="1" si="11"/>
        <v>10</v>
      </c>
      <c r="D43">
        <f t="shared" ca="1" si="11"/>
        <v>10</v>
      </c>
      <c r="E43">
        <f t="shared" ca="1" si="11"/>
        <v>8</v>
      </c>
      <c r="F43">
        <f t="shared" ca="1" si="11"/>
        <v>2</v>
      </c>
      <c r="G43">
        <f t="shared" ca="1" si="11"/>
        <v>1</v>
      </c>
      <c r="H43">
        <f t="shared" ca="1" si="11"/>
        <v>8</v>
      </c>
      <c r="I43">
        <f t="shared" ca="1" si="11"/>
        <v>4</v>
      </c>
      <c r="J43">
        <f t="shared" ca="1" si="11"/>
        <v>7</v>
      </c>
      <c r="K43">
        <f t="shared" ca="1" si="11"/>
        <v>9</v>
      </c>
      <c r="L43">
        <f t="shared" ca="1" si="11"/>
        <v>4</v>
      </c>
      <c r="M43">
        <f t="shared" ca="1" si="11"/>
        <v>1</v>
      </c>
      <c r="N43">
        <f t="shared" ca="1" si="11"/>
        <v>9</v>
      </c>
      <c r="O43">
        <f t="shared" ca="1" si="11"/>
        <v>7</v>
      </c>
      <c r="P43">
        <f t="shared" ca="1" si="11"/>
        <v>8</v>
      </c>
      <c r="Q43">
        <f t="shared" ca="1" si="11"/>
        <v>6</v>
      </c>
      <c r="R43">
        <f t="shared" ca="1" si="11"/>
        <v>5</v>
      </c>
      <c r="S43">
        <f t="shared" ca="1" si="10"/>
        <v>4</v>
      </c>
      <c r="T43">
        <f t="shared" ca="1" si="10"/>
        <v>7</v>
      </c>
      <c r="U43">
        <f t="shared" ca="1" si="10"/>
        <v>9</v>
      </c>
      <c r="V43">
        <f t="shared" ca="1" si="10"/>
        <v>5</v>
      </c>
      <c r="W43">
        <f t="shared" ca="1" si="10"/>
        <v>8</v>
      </c>
      <c r="X43">
        <f t="shared" ca="1" si="10"/>
        <v>8</v>
      </c>
      <c r="Y43">
        <f t="shared" ca="1" si="10"/>
        <v>4</v>
      </c>
      <c r="Z43">
        <f t="shared" ca="1" si="10"/>
        <v>2</v>
      </c>
      <c r="AA43">
        <f t="shared" ca="1" si="10"/>
        <v>3</v>
      </c>
      <c r="AB43">
        <f t="shared" ca="1" si="10"/>
        <v>1</v>
      </c>
      <c r="AC43">
        <f t="shared" ca="1" si="10"/>
        <v>2</v>
      </c>
      <c r="AD43">
        <f t="shared" ca="1" si="10"/>
        <v>3</v>
      </c>
      <c r="AE43">
        <f t="shared" ca="1" si="10"/>
        <v>3</v>
      </c>
      <c r="AF43">
        <f t="shared" ca="1" si="10"/>
        <v>7</v>
      </c>
      <c r="AH43" s="25">
        <f t="shared" ca="1" si="6"/>
        <v>165</v>
      </c>
      <c r="AI43">
        <v>221</v>
      </c>
      <c r="AJ43">
        <v>250</v>
      </c>
      <c r="AK43">
        <f t="shared" si="3"/>
        <v>29</v>
      </c>
      <c r="AL43" s="15">
        <f t="shared" ca="1" si="4"/>
        <v>41250</v>
      </c>
      <c r="AM43" s="15">
        <f t="shared" ca="1" si="5"/>
        <v>4785</v>
      </c>
    </row>
    <row r="44" spans="1:39">
      <c r="A44" s="27"/>
      <c r="B44" t="s">
        <v>61</v>
      </c>
      <c r="C44">
        <f t="shared" ca="1" si="11"/>
        <v>1</v>
      </c>
      <c r="D44">
        <f t="shared" ca="1" si="11"/>
        <v>1</v>
      </c>
      <c r="E44">
        <f t="shared" ca="1" si="11"/>
        <v>1</v>
      </c>
      <c r="F44">
        <f t="shared" ca="1" si="11"/>
        <v>5</v>
      </c>
      <c r="G44">
        <f t="shared" ca="1" si="11"/>
        <v>8</v>
      </c>
      <c r="H44">
        <f t="shared" ca="1" si="11"/>
        <v>9</v>
      </c>
      <c r="I44">
        <f t="shared" ca="1" si="11"/>
        <v>5</v>
      </c>
      <c r="J44">
        <f t="shared" ca="1" si="11"/>
        <v>7</v>
      </c>
      <c r="K44">
        <f t="shared" ca="1" si="11"/>
        <v>1</v>
      </c>
      <c r="L44">
        <f t="shared" ca="1" si="11"/>
        <v>5</v>
      </c>
      <c r="M44">
        <f t="shared" ca="1" si="11"/>
        <v>10</v>
      </c>
      <c r="N44">
        <f t="shared" ca="1" si="11"/>
        <v>3</v>
      </c>
      <c r="O44">
        <f t="shared" ca="1" si="11"/>
        <v>9</v>
      </c>
      <c r="P44">
        <f t="shared" ca="1" si="11"/>
        <v>8</v>
      </c>
      <c r="Q44">
        <f t="shared" ca="1" si="11"/>
        <v>7</v>
      </c>
      <c r="R44">
        <f t="shared" ca="1" si="11"/>
        <v>3</v>
      </c>
      <c r="S44">
        <f t="shared" ca="1" si="10"/>
        <v>2</v>
      </c>
      <c r="T44">
        <f t="shared" ca="1" si="10"/>
        <v>5</v>
      </c>
      <c r="U44">
        <f t="shared" ca="1" si="10"/>
        <v>3</v>
      </c>
      <c r="V44">
        <f t="shared" ca="1" si="10"/>
        <v>8</v>
      </c>
      <c r="W44">
        <f t="shared" ca="1" si="10"/>
        <v>2</v>
      </c>
      <c r="X44">
        <f t="shared" ca="1" si="10"/>
        <v>9</v>
      </c>
      <c r="Y44">
        <f t="shared" ca="1" si="10"/>
        <v>1</v>
      </c>
      <c r="Z44">
        <f t="shared" ca="1" si="10"/>
        <v>1</v>
      </c>
      <c r="AA44">
        <f t="shared" ca="1" si="10"/>
        <v>10</v>
      </c>
      <c r="AB44">
        <f t="shared" ca="1" si="10"/>
        <v>4</v>
      </c>
      <c r="AC44">
        <f t="shared" ca="1" si="10"/>
        <v>9</v>
      </c>
      <c r="AD44">
        <f t="shared" ca="1" si="10"/>
        <v>4</v>
      </c>
      <c r="AE44">
        <f t="shared" ca="1" si="10"/>
        <v>9</v>
      </c>
      <c r="AF44">
        <f t="shared" ca="1" si="10"/>
        <v>3</v>
      </c>
      <c r="AH44" s="25">
        <f t="shared" ca="1" si="6"/>
        <v>153</v>
      </c>
      <c r="AI44">
        <v>140</v>
      </c>
      <c r="AJ44">
        <v>150</v>
      </c>
      <c r="AK44">
        <f t="shared" si="3"/>
        <v>10</v>
      </c>
      <c r="AL44" s="15">
        <f t="shared" ca="1" si="4"/>
        <v>22950</v>
      </c>
      <c r="AM44" s="15">
        <f t="shared" ca="1" si="5"/>
        <v>1530</v>
      </c>
    </row>
    <row r="45" spans="1:39">
      <c r="A45" s="27"/>
      <c r="B45" t="s">
        <v>62</v>
      </c>
      <c r="C45">
        <f t="shared" ca="1" si="11"/>
        <v>1</v>
      </c>
      <c r="D45">
        <f t="shared" ca="1" si="11"/>
        <v>3</v>
      </c>
      <c r="E45">
        <f t="shared" ca="1" si="11"/>
        <v>1</v>
      </c>
      <c r="F45">
        <f t="shared" ca="1" si="11"/>
        <v>2</v>
      </c>
      <c r="G45">
        <f t="shared" ca="1" si="11"/>
        <v>10</v>
      </c>
      <c r="H45">
        <f t="shared" ca="1" si="11"/>
        <v>3</v>
      </c>
      <c r="I45">
        <f t="shared" ca="1" si="11"/>
        <v>7</v>
      </c>
      <c r="J45">
        <f t="shared" ca="1" si="11"/>
        <v>2</v>
      </c>
      <c r="K45">
        <f t="shared" ca="1" si="11"/>
        <v>9</v>
      </c>
      <c r="L45">
        <f t="shared" ca="1" si="11"/>
        <v>4</v>
      </c>
      <c r="M45">
        <f t="shared" ca="1" si="11"/>
        <v>8</v>
      </c>
      <c r="N45">
        <f t="shared" ca="1" si="11"/>
        <v>7</v>
      </c>
      <c r="O45">
        <f t="shared" ca="1" si="11"/>
        <v>3</v>
      </c>
      <c r="P45">
        <f t="shared" ca="1" si="11"/>
        <v>3</v>
      </c>
      <c r="Q45">
        <f t="shared" ca="1" si="11"/>
        <v>7</v>
      </c>
      <c r="R45">
        <f t="shared" ca="1" si="11"/>
        <v>1</v>
      </c>
      <c r="S45">
        <f t="shared" ca="1" si="10"/>
        <v>2</v>
      </c>
      <c r="T45">
        <f t="shared" ca="1" si="10"/>
        <v>10</v>
      </c>
      <c r="U45">
        <f t="shared" ca="1" si="10"/>
        <v>3</v>
      </c>
      <c r="V45">
        <f t="shared" ca="1" si="10"/>
        <v>5</v>
      </c>
      <c r="W45">
        <f t="shared" ca="1" si="10"/>
        <v>9</v>
      </c>
      <c r="X45">
        <f t="shared" ca="1" si="10"/>
        <v>2</v>
      </c>
      <c r="Y45">
        <f t="shared" ca="1" si="10"/>
        <v>9</v>
      </c>
      <c r="Z45">
        <f t="shared" ca="1" si="10"/>
        <v>10</v>
      </c>
      <c r="AA45">
        <f t="shared" ca="1" si="10"/>
        <v>2</v>
      </c>
      <c r="AB45">
        <f t="shared" ca="1" si="10"/>
        <v>1</v>
      </c>
      <c r="AC45">
        <f t="shared" ca="1" si="10"/>
        <v>1</v>
      </c>
      <c r="AD45">
        <f t="shared" ca="1" si="10"/>
        <v>5</v>
      </c>
      <c r="AE45">
        <f t="shared" ca="1" si="10"/>
        <v>2</v>
      </c>
      <c r="AF45">
        <f t="shared" ca="1" si="10"/>
        <v>6</v>
      </c>
      <c r="AH45" s="25">
        <f t="shared" ca="1" si="6"/>
        <v>138</v>
      </c>
      <c r="AI45">
        <v>154</v>
      </c>
      <c r="AJ45">
        <v>170</v>
      </c>
      <c r="AK45">
        <f t="shared" si="3"/>
        <v>16</v>
      </c>
      <c r="AL45" s="15">
        <f t="shared" ca="1" si="4"/>
        <v>23460</v>
      </c>
      <c r="AM45" s="15">
        <f t="shared" ca="1" si="5"/>
        <v>2208</v>
      </c>
    </row>
    <row r="46" spans="1:39">
      <c r="A46" s="27"/>
      <c r="B46" t="s">
        <v>63</v>
      </c>
      <c r="C46">
        <f t="shared" ca="1" si="11"/>
        <v>3</v>
      </c>
      <c r="D46">
        <f t="shared" ca="1" si="11"/>
        <v>6</v>
      </c>
      <c r="E46">
        <f t="shared" ca="1" si="11"/>
        <v>7</v>
      </c>
      <c r="F46">
        <f t="shared" ca="1" si="11"/>
        <v>8</v>
      </c>
      <c r="G46">
        <f t="shared" ca="1" si="11"/>
        <v>8</v>
      </c>
      <c r="H46">
        <f t="shared" ca="1" si="11"/>
        <v>6</v>
      </c>
      <c r="I46">
        <f t="shared" ca="1" si="11"/>
        <v>6</v>
      </c>
      <c r="J46">
        <f t="shared" ca="1" si="11"/>
        <v>1</v>
      </c>
      <c r="K46">
        <f t="shared" ca="1" si="11"/>
        <v>7</v>
      </c>
      <c r="L46">
        <f t="shared" ca="1" si="11"/>
        <v>4</v>
      </c>
      <c r="M46">
        <f t="shared" ca="1" si="11"/>
        <v>9</v>
      </c>
      <c r="N46">
        <f t="shared" ca="1" si="11"/>
        <v>10</v>
      </c>
      <c r="O46">
        <f t="shared" ca="1" si="11"/>
        <v>4</v>
      </c>
      <c r="P46">
        <f t="shared" ca="1" si="11"/>
        <v>4</v>
      </c>
      <c r="Q46">
        <f t="shared" ca="1" si="11"/>
        <v>6</v>
      </c>
      <c r="R46">
        <f t="shared" ca="1" si="11"/>
        <v>1</v>
      </c>
      <c r="S46">
        <f t="shared" ca="1" si="10"/>
        <v>4</v>
      </c>
      <c r="T46">
        <f t="shared" ca="1" si="10"/>
        <v>9</v>
      </c>
      <c r="U46">
        <f t="shared" ca="1" si="10"/>
        <v>6</v>
      </c>
      <c r="V46">
        <f t="shared" ca="1" si="10"/>
        <v>9</v>
      </c>
      <c r="W46">
        <f t="shared" ca="1" si="10"/>
        <v>5</v>
      </c>
      <c r="X46">
        <f t="shared" ca="1" si="10"/>
        <v>6</v>
      </c>
      <c r="Y46">
        <f t="shared" ca="1" si="10"/>
        <v>4</v>
      </c>
      <c r="Z46">
        <f t="shared" ca="1" si="10"/>
        <v>7</v>
      </c>
      <c r="AA46">
        <f t="shared" ca="1" si="10"/>
        <v>10</v>
      </c>
      <c r="AB46">
        <f t="shared" ca="1" si="10"/>
        <v>8</v>
      </c>
      <c r="AC46">
        <f t="shared" ca="1" si="10"/>
        <v>7</v>
      </c>
      <c r="AD46">
        <f t="shared" ca="1" si="10"/>
        <v>2</v>
      </c>
      <c r="AE46">
        <f t="shared" ca="1" si="10"/>
        <v>6</v>
      </c>
      <c r="AF46">
        <f t="shared" ca="1" si="10"/>
        <v>4</v>
      </c>
      <c r="AH46" s="25">
        <f t="shared" ca="1" si="6"/>
        <v>177</v>
      </c>
      <c r="AI46">
        <v>322</v>
      </c>
      <c r="AJ46">
        <v>345</v>
      </c>
      <c r="AK46">
        <f t="shared" si="3"/>
        <v>23</v>
      </c>
      <c r="AL46" s="15">
        <f t="shared" ca="1" si="4"/>
        <v>61065</v>
      </c>
      <c r="AM46" s="15">
        <f t="shared" ca="1" si="5"/>
        <v>4071</v>
      </c>
    </row>
    <row r="47" spans="1:39">
      <c r="A47" s="27"/>
      <c r="B47" t="s">
        <v>64</v>
      </c>
      <c r="C47">
        <f t="shared" ca="1" si="11"/>
        <v>9</v>
      </c>
      <c r="D47">
        <f t="shared" ca="1" si="11"/>
        <v>9</v>
      </c>
      <c r="E47">
        <f t="shared" ca="1" si="11"/>
        <v>2</v>
      </c>
      <c r="F47">
        <f t="shared" ca="1" si="11"/>
        <v>2</v>
      </c>
      <c r="G47">
        <f t="shared" ca="1" si="11"/>
        <v>2</v>
      </c>
      <c r="H47">
        <f t="shared" ca="1" si="11"/>
        <v>9</v>
      </c>
      <c r="I47">
        <f t="shared" ca="1" si="11"/>
        <v>6</v>
      </c>
      <c r="J47">
        <f t="shared" ca="1" si="11"/>
        <v>8</v>
      </c>
      <c r="K47">
        <f t="shared" ca="1" si="11"/>
        <v>4</v>
      </c>
      <c r="L47">
        <f t="shared" ca="1" si="11"/>
        <v>1</v>
      </c>
      <c r="M47">
        <f t="shared" ca="1" si="11"/>
        <v>2</v>
      </c>
      <c r="N47">
        <f t="shared" ca="1" si="11"/>
        <v>4</v>
      </c>
      <c r="O47">
        <f t="shared" ca="1" si="11"/>
        <v>3</v>
      </c>
      <c r="P47">
        <f t="shared" ca="1" si="11"/>
        <v>2</v>
      </c>
      <c r="Q47">
        <f t="shared" ca="1" si="11"/>
        <v>9</v>
      </c>
      <c r="R47">
        <f t="shared" ca="1" si="11"/>
        <v>5</v>
      </c>
      <c r="S47">
        <f t="shared" ca="1" si="10"/>
        <v>1</v>
      </c>
      <c r="T47">
        <f t="shared" ca="1" si="10"/>
        <v>1</v>
      </c>
      <c r="U47">
        <f t="shared" ca="1" si="10"/>
        <v>5</v>
      </c>
      <c r="V47">
        <f t="shared" ca="1" si="10"/>
        <v>8</v>
      </c>
      <c r="W47">
        <f t="shared" ca="1" si="10"/>
        <v>10</v>
      </c>
      <c r="X47">
        <f t="shared" ca="1" si="10"/>
        <v>2</v>
      </c>
      <c r="Y47">
        <f t="shared" ca="1" si="10"/>
        <v>7</v>
      </c>
      <c r="Z47">
        <f t="shared" ca="1" si="10"/>
        <v>2</v>
      </c>
      <c r="AA47">
        <f t="shared" ca="1" si="10"/>
        <v>6</v>
      </c>
      <c r="AB47">
        <f t="shared" ca="1" si="10"/>
        <v>4</v>
      </c>
      <c r="AC47">
        <f t="shared" ca="1" si="10"/>
        <v>4</v>
      </c>
      <c r="AD47">
        <f t="shared" ca="1" si="10"/>
        <v>10</v>
      </c>
      <c r="AE47">
        <f t="shared" ca="1" si="10"/>
        <v>10</v>
      </c>
      <c r="AF47">
        <f t="shared" ca="1" si="10"/>
        <v>6</v>
      </c>
      <c r="AH47" s="25">
        <f t="shared" ca="1" si="6"/>
        <v>153</v>
      </c>
      <c r="AI47">
        <v>380</v>
      </c>
      <c r="AJ47">
        <v>456</v>
      </c>
      <c r="AK47">
        <f t="shared" si="3"/>
        <v>76</v>
      </c>
      <c r="AL47" s="15">
        <f t="shared" ca="1" si="4"/>
        <v>69768</v>
      </c>
      <c r="AM47" s="15">
        <f t="shared" ca="1" si="5"/>
        <v>11628</v>
      </c>
    </row>
    <row r="48" spans="1:39">
      <c r="A48" s="27"/>
      <c r="B48" t="s">
        <v>65</v>
      </c>
      <c r="C48">
        <f t="shared" ca="1" si="11"/>
        <v>3</v>
      </c>
      <c r="D48">
        <f t="shared" ca="1" si="11"/>
        <v>3</v>
      </c>
      <c r="E48">
        <f t="shared" ca="1" si="11"/>
        <v>1</v>
      </c>
      <c r="F48">
        <f t="shared" ca="1" si="11"/>
        <v>2</v>
      </c>
      <c r="G48">
        <f t="shared" ca="1" si="11"/>
        <v>1</v>
      </c>
      <c r="H48">
        <f t="shared" ca="1" si="11"/>
        <v>6</v>
      </c>
      <c r="I48">
        <f t="shared" ca="1" si="11"/>
        <v>2</v>
      </c>
      <c r="J48">
        <f t="shared" ca="1" si="11"/>
        <v>3</v>
      </c>
      <c r="K48">
        <f t="shared" ca="1" si="11"/>
        <v>1</v>
      </c>
      <c r="L48">
        <f t="shared" ca="1" si="11"/>
        <v>10</v>
      </c>
      <c r="M48">
        <f t="shared" ca="1" si="11"/>
        <v>8</v>
      </c>
      <c r="N48">
        <f t="shared" ca="1" si="11"/>
        <v>2</v>
      </c>
      <c r="O48">
        <f t="shared" ca="1" si="11"/>
        <v>2</v>
      </c>
      <c r="P48">
        <f t="shared" ca="1" si="11"/>
        <v>5</v>
      </c>
      <c r="Q48">
        <f t="shared" ca="1" si="11"/>
        <v>9</v>
      </c>
      <c r="R48">
        <f t="shared" ca="1" si="11"/>
        <v>2</v>
      </c>
      <c r="S48">
        <f t="shared" ca="1" si="10"/>
        <v>3</v>
      </c>
      <c r="T48">
        <f t="shared" ca="1" si="10"/>
        <v>5</v>
      </c>
      <c r="U48">
        <f t="shared" ca="1" si="10"/>
        <v>2</v>
      </c>
      <c r="V48">
        <f t="shared" ca="1" si="10"/>
        <v>4</v>
      </c>
      <c r="W48">
        <f t="shared" ca="1" si="10"/>
        <v>1</v>
      </c>
      <c r="X48">
        <f t="shared" ca="1" si="10"/>
        <v>7</v>
      </c>
      <c r="Y48">
        <f t="shared" ca="1" si="10"/>
        <v>6</v>
      </c>
      <c r="Z48">
        <f t="shared" ca="1" si="10"/>
        <v>5</v>
      </c>
      <c r="AA48">
        <f t="shared" ca="1" si="10"/>
        <v>8</v>
      </c>
      <c r="AB48">
        <f t="shared" ca="1" si="10"/>
        <v>6</v>
      </c>
      <c r="AC48">
        <f t="shared" ca="1" si="10"/>
        <v>1</v>
      </c>
      <c r="AD48">
        <f t="shared" ca="1" si="10"/>
        <v>1</v>
      </c>
      <c r="AE48">
        <f t="shared" ca="1" si="10"/>
        <v>1</v>
      </c>
      <c r="AF48">
        <f t="shared" ca="1" si="10"/>
        <v>2</v>
      </c>
      <c r="AH48" s="25">
        <f t="shared" ca="1" si="6"/>
        <v>112</v>
      </c>
      <c r="AI48">
        <v>133</v>
      </c>
      <c r="AJ48">
        <v>158</v>
      </c>
      <c r="AK48">
        <f t="shared" si="3"/>
        <v>25</v>
      </c>
      <c r="AL48" s="15">
        <f t="shared" ca="1" si="4"/>
        <v>17696</v>
      </c>
      <c r="AM48" s="15">
        <f t="shared" ca="1" si="5"/>
        <v>2800</v>
      </c>
    </row>
    <row r="49" spans="1:39">
      <c r="A49" s="27"/>
      <c r="B49" t="s">
        <v>66</v>
      </c>
      <c r="C49">
        <f t="shared" ca="1" si="11"/>
        <v>8</v>
      </c>
      <c r="D49">
        <f t="shared" ca="1" si="11"/>
        <v>2</v>
      </c>
      <c r="E49">
        <f t="shared" ca="1" si="11"/>
        <v>10</v>
      </c>
      <c r="F49">
        <f t="shared" ca="1" si="11"/>
        <v>6</v>
      </c>
      <c r="G49">
        <f t="shared" ca="1" si="11"/>
        <v>8</v>
      </c>
      <c r="H49">
        <f t="shared" ca="1" si="11"/>
        <v>7</v>
      </c>
      <c r="I49">
        <f t="shared" ca="1" si="11"/>
        <v>8</v>
      </c>
      <c r="J49">
        <f t="shared" ca="1" si="11"/>
        <v>1</v>
      </c>
      <c r="K49">
        <f t="shared" ca="1" si="11"/>
        <v>2</v>
      </c>
      <c r="L49">
        <f t="shared" ca="1" si="11"/>
        <v>2</v>
      </c>
      <c r="M49">
        <f t="shared" ca="1" si="11"/>
        <v>2</v>
      </c>
      <c r="N49">
        <f t="shared" ca="1" si="11"/>
        <v>1</v>
      </c>
      <c r="O49">
        <f t="shared" ca="1" si="11"/>
        <v>6</v>
      </c>
      <c r="P49">
        <f t="shared" ca="1" si="11"/>
        <v>4</v>
      </c>
      <c r="Q49">
        <f t="shared" ca="1" si="11"/>
        <v>5</v>
      </c>
      <c r="R49">
        <f t="shared" ca="1" si="11"/>
        <v>5</v>
      </c>
      <c r="S49">
        <f t="shared" ca="1" si="10"/>
        <v>8</v>
      </c>
      <c r="T49">
        <f t="shared" ca="1" si="10"/>
        <v>7</v>
      </c>
      <c r="U49">
        <f t="shared" ca="1" si="10"/>
        <v>4</v>
      </c>
      <c r="V49">
        <f t="shared" ca="1" si="10"/>
        <v>4</v>
      </c>
      <c r="W49">
        <f t="shared" ca="1" si="10"/>
        <v>1</v>
      </c>
      <c r="X49">
        <f t="shared" ca="1" si="10"/>
        <v>1</v>
      </c>
      <c r="Y49">
        <f t="shared" ca="1" si="10"/>
        <v>2</v>
      </c>
      <c r="Z49">
        <f t="shared" ca="1" si="10"/>
        <v>10</v>
      </c>
      <c r="AA49">
        <f t="shared" ca="1" si="10"/>
        <v>6</v>
      </c>
      <c r="AB49">
        <f t="shared" ca="1" si="10"/>
        <v>2</v>
      </c>
      <c r="AC49">
        <f t="shared" ca="1" si="10"/>
        <v>4</v>
      </c>
      <c r="AD49">
        <f t="shared" ca="1" si="10"/>
        <v>6</v>
      </c>
      <c r="AE49">
        <f t="shared" ca="1" si="10"/>
        <v>10</v>
      </c>
      <c r="AF49">
        <f t="shared" ca="1" si="10"/>
        <v>4</v>
      </c>
      <c r="AH49" s="25">
        <f t="shared" ca="1" si="6"/>
        <v>146</v>
      </c>
      <c r="AI49">
        <v>40</v>
      </c>
      <c r="AJ49">
        <v>65</v>
      </c>
      <c r="AK49">
        <f t="shared" si="3"/>
        <v>25</v>
      </c>
      <c r="AL49" s="15">
        <f t="shared" ca="1" si="4"/>
        <v>9490</v>
      </c>
      <c r="AM49" s="15">
        <f t="shared" ca="1" si="5"/>
        <v>3650</v>
      </c>
    </row>
    <row r="50" spans="1:39">
      <c r="A50" s="27"/>
      <c r="B50" t="s">
        <v>67</v>
      </c>
      <c r="C50">
        <f t="shared" ca="1" si="11"/>
        <v>2</v>
      </c>
      <c r="D50">
        <f t="shared" ca="1" si="11"/>
        <v>2</v>
      </c>
      <c r="E50">
        <f t="shared" ca="1" si="11"/>
        <v>4</v>
      </c>
      <c r="F50">
        <f t="shared" ca="1" si="11"/>
        <v>5</v>
      </c>
      <c r="G50">
        <f t="shared" ca="1" si="11"/>
        <v>3</v>
      </c>
      <c r="H50">
        <f t="shared" ca="1" si="11"/>
        <v>1</v>
      </c>
      <c r="I50">
        <f t="shared" ca="1" si="11"/>
        <v>7</v>
      </c>
      <c r="J50">
        <f t="shared" ca="1" si="11"/>
        <v>5</v>
      </c>
      <c r="K50">
        <f t="shared" ca="1" si="11"/>
        <v>6</v>
      </c>
      <c r="L50">
        <f t="shared" ca="1" si="11"/>
        <v>10</v>
      </c>
      <c r="M50">
        <f t="shared" ca="1" si="11"/>
        <v>4</v>
      </c>
      <c r="N50">
        <f t="shared" ca="1" si="11"/>
        <v>9</v>
      </c>
      <c r="O50">
        <f t="shared" ca="1" si="11"/>
        <v>1</v>
      </c>
      <c r="P50">
        <f t="shared" ca="1" si="11"/>
        <v>8</v>
      </c>
      <c r="Q50">
        <f t="shared" ca="1" si="11"/>
        <v>1</v>
      </c>
      <c r="R50">
        <f t="shared" ca="1" si="11"/>
        <v>9</v>
      </c>
      <c r="S50">
        <f t="shared" ca="1" si="10"/>
        <v>5</v>
      </c>
      <c r="T50">
        <f t="shared" ca="1" si="10"/>
        <v>8</v>
      </c>
      <c r="U50">
        <f t="shared" ca="1" si="10"/>
        <v>9</v>
      </c>
      <c r="V50">
        <f t="shared" ca="1" si="10"/>
        <v>6</v>
      </c>
      <c r="W50">
        <f t="shared" ca="1" si="10"/>
        <v>6</v>
      </c>
      <c r="X50">
        <f t="shared" ca="1" si="10"/>
        <v>8</v>
      </c>
      <c r="Y50">
        <f t="shared" ca="1" si="10"/>
        <v>1</v>
      </c>
      <c r="Z50">
        <f t="shared" ca="1" si="10"/>
        <v>2</v>
      </c>
      <c r="AA50">
        <f t="shared" ca="1" si="10"/>
        <v>5</v>
      </c>
      <c r="AB50">
        <f t="shared" ca="1" si="10"/>
        <v>2</v>
      </c>
      <c r="AC50">
        <f t="shared" ca="1" si="10"/>
        <v>5</v>
      </c>
      <c r="AD50">
        <f t="shared" ca="1" si="10"/>
        <v>5</v>
      </c>
      <c r="AE50">
        <f t="shared" ca="1" si="10"/>
        <v>7</v>
      </c>
      <c r="AF50">
        <f t="shared" ca="1" si="10"/>
        <v>10</v>
      </c>
      <c r="AH50" s="25">
        <f t="shared" ca="1" si="6"/>
        <v>156</v>
      </c>
      <c r="AI50">
        <v>72</v>
      </c>
      <c r="AJ50">
        <v>89</v>
      </c>
      <c r="AK50">
        <f t="shared" si="3"/>
        <v>17</v>
      </c>
      <c r="AL50" s="15">
        <f t="shared" ca="1" si="4"/>
        <v>13884</v>
      </c>
      <c r="AM50" s="15">
        <f t="shared" ca="1" si="5"/>
        <v>2652</v>
      </c>
    </row>
    <row r="51" spans="1:39">
      <c r="A51" s="27"/>
      <c r="B51" t="s">
        <v>68</v>
      </c>
      <c r="C51">
        <f t="shared" ca="1" si="11"/>
        <v>4</v>
      </c>
      <c r="D51">
        <f t="shared" ca="1" si="11"/>
        <v>9</v>
      </c>
      <c r="E51">
        <f t="shared" ca="1" si="11"/>
        <v>4</v>
      </c>
      <c r="F51">
        <f t="shared" ca="1" si="11"/>
        <v>2</v>
      </c>
      <c r="G51">
        <f t="shared" ca="1" si="11"/>
        <v>2</v>
      </c>
      <c r="H51">
        <f t="shared" ca="1" si="11"/>
        <v>5</v>
      </c>
      <c r="I51">
        <f t="shared" ca="1" si="11"/>
        <v>4</v>
      </c>
      <c r="J51">
        <f t="shared" ca="1" si="11"/>
        <v>1</v>
      </c>
      <c r="K51">
        <f t="shared" ca="1" si="11"/>
        <v>3</v>
      </c>
      <c r="L51">
        <f t="shared" ca="1" si="11"/>
        <v>5</v>
      </c>
      <c r="M51">
        <f t="shared" ca="1" si="11"/>
        <v>7</v>
      </c>
      <c r="N51">
        <f t="shared" ca="1" si="11"/>
        <v>9</v>
      </c>
      <c r="O51">
        <f t="shared" ca="1" si="11"/>
        <v>8</v>
      </c>
      <c r="P51">
        <f t="shared" ca="1" si="11"/>
        <v>8</v>
      </c>
      <c r="Q51">
        <f t="shared" ca="1" si="11"/>
        <v>4</v>
      </c>
      <c r="R51">
        <f t="shared" ref="R51:AF57" ca="1" si="12">RANDBETWEEN(1,10)</f>
        <v>10</v>
      </c>
      <c r="S51">
        <f t="shared" ca="1" si="12"/>
        <v>6</v>
      </c>
      <c r="T51">
        <f t="shared" ca="1" si="12"/>
        <v>8</v>
      </c>
      <c r="U51">
        <f t="shared" ca="1" si="12"/>
        <v>5</v>
      </c>
      <c r="V51">
        <f t="shared" ca="1" si="12"/>
        <v>8</v>
      </c>
      <c r="W51">
        <f t="shared" ca="1" si="12"/>
        <v>2</v>
      </c>
      <c r="X51">
        <f t="shared" ca="1" si="12"/>
        <v>5</v>
      </c>
      <c r="Y51">
        <f t="shared" ca="1" si="12"/>
        <v>2</v>
      </c>
      <c r="Z51">
        <f t="shared" ca="1" si="12"/>
        <v>6</v>
      </c>
      <c r="AA51">
        <f t="shared" ca="1" si="12"/>
        <v>6</v>
      </c>
      <c r="AB51">
        <f t="shared" ca="1" si="12"/>
        <v>10</v>
      </c>
      <c r="AC51">
        <f t="shared" ca="1" si="12"/>
        <v>1</v>
      </c>
      <c r="AD51">
        <f t="shared" ca="1" si="12"/>
        <v>1</v>
      </c>
      <c r="AE51">
        <f t="shared" ca="1" si="12"/>
        <v>9</v>
      </c>
      <c r="AF51">
        <f t="shared" ca="1" si="12"/>
        <v>2</v>
      </c>
      <c r="AH51" s="25">
        <f t="shared" ca="1" si="6"/>
        <v>156</v>
      </c>
      <c r="AI51">
        <v>236</v>
      </c>
      <c r="AJ51">
        <v>268</v>
      </c>
      <c r="AK51">
        <f t="shared" si="3"/>
        <v>32</v>
      </c>
      <c r="AL51" s="15">
        <f t="shared" ca="1" si="4"/>
        <v>41808</v>
      </c>
      <c r="AM51" s="15">
        <f t="shared" ca="1" si="5"/>
        <v>4992</v>
      </c>
    </row>
    <row r="52" spans="1:39">
      <c r="A52" s="27"/>
      <c r="B52" t="s">
        <v>69</v>
      </c>
      <c r="C52">
        <f t="shared" ref="C52:R57" ca="1" si="13">RANDBETWEEN(1,10)</f>
        <v>7</v>
      </c>
      <c r="D52">
        <f t="shared" ca="1" si="13"/>
        <v>9</v>
      </c>
      <c r="E52">
        <f t="shared" ca="1" si="13"/>
        <v>3</v>
      </c>
      <c r="F52">
        <f t="shared" ca="1" si="13"/>
        <v>6</v>
      </c>
      <c r="G52">
        <f t="shared" ca="1" si="13"/>
        <v>2</v>
      </c>
      <c r="H52">
        <f t="shared" ca="1" si="13"/>
        <v>7</v>
      </c>
      <c r="I52">
        <f t="shared" ca="1" si="13"/>
        <v>3</v>
      </c>
      <c r="J52">
        <f t="shared" ca="1" si="13"/>
        <v>4</v>
      </c>
      <c r="K52">
        <f t="shared" ca="1" si="13"/>
        <v>10</v>
      </c>
      <c r="L52">
        <f t="shared" ca="1" si="13"/>
        <v>6</v>
      </c>
      <c r="M52">
        <f t="shared" ca="1" si="13"/>
        <v>10</v>
      </c>
      <c r="N52">
        <f t="shared" ca="1" si="13"/>
        <v>10</v>
      </c>
      <c r="O52">
        <f t="shared" ca="1" si="13"/>
        <v>1</v>
      </c>
      <c r="P52">
        <f t="shared" ca="1" si="13"/>
        <v>3</v>
      </c>
      <c r="Q52">
        <f t="shared" ca="1" si="13"/>
        <v>8</v>
      </c>
      <c r="R52">
        <f t="shared" ca="1" si="13"/>
        <v>9</v>
      </c>
      <c r="S52">
        <f t="shared" ca="1" si="12"/>
        <v>3</v>
      </c>
      <c r="T52">
        <f t="shared" ca="1" si="12"/>
        <v>9</v>
      </c>
      <c r="U52">
        <f t="shared" ca="1" si="12"/>
        <v>7</v>
      </c>
      <c r="V52">
        <f t="shared" ca="1" si="12"/>
        <v>4</v>
      </c>
      <c r="W52">
        <f t="shared" ca="1" si="12"/>
        <v>10</v>
      </c>
      <c r="X52">
        <f t="shared" ca="1" si="12"/>
        <v>4</v>
      </c>
      <c r="Y52">
        <f t="shared" ca="1" si="12"/>
        <v>4</v>
      </c>
      <c r="Z52">
        <f t="shared" ca="1" si="12"/>
        <v>2</v>
      </c>
      <c r="AA52">
        <f t="shared" ca="1" si="12"/>
        <v>8</v>
      </c>
      <c r="AB52">
        <f t="shared" ca="1" si="12"/>
        <v>3</v>
      </c>
      <c r="AC52">
        <f t="shared" ca="1" si="12"/>
        <v>10</v>
      </c>
      <c r="AD52">
        <f t="shared" ca="1" si="12"/>
        <v>3</v>
      </c>
      <c r="AE52">
        <f t="shared" ca="1" si="12"/>
        <v>10</v>
      </c>
      <c r="AF52">
        <f t="shared" ca="1" si="12"/>
        <v>7</v>
      </c>
      <c r="AH52" s="25">
        <f t="shared" ca="1" si="6"/>
        <v>182</v>
      </c>
      <c r="AI52">
        <v>156</v>
      </c>
      <c r="AJ52">
        <v>178</v>
      </c>
      <c r="AK52">
        <f t="shared" si="3"/>
        <v>22</v>
      </c>
      <c r="AL52" s="15">
        <f t="shared" ca="1" si="4"/>
        <v>32396</v>
      </c>
      <c r="AM52" s="15">
        <f t="shared" ca="1" si="5"/>
        <v>4004</v>
      </c>
    </row>
    <row r="53" spans="1:39">
      <c r="A53" s="27"/>
      <c r="B53" t="s">
        <v>70</v>
      </c>
      <c r="C53">
        <f t="shared" ca="1" si="13"/>
        <v>2</v>
      </c>
      <c r="D53">
        <f t="shared" ca="1" si="13"/>
        <v>10</v>
      </c>
      <c r="E53">
        <f t="shared" ca="1" si="13"/>
        <v>9</v>
      </c>
      <c r="F53">
        <f t="shared" ca="1" si="13"/>
        <v>5</v>
      </c>
      <c r="G53">
        <f t="shared" ca="1" si="13"/>
        <v>3</v>
      </c>
      <c r="H53">
        <f t="shared" ca="1" si="13"/>
        <v>6</v>
      </c>
      <c r="I53">
        <f t="shared" ca="1" si="13"/>
        <v>7</v>
      </c>
      <c r="J53">
        <f t="shared" ca="1" si="13"/>
        <v>8</v>
      </c>
      <c r="K53">
        <f t="shared" ca="1" si="13"/>
        <v>8</v>
      </c>
      <c r="L53">
        <f t="shared" ca="1" si="13"/>
        <v>8</v>
      </c>
      <c r="M53">
        <f t="shared" ca="1" si="13"/>
        <v>6</v>
      </c>
      <c r="N53">
        <f t="shared" ca="1" si="13"/>
        <v>9</v>
      </c>
      <c r="O53">
        <f t="shared" ca="1" si="13"/>
        <v>7</v>
      </c>
      <c r="P53">
        <f t="shared" ca="1" si="13"/>
        <v>8</v>
      </c>
      <c r="Q53">
        <f t="shared" ca="1" si="13"/>
        <v>2</v>
      </c>
      <c r="R53">
        <f t="shared" ca="1" si="13"/>
        <v>10</v>
      </c>
      <c r="S53">
        <f t="shared" ca="1" si="12"/>
        <v>4</v>
      </c>
      <c r="T53">
        <f t="shared" ca="1" si="12"/>
        <v>5</v>
      </c>
      <c r="U53">
        <f t="shared" ca="1" si="12"/>
        <v>1</v>
      </c>
      <c r="V53">
        <f t="shared" ca="1" si="12"/>
        <v>7</v>
      </c>
      <c r="W53">
        <f t="shared" ca="1" si="12"/>
        <v>10</v>
      </c>
      <c r="X53">
        <f t="shared" ca="1" si="12"/>
        <v>10</v>
      </c>
      <c r="Y53">
        <f t="shared" ca="1" si="12"/>
        <v>7</v>
      </c>
      <c r="Z53">
        <f t="shared" ca="1" si="12"/>
        <v>8</v>
      </c>
      <c r="AA53">
        <f t="shared" ca="1" si="12"/>
        <v>4</v>
      </c>
      <c r="AB53">
        <f t="shared" ca="1" si="12"/>
        <v>5</v>
      </c>
      <c r="AC53">
        <f t="shared" ca="1" si="12"/>
        <v>10</v>
      </c>
      <c r="AD53">
        <f t="shared" ca="1" si="12"/>
        <v>10</v>
      </c>
      <c r="AE53">
        <f t="shared" ca="1" si="12"/>
        <v>2</v>
      </c>
      <c r="AF53">
        <f t="shared" ca="1" si="12"/>
        <v>5</v>
      </c>
      <c r="AH53" s="25">
        <f t="shared" ca="1" si="6"/>
        <v>196</v>
      </c>
      <c r="AI53">
        <v>182</v>
      </c>
      <c r="AJ53">
        <v>225</v>
      </c>
      <c r="AK53">
        <f t="shared" si="3"/>
        <v>43</v>
      </c>
      <c r="AL53" s="15">
        <f t="shared" ca="1" si="4"/>
        <v>44100</v>
      </c>
      <c r="AM53" s="15">
        <f t="shared" ca="1" si="5"/>
        <v>8428</v>
      </c>
    </row>
    <row r="54" spans="1:39">
      <c r="A54" s="27"/>
      <c r="B54" t="s">
        <v>71</v>
      </c>
      <c r="C54">
        <f t="shared" ca="1" si="13"/>
        <v>1</v>
      </c>
      <c r="D54">
        <f t="shared" ca="1" si="13"/>
        <v>7</v>
      </c>
      <c r="E54">
        <f t="shared" ca="1" si="13"/>
        <v>5</v>
      </c>
      <c r="F54">
        <f t="shared" ca="1" si="13"/>
        <v>1</v>
      </c>
      <c r="G54">
        <f t="shared" ca="1" si="13"/>
        <v>1</v>
      </c>
      <c r="H54">
        <f t="shared" ca="1" si="13"/>
        <v>2</v>
      </c>
      <c r="I54">
        <f t="shared" ca="1" si="13"/>
        <v>6</v>
      </c>
      <c r="J54">
        <f t="shared" ca="1" si="13"/>
        <v>3</v>
      </c>
      <c r="K54">
        <f t="shared" ca="1" si="13"/>
        <v>8</v>
      </c>
      <c r="L54">
        <f t="shared" ca="1" si="13"/>
        <v>7</v>
      </c>
      <c r="M54">
        <f t="shared" ca="1" si="13"/>
        <v>5</v>
      </c>
      <c r="N54">
        <f t="shared" ca="1" si="13"/>
        <v>3</v>
      </c>
      <c r="O54">
        <f t="shared" ca="1" si="13"/>
        <v>7</v>
      </c>
      <c r="P54">
        <f t="shared" ca="1" si="13"/>
        <v>6</v>
      </c>
      <c r="Q54">
        <f t="shared" ca="1" si="13"/>
        <v>10</v>
      </c>
      <c r="R54">
        <f t="shared" ca="1" si="13"/>
        <v>4</v>
      </c>
      <c r="S54">
        <f t="shared" ca="1" si="12"/>
        <v>3</v>
      </c>
      <c r="T54">
        <f t="shared" ca="1" si="12"/>
        <v>9</v>
      </c>
      <c r="U54">
        <f t="shared" ca="1" si="12"/>
        <v>10</v>
      </c>
      <c r="V54">
        <f t="shared" ca="1" si="12"/>
        <v>9</v>
      </c>
      <c r="W54">
        <f t="shared" ca="1" si="12"/>
        <v>9</v>
      </c>
      <c r="X54">
        <f t="shared" ca="1" si="12"/>
        <v>2</v>
      </c>
      <c r="Y54">
        <f t="shared" ca="1" si="12"/>
        <v>10</v>
      </c>
      <c r="Z54">
        <f t="shared" ca="1" si="12"/>
        <v>3</v>
      </c>
      <c r="AA54">
        <f t="shared" ca="1" si="12"/>
        <v>7</v>
      </c>
      <c r="AB54">
        <f t="shared" ca="1" si="12"/>
        <v>8</v>
      </c>
      <c r="AC54">
        <f t="shared" ca="1" si="12"/>
        <v>10</v>
      </c>
      <c r="AD54">
        <f t="shared" ca="1" si="12"/>
        <v>8</v>
      </c>
      <c r="AE54">
        <f t="shared" ca="1" si="12"/>
        <v>10</v>
      </c>
      <c r="AF54">
        <f t="shared" ca="1" si="12"/>
        <v>8</v>
      </c>
      <c r="AH54" s="25">
        <f t="shared" ca="1" si="6"/>
        <v>182</v>
      </c>
      <c r="AI54">
        <v>23</v>
      </c>
      <c r="AJ54">
        <v>35</v>
      </c>
      <c r="AK54">
        <f t="shared" si="3"/>
        <v>12</v>
      </c>
      <c r="AL54" s="15">
        <f t="shared" ca="1" si="4"/>
        <v>6370</v>
      </c>
      <c r="AM54" s="15">
        <f t="shared" ca="1" si="5"/>
        <v>2184</v>
      </c>
    </row>
    <row r="55" spans="1:39">
      <c r="A55" s="27"/>
      <c r="B55" t="s">
        <v>72</v>
      </c>
      <c r="C55">
        <f t="shared" ca="1" si="13"/>
        <v>4</v>
      </c>
      <c r="D55">
        <f t="shared" ca="1" si="13"/>
        <v>2</v>
      </c>
      <c r="E55">
        <f t="shared" ca="1" si="13"/>
        <v>6</v>
      </c>
      <c r="F55">
        <f t="shared" ca="1" si="13"/>
        <v>4</v>
      </c>
      <c r="G55">
        <f t="shared" ca="1" si="13"/>
        <v>3</v>
      </c>
      <c r="H55">
        <f t="shared" ca="1" si="13"/>
        <v>10</v>
      </c>
      <c r="I55">
        <f t="shared" ca="1" si="13"/>
        <v>2</v>
      </c>
      <c r="J55">
        <f t="shared" ca="1" si="13"/>
        <v>5</v>
      </c>
      <c r="K55">
        <f t="shared" ca="1" si="13"/>
        <v>1</v>
      </c>
      <c r="L55">
        <f t="shared" ca="1" si="13"/>
        <v>10</v>
      </c>
      <c r="M55">
        <f t="shared" ca="1" si="13"/>
        <v>5</v>
      </c>
      <c r="N55">
        <f t="shared" ca="1" si="13"/>
        <v>9</v>
      </c>
      <c r="O55">
        <f t="shared" ca="1" si="13"/>
        <v>1</v>
      </c>
      <c r="P55">
        <f t="shared" ca="1" si="13"/>
        <v>6</v>
      </c>
      <c r="Q55">
        <f t="shared" ca="1" si="13"/>
        <v>9</v>
      </c>
      <c r="R55">
        <f t="shared" ca="1" si="13"/>
        <v>7</v>
      </c>
      <c r="S55">
        <f t="shared" ca="1" si="12"/>
        <v>10</v>
      </c>
      <c r="T55">
        <f t="shared" ca="1" si="12"/>
        <v>10</v>
      </c>
      <c r="U55">
        <f t="shared" ca="1" si="12"/>
        <v>2</v>
      </c>
      <c r="V55">
        <f t="shared" ca="1" si="12"/>
        <v>1</v>
      </c>
      <c r="W55">
        <f t="shared" ca="1" si="12"/>
        <v>3</v>
      </c>
      <c r="X55">
        <f t="shared" ca="1" si="12"/>
        <v>5</v>
      </c>
      <c r="Y55">
        <f t="shared" ca="1" si="12"/>
        <v>8</v>
      </c>
      <c r="Z55">
        <f t="shared" ca="1" si="12"/>
        <v>10</v>
      </c>
      <c r="AA55">
        <f t="shared" ca="1" si="12"/>
        <v>9</v>
      </c>
      <c r="AB55">
        <f t="shared" ca="1" si="12"/>
        <v>5</v>
      </c>
      <c r="AC55">
        <f t="shared" ca="1" si="12"/>
        <v>2</v>
      </c>
      <c r="AD55">
        <f t="shared" ca="1" si="12"/>
        <v>9</v>
      </c>
      <c r="AE55">
        <f t="shared" ca="1" si="12"/>
        <v>10</v>
      </c>
      <c r="AF55">
        <f t="shared" ca="1" si="12"/>
        <v>7</v>
      </c>
      <c r="AH55" s="25">
        <f t="shared" ca="1" si="6"/>
        <v>175</v>
      </c>
      <c r="AI55">
        <v>205</v>
      </c>
      <c r="AJ55">
        <v>260</v>
      </c>
      <c r="AK55">
        <f t="shared" si="3"/>
        <v>55</v>
      </c>
      <c r="AL55" s="15">
        <f t="shared" ca="1" si="4"/>
        <v>45500</v>
      </c>
      <c r="AM55" s="15">
        <f t="shared" ca="1" si="5"/>
        <v>9625</v>
      </c>
    </row>
    <row r="56" spans="1:39">
      <c r="A56" s="27"/>
      <c r="B56" t="s">
        <v>73</v>
      </c>
      <c r="C56">
        <f t="shared" ca="1" si="13"/>
        <v>9</v>
      </c>
      <c r="D56">
        <f t="shared" ca="1" si="13"/>
        <v>5</v>
      </c>
      <c r="E56">
        <f t="shared" ca="1" si="13"/>
        <v>2</v>
      </c>
      <c r="F56">
        <f t="shared" ca="1" si="13"/>
        <v>4</v>
      </c>
      <c r="G56">
        <f t="shared" ca="1" si="13"/>
        <v>3</v>
      </c>
      <c r="H56">
        <f t="shared" ca="1" si="13"/>
        <v>10</v>
      </c>
      <c r="I56">
        <f t="shared" ca="1" si="13"/>
        <v>9</v>
      </c>
      <c r="J56">
        <f t="shared" ca="1" si="13"/>
        <v>8</v>
      </c>
      <c r="K56">
        <f t="shared" ca="1" si="13"/>
        <v>8</v>
      </c>
      <c r="L56">
        <f t="shared" ca="1" si="13"/>
        <v>9</v>
      </c>
      <c r="M56">
        <f t="shared" ca="1" si="13"/>
        <v>2</v>
      </c>
      <c r="N56">
        <f t="shared" ca="1" si="13"/>
        <v>10</v>
      </c>
      <c r="O56">
        <f t="shared" ca="1" si="13"/>
        <v>2</v>
      </c>
      <c r="P56">
        <f t="shared" ca="1" si="13"/>
        <v>8</v>
      </c>
      <c r="Q56">
        <f t="shared" ca="1" si="13"/>
        <v>1</v>
      </c>
      <c r="R56">
        <f t="shared" ca="1" si="13"/>
        <v>5</v>
      </c>
      <c r="S56">
        <f t="shared" ca="1" si="12"/>
        <v>4</v>
      </c>
      <c r="T56">
        <f t="shared" ca="1" si="12"/>
        <v>3</v>
      </c>
      <c r="U56">
        <f t="shared" ca="1" si="12"/>
        <v>3</v>
      </c>
      <c r="V56">
        <f t="shared" ca="1" si="12"/>
        <v>3</v>
      </c>
      <c r="W56">
        <f t="shared" ca="1" si="12"/>
        <v>9</v>
      </c>
      <c r="X56">
        <f t="shared" ca="1" si="12"/>
        <v>10</v>
      </c>
      <c r="Y56">
        <f t="shared" ca="1" si="12"/>
        <v>6</v>
      </c>
      <c r="Z56">
        <f t="shared" ca="1" si="12"/>
        <v>3</v>
      </c>
      <c r="AA56">
        <f t="shared" ca="1" si="12"/>
        <v>4</v>
      </c>
      <c r="AB56">
        <f t="shared" ca="1" si="12"/>
        <v>4</v>
      </c>
      <c r="AC56">
        <f t="shared" ca="1" si="12"/>
        <v>6</v>
      </c>
      <c r="AD56">
        <f t="shared" ca="1" si="12"/>
        <v>2</v>
      </c>
      <c r="AE56">
        <f t="shared" ca="1" si="12"/>
        <v>5</v>
      </c>
      <c r="AF56">
        <f t="shared" ca="1" si="12"/>
        <v>5</v>
      </c>
      <c r="AH56" s="25">
        <f t="shared" ca="1" si="6"/>
        <v>162</v>
      </c>
      <c r="AI56">
        <v>325</v>
      </c>
      <c r="AJ56">
        <v>358</v>
      </c>
      <c r="AK56">
        <f t="shared" si="3"/>
        <v>33</v>
      </c>
      <c r="AL56" s="15">
        <f t="shared" ca="1" si="4"/>
        <v>57996</v>
      </c>
      <c r="AM56" s="15">
        <f t="shared" ca="1" si="5"/>
        <v>5346</v>
      </c>
    </row>
    <row r="57" spans="1:39">
      <c r="A57" s="27"/>
      <c r="B57" t="s">
        <v>74</v>
      </c>
      <c r="C57">
        <f t="shared" ca="1" si="13"/>
        <v>10</v>
      </c>
      <c r="D57">
        <f t="shared" ca="1" si="13"/>
        <v>2</v>
      </c>
      <c r="E57">
        <f t="shared" ca="1" si="13"/>
        <v>10</v>
      </c>
      <c r="F57">
        <f t="shared" ca="1" si="13"/>
        <v>9</v>
      </c>
      <c r="G57">
        <f t="shared" ca="1" si="13"/>
        <v>8</v>
      </c>
      <c r="H57">
        <f t="shared" ca="1" si="13"/>
        <v>7</v>
      </c>
      <c r="I57">
        <f t="shared" ca="1" si="13"/>
        <v>9</v>
      </c>
      <c r="J57">
        <f t="shared" ca="1" si="13"/>
        <v>8</v>
      </c>
      <c r="K57">
        <f t="shared" ca="1" si="13"/>
        <v>6</v>
      </c>
      <c r="L57">
        <f t="shared" ca="1" si="13"/>
        <v>1</v>
      </c>
      <c r="M57">
        <f t="shared" ca="1" si="13"/>
        <v>6</v>
      </c>
      <c r="N57">
        <f t="shared" ca="1" si="13"/>
        <v>5</v>
      </c>
      <c r="O57">
        <f t="shared" ca="1" si="13"/>
        <v>6</v>
      </c>
      <c r="P57">
        <f t="shared" ca="1" si="13"/>
        <v>8</v>
      </c>
      <c r="Q57">
        <f t="shared" ca="1" si="13"/>
        <v>5</v>
      </c>
      <c r="R57">
        <f t="shared" ca="1" si="13"/>
        <v>10</v>
      </c>
      <c r="S57">
        <f t="shared" ca="1" si="12"/>
        <v>6</v>
      </c>
      <c r="T57">
        <f t="shared" ca="1" si="12"/>
        <v>3</v>
      </c>
      <c r="U57">
        <f t="shared" ca="1" si="12"/>
        <v>2</v>
      </c>
      <c r="V57">
        <f t="shared" ca="1" si="12"/>
        <v>4</v>
      </c>
      <c r="W57">
        <f t="shared" ca="1" si="12"/>
        <v>5</v>
      </c>
      <c r="X57">
        <f t="shared" ca="1" si="12"/>
        <v>6</v>
      </c>
      <c r="Y57">
        <f t="shared" ca="1" si="12"/>
        <v>1</v>
      </c>
      <c r="Z57">
        <f t="shared" ca="1" si="12"/>
        <v>10</v>
      </c>
      <c r="AA57">
        <f t="shared" ca="1" si="12"/>
        <v>8</v>
      </c>
      <c r="AB57">
        <f t="shared" ca="1" si="12"/>
        <v>7</v>
      </c>
      <c r="AC57">
        <f t="shared" ca="1" si="12"/>
        <v>9</v>
      </c>
      <c r="AD57">
        <f t="shared" ca="1" si="12"/>
        <v>4</v>
      </c>
      <c r="AE57">
        <f t="shared" ca="1" si="12"/>
        <v>6</v>
      </c>
      <c r="AF57">
        <f t="shared" ca="1" si="12"/>
        <v>6</v>
      </c>
      <c r="AH57" s="25">
        <f t="shared" ca="1" si="6"/>
        <v>187</v>
      </c>
      <c r="AI57">
        <v>340</v>
      </c>
      <c r="AJ57">
        <v>380</v>
      </c>
      <c r="AK57">
        <f t="shared" si="3"/>
        <v>40</v>
      </c>
      <c r="AL57" s="15">
        <f t="shared" ca="1" si="4"/>
        <v>71060</v>
      </c>
      <c r="AM57" s="15">
        <f t="shared" ca="1" si="5"/>
        <v>7480</v>
      </c>
    </row>
    <row r="58" spans="1:39">
      <c r="A58" s="27"/>
    </row>
    <row r="59" spans="1:39">
      <c r="A59" s="27"/>
    </row>
    <row r="60" spans="1:39">
      <c r="A60" s="27"/>
    </row>
    <row r="61" spans="1:39">
      <c r="A61" s="27"/>
    </row>
    <row r="62" spans="1:39">
      <c r="A62" s="27"/>
    </row>
    <row r="63" spans="1:39">
      <c r="A63" s="27"/>
    </row>
    <row r="64" spans="1:39">
      <c r="A64" s="27"/>
    </row>
    <row r="65" spans="1:1">
      <c r="A65" s="27"/>
    </row>
    <row r="66" spans="1:1">
      <c r="A66" s="27"/>
    </row>
    <row r="67" spans="1:1">
      <c r="A67" s="27"/>
    </row>
    <row r="68" spans="1:1">
      <c r="A68" s="27"/>
    </row>
    <row r="69" spans="1:1">
      <c r="A69" s="27"/>
    </row>
    <row r="70" spans="1:1">
      <c r="A70" s="27"/>
    </row>
    <row r="71" spans="1:1">
      <c r="A71" s="27"/>
    </row>
    <row r="72" spans="1:1">
      <c r="A72" s="27"/>
    </row>
    <row r="73" spans="1:1">
      <c r="A73" s="27"/>
    </row>
    <row r="74" spans="1:1">
      <c r="A74" s="27"/>
    </row>
    <row r="75" spans="1:1">
      <c r="A75" s="27"/>
    </row>
    <row r="76" spans="1:1">
      <c r="A76" s="27"/>
    </row>
    <row r="77" spans="1:1">
      <c r="A77" s="27"/>
    </row>
    <row r="78" spans="1:1">
      <c r="A78" s="27"/>
    </row>
    <row r="79" spans="1:1">
      <c r="A79" s="27"/>
    </row>
    <row r="80" spans="1:1">
      <c r="A80" s="27"/>
    </row>
    <row r="81" spans="1:1">
      <c r="A81" s="27"/>
    </row>
    <row r="82" spans="1:1">
      <c r="A82" s="27"/>
    </row>
    <row r="83" spans="1:1">
      <c r="A83" s="27"/>
    </row>
    <row r="84" spans="1:1">
      <c r="A84" s="27"/>
    </row>
    <row r="85" spans="1:1">
      <c r="A85" s="27"/>
    </row>
    <row r="86" spans="1:1">
      <c r="A86" s="27"/>
    </row>
    <row r="87" spans="1:1">
      <c r="A87" s="27"/>
    </row>
  </sheetData>
  <mergeCells count="9">
    <mergeCell ref="A1:A29"/>
    <mergeCell ref="A30:A58"/>
    <mergeCell ref="A59:A87"/>
    <mergeCell ref="AM1:AM2"/>
    <mergeCell ref="AH1:AH2"/>
    <mergeCell ref="AI1:AI2"/>
    <mergeCell ref="AJ1:AJ2"/>
    <mergeCell ref="AK1:AK2"/>
    <mergeCell ref="AL1:AL2"/>
  </mergeCells>
  <dataValidations count="2">
    <dataValidation type="list" allowBlank="1" showInputMessage="1" showErrorMessage="1" sqref="AP2" xr:uid="{00000000-0002-0000-0500-000000000000}">
      <formula1>"2020,2021,2022,2023,2024,2025,2026,2027,2028,2029,2030"</formula1>
    </dataValidation>
    <dataValidation type="list" allowBlank="1" showInputMessage="1" showErrorMessage="1" sqref="AP1" xr:uid="{00000000-0002-0000-0500-000001000000}">
      <formula1>"January,February,March,Aprail,May,June,July,August,September,October,November,December"</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P87"/>
  <sheetViews>
    <sheetView workbookViewId="0">
      <pane xSplit="1" topLeftCell="Y1" activePane="topRight" state="frozenSplit"/>
      <selection pane="topRight" activeCell="AP17" sqref="AP17"/>
    </sheetView>
  </sheetViews>
  <sheetFormatPr defaultRowHeight="15"/>
  <cols>
    <col min="1" max="1" width="16.85546875" bestFit="1" customWidth="1"/>
    <col min="2" max="2" width="13.7109375" customWidth="1"/>
    <col min="3" max="3" width="4.28515625" customWidth="1"/>
    <col min="4" max="4" width="5.28515625" customWidth="1"/>
    <col min="5" max="5" width="4.28515625" customWidth="1"/>
    <col min="6" max="6" width="3.28515625" customWidth="1"/>
    <col min="7" max="7" width="3.7109375" customWidth="1"/>
    <col min="8" max="8" width="4.28515625" customWidth="1"/>
    <col min="9" max="9" width="5.140625" customWidth="1"/>
    <col min="10" max="10" width="4.28515625" customWidth="1"/>
    <col min="11" max="11" width="5.28515625" customWidth="1"/>
    <col min="12" max="12" width="4.28515625" customWidth="1"/>
    <col min="13" max="13" width="3.28515625" customWidth="1"/>
    <col min="14" max="14" width="3.7109375" customWidth="1"/>
    <col min="15" max="15" width="4.28515625" customWidth="1"/>
    <col min="16" max="16" width="5.140625" customWidth="1"/>
    <col min="17" max="17" width="4.28515625" customWidth="1"/>
    <col min="18" max="18" width="5.28515625" customWidth="1"/>
    <col min="19" max="19" width="4.28515625" customWidth="1"/>
    <col min="20" max="20" width="3.28515625" customWidth="1"/>
    <col min="21" max="21" width="3.7109375" customWidth="1"/>
    <col min="22" max="22" width="4.28515625" customWidth="1"/>
    <col min="23" max="23" width="5.140625" customWidth="1"/>
    <col min="24" max="24" width="4.28515625" customWidth="1"/>
    <col min="25" max="25" width="5.28515625" customWidth="1"/>
    <col min="26" max="26" width="4.28515625" customWidth="1"/>
    <col min="27" max="27" width="3.28515625" customWidth="1"/>
    <col min="28" max="28" width="3.7109375" customWidth="1"/>
    <col min="29" max="29" width="4.28515625" customWidth="1"/>
    <col min="30" max="30" width="5.140625" customWidth="1"/>
    <col min="31" max="31" width="4.28515625" customWidth="1"/>
    <col min="32" max="32" width="5.28515625" customWidth="1"/>
    <col min="33" max="33" width="4.28515625" customWidth="1"/>
    <col min="34" max="34" width="6.5703125" customWidth="1"/>
    <col min="35" max="35" width="12.42578125" customWidth="1"/>
    <col min="36" max="36" width="10.7109375" customWidth="1"/>
    <col min="38" max="38" width="10" customWidth="1"/>
    <col min="39" max="39" width="10.140625" customWidth="1"/>
    <col min="41" max="41" width="15.28515625" bestFit="1" customWidth="1"/>
    <col min="42" max="42" width="11.28515625" customWidth="1"/>
  </cols>
  <sheetData>
    <row r="1" spans="1:42">
      <c r="A1" s="27"/>
      <c r="C1" s="8" t="str">
        <f>TEXT(C2,"DDD")</f>
        <v>Wed</v>
      </c>
      <c r="D1" s="8" t="str">
        <f t="shared" ref="D1:AG1" si="0">TEXT(D2,"DDD")</f>
        <v>Thu</v>
      </c>
      <c r="E1" s="8" t="str">
        <f t="shared" si="0"/>
        <v>Fri</v>
      </c>
      <c r="F1" s="8" t="str">
        <f t="shared" si="0"/>
        <v>Sat</v>
      </c>
      <c r="G1" s="8" t="str">
        <f t="shared" si="0"/>
        <v>Sun</v>
      </c>
      <c r="H1" s="8" t="str">
        <f t="shared" si="0"/>
        <v>Mon</v>
      </c>
      <c r="I1" s="8" t="str">
        <f t="shared" si="0"/>
        <v>Tue</v>
      </c>
      <c r="J1" s="8" t="str">
        <f t="shared" si="0"/>
        <v>Wed</v>
      </c>
      <c r="K1" s="8" t="str">
        <f t="shared" si="0"/>
        <v>Thu</v>
      </c>
      <c r="L1" s="8" t="str">
        <f t="shared" si="0"/>
        <v>Fri</v>
      </c>
      <c r="M1" s="8" t="str">
        <f t="shared" si="0"/>
        <v>Sat</v>
      </c>
      <c r="N1" s="8" t="str">
        <f t="shared" si="0"/>
        <v>Sun</v>
      </c>
      <c r="O1" s="8" t="str">
        <f t="shared" si="0"/>
        <v>Mon</v>
      </c>
      <c r="P1" s="8" t="str">
        <f t="shared" si="0"/>
        <v>Tue</v>
      </c>
      <c r="Q1" s="8" t="str">
        <f t="shared" si="0"/>
        <v>Wed</v>
      </c>
      <c r="R1" s="8" t="str">
        <f t="shared" si="0"/>
        <v>Thu</v>
      </c>
      <c r="S1" s="8" t="str">
        <f t="shared" si="0"/>
        <v>Fri</v>
      </c>
      <c r="T1" s="8" t="str">
        <f t="shared" si="0"/>
        <v>Sat</v>
      </c>
      <c r="U1" s="8" t="str">
        <f t="shared" si="0"/>
        <v>Sun</v>
      </c>
      <c r="V1" s="8" t="str">
        <f t="shared" si="0"/>
        <v>Mon</v>
      </c>
      <c r="W1" s="8" t="str">
        <f t="shared" si="0"/>
        <v>Tue</v>
      </c>
      <c r="X1" s="8" t="str">
        <f t="shared" si="0"/>
        <v>Wed</v>
      </c>
      <c r="Y1" s="8" t="str">
        <f t="shared" si="0"/>
        <v>Thu</v>
      </c>
      <c r="Z1" s="8" t="str">
        <f t="shared" si="0"/>
        <v>Fri</v>
      </c>
      <c r="AA1" s="8" t="str">
        <f t="shared" si="0"/>
        <v>Sat</v>
      </c>
      <c r="AB1" s="8" t="str">
        <f t="shared" si="0"/>
        <v>Sun</v>
      </c>
      <c r="AC1" s="8" t="str">
        <f t="shared" si="0"/>
        <v>Mon</v>
      </c>
      <c r="AD1" s="8" t="str">
        <f t="shared" si="0"/>
        <v>Tue</v>
      </c>
      <c r="AE1" s="8" t="str">
        <f t="shared" si="0"/>
        <v>Wed</v>
      </c>
      <c r="AF1" s="8" t="str">
        <f t="shared" si="0"/>
        <v>Thu</v>
      </c>
      <c r="AG1" s="8" t="str">
        <f t="shared" si="0"/>
        <v>Fri</v>
      </c>
      <c r="AH1" s="28" t="s">
        <v>75</v>
      </c>
      <c r="AI1" s="28" t="s">
        <v>76</v>
      </c>
      <c r="AJ1" s="30" t="s">
        <v>77</v>
      </c>
      <c r="AK1" s="28" t="s">
        <v>78</v>
      </c>
      <c r="AL1" s="29" t="s">
        <v>79</v>
      </c>
      <c r="AM1" s="29" t="s">
        <v>80</v>
      </c>
      <c r="AO1" s="5" t="s">
        <v>81</v>
      </c>
      <c r="AP1" s="10" t="s">
        <v>98</v>
      </c>
    </row>
    <row r="2" spans="1:42">
      <c r="A2" s="27"/>
      <c r="B2" s="1" t="s">
        <v>0</v>
      </c>
      <c r="C2" s="9">
        <f>IF(COLUMNS($C$2:C2)&gt;DAY($AP$4),"",$AP$3+COLUMNS($C$2:C2)-1)</f>
        <v>45413</v>
      </c>
      <c r="D2" s="9">
        <f>IF(COLUMNS($C$2:D2)&gt;DAY($AP$4),"",$AP$3+COLUMNS($C$2:D2)-1)</f>
        <v>45414</v>
      </c>
      <c r="E2" s="9">
        <f>IF(COLUMNS($C$2:E2)&gt;DAY($AP$4),"",$AP$3+COLUMNS($C$2:E2)-1)</f>
        <v>45415</v>
      </c>
      <c r="F2" s="9">
        <f>IF(COLUMNS($C$2:F2)&gt;DAY($AP$4),"",$AP$3+COLUMNS($C$2:F2)-1)</f>
        <v>45416</v>
      </c>
      <c r="G2" s="9">
        <f>IF(COLUMNS($C$2:G2)&gt;DAY($AP$4),"",$AP$3+COLUMNS($C$2:G2)-1)</f>
        <v>45417</v>
      </c>
      <c r="H2" s="9">
        <f>IF(COLUMNS($C$2:H2)&gt;DAY($AP$4),"",$AP$3+COLUMNS($C$2:H2)-1)</f>
        <v>45418</v>
      </c>
      <c r="I2" s="9">
        <f>IF(COLUMNS($C$2:I2)&gt;DAY($AP$4),"",$AP$3+COLUMNS($C$2:I2)-1)</f>
        <v>45419</v>
      </c>
      <c r="J2" s="9">
        <f>IF(COLUMNS($C$2:J2)&gt;DAY($AP$4),"",$AP$3+COLUMNS($C$2:J2)-1)</f>
        <v>45420</v>
      </c>
      <c r="K2" s="9">
        <f>IF(COLUMNS($C$2:K2)&gt;DAY($AP$4),"",$AP$3+COLUMNS($C$2:K2)-1)</f>
        <v>45421</v>
      </c>
      <c r="L2" s="9">
        <f>IF(COLUMNS($C$2:L2)&gt;DAY($AP$4),"",$AP$3+COLUMNS($C$2:L2)-1)</f>
        <v>45422</v>
      </c>
      <c r="M2" s="9">
        <f>IF(COLUMNS($C$2:M2)&gt;DAY($AP$4),"",$AP$3+COLUMNS($C$2:M2)-1)</f>
        <v>45423</v>
      </c>
      <c r="N2" s="9">
        <f>IF(COLUMNS($C$2:N2)&gt;DAY($AP$4),"",$AP$3+COLUMNS($C$2:N2)-1)</f>
        <v>45424</v>
      </c>
      <c r="O2" s="9">
        <f>IF(COLUMNS($C$2:O2)&gt;DAY($AP$4),"",$AP$3+COLUMNS($C$2:O2)-1)</f>
        <v>45425</v>
      </c>
      <c r="P2" s="9">
        <f>IF(COLUMNS($C$2:P2)&gt;DAY($AP$4),"",$AP$3+COLUMNS($C$2:P2)-1)</f>
        <v>45426</v>
      </c>
      <c r="Q2" s="9">
        <f>IF(COLUMNS($C$2:Q2)&gt;DAY($AP$4),"",$AP$3+COLUMNS($C$2:Q2)-1)</f>
        <v>45427</v>
      </c>
      <c r="R2" s="9">
        <f>IF(COLUMNS($C$2:R2)&gt;DAY($AP$4),"",$AP$3+COLUMNS($C$2:R2)-1)</f>
        <v>45428</v>
      </c>
      <c r="S2" s="9">
        <f>IF(COLUMNS($C$2:S2)&gt;DAY($AP$4),"",$AP$3+COLUMNS($C$2:S2)-1)</f>
        <v>45429</v>
      </c>
      <c r="T2" s="9">
        <f>IF(COLUMNS($C$2:T2)&gt;DAY($AP$4),"",$AP$3+COLUMNS($C$2:T2)-1)</f>
        <v>45430</v>
      </c>
      <c r="U2" s="9">
        <f>IF(COLUMNS($C$2:U2)&gt;DAY($AP$4),"",$AP$3+COLUMNS($C$2:U2)-1)</f>
        <v>45431</v>
      </c>
      <c r="V2" s="9">
        <f>IF(COLUMNS($C$2:V2)&gt;DAY($AP$4),"",$AP$3+COLUMNS($C$2:V2)-1)</f>
        <v>45432</v>
      </c>
      <c r="W2" s="9">
        <f>IF(COLUMNS($C$2:W2)&gt;DAY($AP$4),"",$AP$3+COLUMNS($C$2:W2)-1)</f>
        <v>45433</v>
      </c>
      <c r="X2" s="9">
        <f>IF(COLUMNS($C$2:X2)&gt;DAY($AP$4),"",$AP$3+COLUMNS($C$2:X2)-1)</f>
        <v>45434</v>
      </c>
      <c r="Y2" s="9">
        <f>IF(COLUMNS($C$2:Y2)&gt;DAY($AP$4),"",$AP$3+COLUMNS($C$2:Y2)-1)</f>
        <v>45435</v>
      </c>
      <c r="Z2" s="9">
        <f>IF(COLUMNS($C$2:Z2)&gt;DAY($AP$4),"",$AP$3+COLUMNS($C$2:Z2)-1)</f>
        <v>45436</v>
      </c>
      <c r="AA2" s="9">
        <f>IF(COLUMNS($C$2:AA2)&gt;DAY($AP$4),"",$AP$3+COLUMNS($C$2:AA2)-1)</f>
        <v>45437</v>
      </c>
      <c r="AB2" s="9">
        <f>IF(COLUMNS($C$2:AB2)&gt;DAY($AP$4),"",$AP$3+COLUMNS($C$2:AB2)-1)</f>
        <v>45438</v>
      </c>
      <c r="AC2" s="9">
        <f>IF(COLUMNS($C$2:AC2)&gt;DAY($AP$4),"",$AP$3+COLUMNS($C$2:AC2)-1)</f>
        <v>45439</v>
      </c>
      <c r="AD2" s="9">
        <f>IF(COLUMNS($C$2:AD2)&gt;DAY($AP$4),"",$AP$3+COLUMNS($C$2:AD2)-1)</f>
        <v>45440</v>
      </c>
      <c r="AE2" s="9">
        <f>IF(COLUMNS($C$2:AE2)&gt;DAY($AP$4),"",$AP$3+COLUMNS($C$2:AE2)-1)</f>
        <v>45441</v>
      </c>
      <c r="AF2" s="9">
        <f>IF(COLUMNS($C$2:AF2)&gt;DAY($AP$4),"",$AP$3+COLUMNS($C$2:AF2)-1)</f>
        <v>45442</v>
      </c>
      <c r="AG2" s="9">
        <f>IF(COLUMNS($C$2:AG2)&gt;DAY($AP$4),"",$AP$3+COLUMNS($C$2:AG2)-1)</f>
        <v>45443</v>
      </c>
      <c r="AH2" s="28"/>
      <c r="AI2" s="28"/>
      <c r="AJ2" s="30"/>
      <c r="AK2" s="28"/>
      <c r="AL2" s="29"/>
      <c r="AM2" s="29"/>
      <c r="AO2" s="6" t="s">
        <v>83</v>
      </c>
      <c r="AP2" s="11">
        <v>2024</v>
      </c>
    </row>
    <row r="3" spans="1:42">
      <c r="A3" s="27"/>
      <c r="B3" t="s">
        <v>18</v>
      </c>
      <c r="C3">
        <f ca="1">RANDBETWEEN(1,10)</f>
        <v>1</v>
      </c>
      <c r="D3">
        <f t="shared" ref="D3:AG12" ca="1" si="1">RANDBETWEEN(1,10)</f>
        <v>1</v>
      </c>
      <c r="E3">
        <f t="shared" ca="1" si="1"/>
        <v>2</v>
      </c>
      <c r="F3">
        <f t="shared" ca="1" si="1"/>
        <v>6</v>
      </c>
      <c r="G3">
        <f t="shared" ca="1" si="1"/>
        <v>2</v>
      </c>
      <c r="H3">
        <f t="shared" ca="1" si="1"/>
        <v>10</v>
      </c>
      <c r="I3">
        <f t="shared" ca="1" si="1"/>
        <v>1</v>
      </c>
      <c r="J3">
        <f t="shared" ca="1" si="1"/>
        <v>6</v>
      </c>
      <c r="K3">
        <f t="shared" ca="1" si="1"/>
        <v>9</v>
      </c>
      <c r="L3">
        <f t="shared" ca="1" si="1"/>
        <v>3</v>
      </c>
      <c r="M3">
        <f t="shared" ca="1" si="1"/>
        <v>6</v>
      </c>
      <c r="N3">
        <f t="shared" ca="1" si="1"/>
        <v>10</v>
      </c>
      <c r="O3">
        <f t="shared" ca="1" si="1"/>
        <v>1</v>
      </c>
      <c r="P3">
        <f t="shared" ca="1" si="1"/>
        <v>7</v>
      </c>
      <c r="Q3">
        <f t="shared" ca="1" si="1"/>
        <v>4</v>
      </c>
      <c r="R3">
        <f t="shared" ca="1" si="1"/>
        <v>5</v>
      </c>
      <c r="S3">
        <f t="shared" ca="1" si="1"/>
        <v>6</v>
      </c>
      <c r="T3">
        <f t="shared" ca="1" si="1"/>
        <v>3</v>
      </c>
      <c r="U3">
        <f t="shared" ca="1" si="1"/>
        <v>4</v>
      </c>
      <c r="V3">
        <f t="shared" ca="1" si="1"/>
        <v>3</v>
      </c>
      <c r="W3">
        <f t="shared" ca="1" si="1"/>
        <v>1</v>
      </c>
      <c r="X3">
        <f t="shared" ca="1" si="1"/>
        <v>1</v>
      </c>
      <c r="Y3">
        <f t="shared" ca="1" si="1"/>
        <v>4</v>
      </c>
      <c r="Z3">
        <f t="shared" ca="1" si="1"/>
        <v>9</v>
      </c>
      <c r="AA3">
        <f t="shared" ca="1" si="1"/>
        <v>5</v>
      </c>
      <c r="AB3">
        <f t="shared" ca="1" si="1"/>
        <v>7</v>
      </c>
      <c r="AC3">
        <f t="shared" ca="1" si="1"/>
        <v>7</v>
      </c>
      <c r="AD3">
        <f t="shared" ca="1" si="1"/>
        <v>2</v>
      </c>
      <c r="AE3">
        <f t="shared" ca="1" si="1"/>
        <v>10</v>
      </c>
      <c r="AF3">
        <f t="shared" ca="1" si="1"/>
        <v>3</v>
      </c>
      <c r="AG3">
        <f t="shared" ca="1" si="1"/>
        <v>5</v>
      </c>
      <c r="AH3" s="25">
        <f ca="1">IF(SUM($C3:$AG3)&gt;0,SUM($C3:$AG3),"")</f>
        <v>144</v>
      </c>
      <c r="AI3">
        <v>40</v>
      </c>
      <c r="AJ3">
        <v>80</v>
      </c>
      <c r="AK3">
        <f>AJ3-AI3</f>
        <v>40</v>
      </c>
      <c r="AL3" s="15">
        <f ca="1">AJ3*AH3</f>
        <v>11520</v>
      </c>
      <c r="AM3" s="15">
        <f ca="1">AK3*AH3</f>
        <v>5760</v>
      </c>
      <c r="AO3" s="7" t="s">
        <v>84</v>
      </c>
      <c r="AP3" s="4">
        <f>DATE(AP2,MONTH(AP1&amp;1),1)</f>
        <v>45413</v>
      </c>
    </row>
    <row r="4" spans="1:42">
      <c r="A4" s="27"/>
      <c r="B4" t="s">
        <v>20</v>
      </c>
      <c r="C4">
        <f t="shared" ref="C4:R19" ca="1" si="2">RANDBETWEEN(1,10)</f>
        <v>5</v>
      </c>
      <c r="D4">
        <f t="shared" ca="1" si="2"/>
        <v>4</v>
      </c>
      <c r="E4">
        <f t="shared" ca="1" si="2"/>
        <v>4</v>
      </c>
      <c r="F4">
        <f t="shared" ca="1" si="2"/>
        <v>10</v>
      </c>
      <c r="G4">
        <f t="shared" ca="1" si="2"/>
        <v>10</v>
      </c>
      <c r="H4">
        <f t="shared" ca="1" si="2"/>
        <v>3</v>
      </c>
      <c r="I4">
        <f t="shared" ca="1" si="2"/>
        <v>3</v>
      </c>
      <c r="J4">
        <f t="shared" ca="1" si="2"/>
        <v>5</v>
      </c>
      <c r="K4">
        <f t="shared" ca="1" si="2"/>
        <v>1</v>
      </c>
      <c r="L4">
        <f t="shared" ca="1" si="2"/>
        <v>10</v>
      </c>
      <c r="M4">
        <f t="shared" ca="1" si="2"/>
        <v>10</v>
      </c>
      <c r="N4">
        <f t="shared" ca="1" si="2"/>
        <v>1</v>
      </c>
      <c r="O4">
        <f t="shared" ca="1" si="2"/>
        <v>3</v>
      </c>
      <c r="P4">
        <f t="shared" ca="1" si="2"/>
        <v>3</v>
      </c>
      <c r="Q4">
        <f t="shared" ca="1" si="2"/>
        <v>8</v>
      </c>
      <c r="R4">
        <f t="shared" ca="1" si="2"/>
        <v>6</v>
      </c>
      <c r="S4">
        <f t="shared" ca="1" si="1"/>
        <v>7</v>
      </c>
      <c r="T4">
        <f t="shared" ca="1" si="1"/>
        <v>7</v>
      </c>
      <c r="U4">
        <f t="shared" ca="1" si="1"/>
        <v>5</v>
      </c>
      <c r="V4">
        <f t="shared" ca="1" si="1"/>
        <v>3</v>
      </c>
      <c r="W4">
        <f t="shared" ca="1" si="1"/>
        <v>6</v>
      </c>
      <c r="X4">
        <f t="shared" ca="1" si="1"/>
        <v>9</v>
      </c>
      <c r="Y4">
        <f t="shared" ca="1" si="1"/>
        <v>6</v>
      </c>
      <c r="Z4">
        <f t="shared" ca="1" si="1"/>
        <v>8</v>
      </c>
      <c r="AA4">
        <f t="shared" ca="1" si="1"/>
        <v>2</v>
      </c>
      <c r="AB4">
        <f t="shared" ca="1" si="1"/>
        <v>1</v>
      </c>
      <c r="AC4">
        <f t="shared" ca="1" si="1"/>
        <v>2</v>
      </c>
      <c r="AD4">
        <f t="shared" ca="1" si="1"/>
        <v>10</v>
      </c>
      <c r="AE4">
        <f t="shared" ca="1" si="1"/>
        <v>1</v>
      </c>
      <c r="AF4">
        <f t="shared" ca="1" si="1"/>
        <v>10</v>
      </c>
      <c r="AG4">
        <f t="shared" ca="1" si="1"/>
        <v>8</v>
      </c>
      <c r="AH4" s="25">
        <f ca="1">IF(SUM($C4:$AG4)&gt;0,SUM($C4:$AG4),"")</f>
        <v>171</v>
      </c>
      <c r="AI4">
        <v>7</v>
      </c>
      <c r="AJ4">
        <v>15</v>
      </c>
      <c r="AK4">
        <f t="shared" ref="AK4:AK57" si="3">AJ4-AI4</f>
        <v>8</v>
      </c>
      <c r="AL4" s="15">
        <f t="shared" ref="AL4:AL57" ca="1" si="4">AJ4*AH4</f>
        <v>2565</v>
      </c>
      <c r="AM4" s="15">
        <f t="shared" ref="AM4:AM57" ca="1" si="5">AK4*AH4</f>
        <v>1368</v>
      </c>
      <c r="AO4" s="7" t="s">
        <v>85</v>
      </c>
      <c r="AP4" s="4">
        <f>EOMONTH(AP3,0)</f>
        <v>45443</v>
      </c>
    </row>
    <row r="5" spans="1:42">
      <c r="A5" s="27"/>
      <c r="B5" t="s">
        <v>21</v>
      </c>
      <c r="C5">
        <f t="shared" ca="1" si="2"/>
        <v>6</v>
      </c>
      <c r="D5">
        <f t="shared" ca="1" si="1"/>
        <v>6</v>
      </c>
      <c r="E5">
        <f t="shared" ca="1" si="1"/>
        <v>9</v>
      </c>
      <c r="F5">
        <f t="shared" ca="1" si="1"/>
        <v>10</v>
      </c>
      <c r="G5">
        <f t="shared" ca="1" si="1"/>
        <v>3</v>
      </c>
      <c r="H5">
        <f t="shared" ca="1" si="1"/>
        <v>1</v>
      </c>
      <c r="I5">
        <f t="shared" ca="1" si="1"/>
        <v>5</v>
      </c>
      <c r="J5">
        <f t="shared" ca="1" si="1"/>
        <v>5</v>
      </c>
      <c r="K5">
        <f t="shared" ca="1" si="1"/>
        <v>2</v>
      </c>
      <c r="L5">
        <f t="shared" ca="1" si="1"/>
        <v>4</v>
      </c>
      <c r="M5">
        <f t="shared" ca="1" si="1"/>
        <v>3</v>
      </c>
      <c r="N5">
        <f t="shared" ca="1" si="1"/>
        <v>6</v>
      </c>
      <c r="O5">
        <f t="shared" ca="1" si="1"/>
        <v>3</v>
      </c>
      <c r="P5">
        <f t="shared" ca="1" si="1"/>
        <v>9</v>
      </c>
      <c r="Q5">
        <f t="shared" ca="1" si="1"/>
        <v>10</v>
      </c>
      <c r="R5">
        <f t="shared" ca="1" si="1"/>
        <v>1</v>
      </c>
      <c r="S5">
        <f t="shared" ca="1" si="1"/>
        <v>6</v>
      </c>
      <c r="T5">
        <f t="shared" ca="1" si="1"/>
        <v>7</v>
      </c>
      <c r="U5">
        <f t="shared" ca="1" si="1"/>
        <v>8</v>
      </c>
      <c r="V5">
        <f t="shared" ca="1" si="1"/>
        <v>10</v>
      </c>
      <c r="W5">
        <f t="shared" ca="1" si="1"/>
        <v>10</v>
      </c>
      <c r="X5">
        <f t="shared" ca="1" si="1"/>
        <v>7</v>
      </c>
      <c r="Y5">
        <f t="shared" ca="1" si="1"/>
        <v>9</v>
      </c>
      <c r="Z5">
        <f t="shared" ca="1" si="1"/>
        <v>10</v>
      </c>
      <c r="AA5">
        <f t="shared" ca="1" si="1"/>
        <v>3</v>
      </c>
      <c r="AB5">
        <f t="shared" ca="1" si="1"/>
        <v>8</v>
      </c>
      <c r="AC5">
        <f t="shared" ca="1" si="1"/>
        <v>9</v>
      </c>
      <c r="AD5">
        <f t="shared" ca="1" si="1"/>
        <v>7</v>
      </c>
      <c r="AE5">
        <f t="shared" ca="1" si="1"/>
        <v>2</v>
      </c>
      <c r="AF5">
        <f t="shared" ca="1" si="1"/>
        <v>4</v>
      </c>
      <c r="AG5">
        <f t="shared" ca="1" si="1"/>
        <v>10</v>
      </c>
      <c r="AH5" s="25">
        <f t="shared" ref="AH5:AH57" ca="1" si="6">IF(SUM($C5:$AG5)&gt;0,SUM($C5:$AG5),"")</f>
        <v>193</v>
      </c>
      <c r="AI5">
        <v>5</v>
      </c>
      <c r="AJ5">
        <v>10</v>
      </c>
      <c r="AK5">
        <f t="shared" si="3"/>
        <v>5</v>
      </c>
      <c r="AL5" s="15">
        <f t="shared" ca="1" si="4"/>
        <v>1930</v>
      </c>
      <c r="AM5" s="15">
        <f t="shared" ca="1" si="5"/>
        <v>965</v>
      </c>
    </row>
    <row r="6" spans="1:42">
      <c r="A6" s="27"/>
      <c r="B6" t="s">
        <v>23</v>
      </c>
      <c r="C6">
        <f t="shared" ca="1" si="2"/>
        <v>2</v>
      </c>
      <c r="D6">
        <f t="shared" ca="1" si="1"/>
        <v>5</v>
      </c>
      <c r="E6">
        <f t="shared" ca="1" si="1"/>
        <v>9</v>
      </c>
      <c r="F6">
        <f t="shared" ca="1" si="1"/>
        <v>4</v>
      </c>
      <c r="G6">
        <f t="shared" ca="1" si="1"/>
        <v>9</v>
      </c>
      <c r="H6">
        <f t="shared" ca="1" si="1"/>
        <v>10</v>
      </c>
      <c r="I6">
        <f t="shared" ca="1" si="1"/>
        <v>6</v>
      </c>
      <c r="J6">
        <f t="shared" ca="1" si="1"/>
        <v>1</v>
      </c>
      <c r="K6">
        <f t="shared" ca="1" si="1"/>
        <v>10</v>
      </c>
      <c r="L6">
        <f t="shared" ca="1" si="1"/>
        <v>2</v>
      </c>
      <c r="M6">
        <f t="shared" ca="1" si="1"/>
        <v>5</v>
      </c>
      <c r="N6">
        <f t="shared" ca="1" si="1"/>
        <v>4</v>
      </c>
      <c r="O6">
        <f t="shared" ca="1" si="1"/>
        <v>4</v>
      </c>
      <c r="P6">
        <f t="shared" ca="1" si="1"/>
        <v>2</v>
      </c>
      <c r="Q6">
        <f t="shared" ca="1" si="1"/>
        <v>3</v>
      </c>
      <c r="R6">
        <f t="shared" ca="1" si="1"/>
        <v>8</v>
      </c>
      <c r="S6">
        <f t="shared" ca="1" si="1"/>
        <v>5</v>
      </c>
      <c r="T6">
        <f t="shared" ca="1" si="1"/>
        <v>1</v>
      </c>
      <c r="U6">
        <f t="shared" ca="1" si="1"/>
        <v>1</v>
      </c>
      <c r="V6">
        <f t="shared" ca="1" si="1"/>
        <v>9</v>
      </c>
      <c r="W6">
        <f t="shared" ca="1" si="1"/>
        <v>6</v>
      </c>
      <c r="X6">
        <f t="shared" ca="1" si="1"/>
        <v>9</v>
      </c>
      <c r="Y6">
        <f t="shared" ca="1" si="1"/>
        <v>2</v>
      </c>
      <c r="Z6">
        <f t="shared" ca="1" si="1"/>
        <v>10</v>
      </c>
      <c r="AA6">
        <f t="shared" ca="1" si="1"/>
        <v>8</v>
      </c>
      <c r="AB6">
        <f t="shared" ca="1" si="1"/>
        <v>7</v>
      </c>
      <c r="AC6">
        <f t="shared" ca="1" si="1"/>
        <v>2</v>
      </c>
      <c r="AD6">
        <f t="shared" ca="1" si="1"/>
        <v>8</v>
      </c>
      <c r="AE6">
        <f t="shared" ca="1" si="1"/>
        <v>4</v>
      </c>
      <c r="AF6">
        <f t="shared" ca="1" si="1"/>
        <v>6</v>
      </c>
      <c r="AG6">
        <f t="shared" ca="1" si="1"/>
        <v>1</v>
      </c>
      <c r="AH6" s="25">
        <f t="shared" ca="1" si="6"/>
        <v>163</v>
      </c>
      <c r="AI6">
        <v>45</v>
      </c>
      <c r="AJ6">
        <v>80</v>
      </c>
      <c r="AK6">
        <f t="shared" si="3"/>
        <v>35</v>
      </c>
      <c r="AL6" s="15">
        <f t="shared" ca="1" si="4"/>
        <v>13040</v>
      </c>
      <c r="AM6" s="15">
        <f t="shared" ca="1" si="5"/>
        <v>5705</v>
      </c>
    </row>
    <row r="7" spans="1:42">
      <c r="A7" s="27"/>
      <c r="B7" t="s">
        <v>24</v>
      </c>
      <c r="C7">
        <f t="shared" ca="1" si="2"/>
        <v>1</v>
      </c>
      <c r="D7">
        <f t="shared" ca="1" si="1"/>
        <v>6</v>
      </c>
      <c r="E7">
        <f t="shared" ca="1" si="1"/>
        <v>9</v>
      </c>
      <c r="F7">
        <f t="shared" ca="1" si="1"/>
        <v>5</v>
      </c>
      <c r="G7">
        <f t="shared" ca="1" si="1"/>
        <v>9</v>
      </c>
      <c r="H7">
        <f t="shared" ca="1" si="1"/>
        <v>1</v>
      </c>
      <c r="I7">
        <f t="shared" ca="1" si="1"/>
        <v>10</v>
      </c>
      <c r="J7">
        <f t="shared" ca="1" si="1"/>
        <v>3</v>
      </c>
      <c r="K7">
        <f t="shared" ca="1" si="1"/>
        <v>9</v>
      </c>
      <c r="L7">
        <f t="shared" ca="1" si="1"/>
        <v>1</v>
      </c>
      <c r="M7">
        <f t="shared" ca="1" si="1"/>
        <v>1</v>
      </c>
      <c r="N7">
        <f t="shared" ca="1" si="1"/>
        <v>1</v>
      </c>
      <c r="O7">
        <f t="shared" ca="1" si="1"/>
        <v>9</v>
      </c>
      <c r="P7">
        <f t="shared" ca="1" si="1"/>
        <v>1</v>
      </c>
      <c r="Q7">
        <f t="shared" ca="1" si="1"/>
        <v>5</v>
      </c>
      <c r="R7">
        <f t="shared" ca="1" si="1"/>
        <v>10</v>
      </c>
      <c r="S7">
        <f t="shared" ca="1" si="1"/>
        <v>1</v>
      </c>
      <c r="T7">
        <f t="shared" ca="1" si="1"/>
        <v>9</v>
      </c>
      <c r="U7">
        <f t="shared" ca="1" si="1"/>
        <v>5</v>
      </c>
      <c r="V7">
        <f t="shared" ca="1" si="1"/>
        <v>6</v>
      </c>
      <c r="W7">
        <f t="shared" ca="1" si="1"/>
        <v>3</v>
      </c>
      <c r="X7">
        <f t="shared" ca="1" si="1"/>
        <v>8</v>
      </c>
      <c r="Y7">
        <f t="shared" ca="1" si="1"/>
        <v>6</v>
      </c>
      <c r="Z7">
        <f t="shared" ca="1" si="1"/>
        <v>3</v>
      </c>
      <c r="AA7">
        <f t="shared" ca="1" si="1"/>
        <v>6</v>
      </c>
      <c r="AB7">
        <f t="shared" ca="1" si="1"/>
        <v>1</v>
      </c>
      <c r="AC7">
        <f t="shared" ca="1" si="1"/>
        <v>10</v>
      </c>
      <c r="AD7">
        <f t="shared" ca="1" si="1"/>
        <v>8</v>
      </c>
      <c r="AE7">
        <f t="shared" ca="1" si="1"/>
        <v>7</v>
      </c>
      <c r="AF7">
        <f t="shared" ca="1" si="1"/>
        <v>1</v>
      </c>
      <c r="AG7">
        <f t="shared" ca="1" si="1"/>
        <v>6</v>
      </c>
      <c r="AH7" s="25">
        <f t="shared" ca="1" si="6"/>
        <v>161</v>
      </c>
      <c r="AI7">
        <v>392</v>
      </c>
      <c r="AJ7">
        <v>420</v>
      </c>
      <c r="AK7">
        <f t="shared" si="3"/>
        <v>28</v>
      </c>
      <c r="AL7" s="15">
        <f t="shared" ca="1" si="4"/>
        <v>67620</v>
      </c>
      <c r="AM7" s="15">
        <f t="shared" ca="1" si="5"/>
        <v>4508</v>
      </c>
      <c r="AO7" s="1" t="s">
        <v>86</v>
      </c>
    </row>
    <row r="8" spans="1:42">
      <c r="A8" s="27"/>
      <c r="B8" t="s">
        <v>25</v>
      </c>
      <c r="C8">
        <f t="shared" ca="1" si="2"/>
        <v>8</v>
      </c>
      <c r="D8">
        <f t="shared" ca="1" si="2"/>
        <v>5</v>
      </c>
      <c r="E8">
        <f t="shared" ca="1" si="2"/>
        <v>3</v>
      </c>
      <c r="F8">
        <f t="shared" ca="1" si="2"/>
        <v>9</v>
      </c>
      <c r="G8">
        <f t="shared" ca="1" si="2"/>
        <v>6</v>
      </c>
      <c r="H8">
        <f t="shared" ca="1" si="2"/>
        <v>6</v>
      </c>
      <c r="I8">
        <f t="shared" ca="1" si="2"/>
        <v>9</v>
      </c>
      <c r="J8">
        <f t="shared" ca="1" si="2"/>
        <v>5</v>
      </c>
      <c r="K8">
        <f t="shared" ca="1" si="2"/>
        <v>6</v>
      </c>
      <c r="L8">
        <f t="shared" ca="1" si="2"/>
        <v>7</v>
      </c>
      <c r="M8">
        <f t="shared" ca="1" si="2"/>
        <v>10</v>
      </c>
      <c r="N8">
        <f t="shared" ca="1" si="2"/>
        <v>6</v>
      </c>
      <c r="O8">
        <f t="shared" ca="1" si="2"/>
        <v>7</v>
      </c>
      <c r="P8">
        <f t="shared" ca="1" si="2"/>
        <v>5</v>
      </c>
      <c r="Q8">
        <f t="shared" ca="1" si="2"/>
        <v>10</v>
      </c>
      <c r="R8">
        <f t="shared" ca="1" si="2"/>
        <v>6</v>
      </c>
      <c r="S8">
        <f t="shared" ca="1" si="1"/>
        <v>2</v>
      </c>
      <c r="T8">
        <f t="shared" ca="1" si="1"/>
        <v>9</v>
      </c>
      <c r="U8">
        <f t="shared" ca="1" si="1"/>
        <v>7</v>
      </c>
      <c r="V8">
        <f t="shared" ca="1" si="1"/>
        <v>3</v>
      </c>
      <c r="W8">
        <f t="shared" ca="1" si="1"/>
        <v>10</v>
      </c>
      <c r="X8">
        <f t="shared" ca="1" si="1"/>
        <v>9</v>
      </c>
      <c r="Y8">
        <f t="shared" ca="1" si="1"/>
        <v>7</v>
      </c>
      <c r="Z8">
        <f t="shared" ca="1" si="1"/>
        <v>2</v>
      </c>
      <c r="AA8">
        <f t="shared" ca="1" si="1"/>
        <v>3</v>
      </c>
      <c r="AB8">
        <f t="shared" ca="1" si="1"/>
        <v>6</v>
      </c>
      <c r="AC8">
        <f t="shared" ca="1" si="1"/>
        <v>10</v>
      </c>
      <c r="AD8">
        <f t="shared" ca="1" si="1"/>
        <v>4</v>
      </c>
      <c r="AE8">
        <f t="shared" ca="1" si="1"/>
        <v>7</v>
      </c>
      <c r="AF8">
        <f t="shared" ca="1" si="1"/>
        <v>6</v>
      </c>
      <c r="AG8">
        <f t="shared" ca="1" si="1"/>
        <v>9</v>
      </c>
      <c r="AH8" s="25">
        <f t="shared" ca="1" si="6"/>
        <v>202</v>
      </c>
      <c r="AI8">
        <v>86</v>
      </c>
      <c r="AJ8">
        <v>100</v>
      </c>
      <c r="AK8">
        <f t="shared" si="3"/>
        <v>14</v>
      </c>
      <c r="AL8" s="15">
        <f t="shared" ca="1" si="4"/>
        <v>20200</v>
      </c>
      <c r="AM8" s="15">
        <f t="shared" ca="1" si="5"/>
        <v>2828</v>
      </c>
      <c r="AO8" t="s">
        <v>87</v>
      </c>
    </row>
    <row r="9" spans="1:42">
      <c r="A9" s="27"/>
      <c r="B9" t="s">
        <v>26</v>
      </c>
      <c r="C9">
        <f t="shared" ca="1" si="2"/>
        <v>3</v>
      </c>
      <c r="D9">
        <f t="shared" ca="1" si="1"/>
        <v>5</v>
      </c>
      <c r="E9">
        <f t="shared" ca="1" si="1"/>
        <v>9</v>
      </c>
      <c r="F9">
        <f t="shared" ca="1" si="1"/>
        <v>7</v>
      </c>
      <c r="G9">
        <f t="shared" ca="1" si="1"/>
        <v>4</v>
      </c>
      <c r="H9">
        <f t="shared" ca="1" si="1"/>
        <v>6</v>
      </c>
      <c r="I9">
        <f t="shared" ca="1" si="1"/>
        <v>7</v>
      </c>
      <c r="J9">
        <f t="shared" ca="1" si="1"/>
        <v>10</v>
      </c>
      <c r="K9">
        <f t="shared" ca="1" si="1"/>
        <v>1</v>
      </c>
      <c r="L9">
        <f t="shared" ca="1" si="1"/>
        <v>7</v>
      </c>
      <c r="M9">
        <f t="shared" ca="1" si="1"/>
        <v>3</v>
      </c>
      <c r="N9">
        <f t="shared" ca="1" si="1"/>
        <v>6</v>
      </c>
      <c r="O9">
        <f t="shared" ca="1" si="1"/>
        <v>3</v>
      </c>
      <c r="P9">
        <f t="shared" ca="1" si="1"/>
        <v>10</v>
      </c>
      <c r="Q9">
        <f t="shared" ca="1" si="1"/>
        <v>4</v>
      </c>
      <c r="R9">
        <f t="shared" ca="1" si="1"/>
        <v>1</v>
      </c>
      <c r="S9">
        <f t="shared" ca="1" si="1"/>
        <v>3</v>
      </c>
      <c r="T9">
        <f t="shared" ca="1" si="1"/>
        <v>10</v>
      </c>
      <c r="U9">
        <f t="shared" ca="1" si="1"/>
        <v>5</v>
      </c>
      <c r="V9">
        <f t="shared" ca="1" si="1"/>
        <v>4</v>
      </c>
      <c r="W9">
        <f t="shared" ca="1" si="1"/>
        <v>8</v>
      </c>
      <c r="X9">
        <f t="shared" ca="1" si="1"/>
        <v>3</v>
      </c>
      <c r="Y9">
        <f t="shared" ca="1" si="1"/>
        <v>3</v>
      </c>
      <c r="Z9">
        <f t="shared" ca="1" si="1"/>
        <v>4</v>
      </c>
      <c r="AA9">
        <f t="shared" ca="1" si="1"/>
        <v>7</v>
      </c>
      <c r="AB9">
        <f t="shared" ca="1" si="1"/>
        <v>6</v>
      </c>
      <c r="AC9">
        <f t="shared" ca="1" si="1"/>
        <v>5</v>
      </c>
      <c r="AD9">
        <f t="shared" ca="1" si="1"/>
        <v>7</v>
      </c>
      <c r="AE9">
        <f t="shared" ca="1" si="1"/>
        <v>6</v>
      </c>
      <c r="AF9">
        <f t="shared" ca="1" si="1"/>
        <v>2</v>
      </c>
      <c r="AG9">
        <f t="shared" ca="1" si="1"/>
        <v>1</v>
      </c>
      <c r="AH9" s="25">
        <f t="shared" ca="1" si="6"/>
        <v>160</v>
      </c>
      <c r="AI9">
        <v>271</v>
      </c>
      <c r="AJ9">
        <v>300</v>
      </c>
      <c r="AK9">
        <f t="shared" si="3"/>
        <v>29</v>
      </c>
      <c r="AL9" s="15">
        <f t="shared" ca="1" si="4"/>
        <v>48000</v>
      </c>
      <c r="AM9" s="15">
        <f t="shared" ca="1" si="5"/>
        <v>4640</v>
      </c>
      <c r="AO9" t="s">
        <v>88</v>
      </c>
      <c r="AP9" s="13">
        <f>'Attendence (May)'!AL3</f>
        <v>50000</v>
      </c>
    </row>
    <row r="10" spans="1:42">
      <c r="A10" s="27"/>
      <c r="B10" t="s">
        <v>27</v>
      </c>
      <c r="C10">
        <f t="shared" ca="1" si="2"/>
        <v>4</v>
      </c>
      <c r="D10">
        <f t="shared" ca="1" si="1"/>
        <v>3</v>
      </c>
      <c r="E10">
        <f t="shared" ca="1" si="1"/>
        <v>8</v>
      </c>
      <c r="F10">
        <f t="shared" ca="1" si="1"/>
        <v>10</v>
      </c>
      <c r="G10">
        <f t="shared" ca="1" si="1"/>
        <v>7</v>
      </c>
      <c r="H10">
        <f t="shared" ca="1" si="1"/>
        <v>7</v>
      </c>
      <c r="I10">
        <f t="shared" ca="1" si="1"/>
        <v>5</v>
      </c>
      <c r="J10">
        <f t="shared" ca="1" si="1"/>
        <v>7</v>
      </c>
      <c r="K10">
        <f t="shared" ca="1" si="1"/>
        <v>4</v>
      </c>
      <c r="L10">
        <f t="shared" ca="1" si="1"/>
        <v>5</v>
      </c>
      <c r="M10">
        <f t="shared" ca="1" si="1"/>
        <v>6</v>
      </c>
      <c r="N10">
        <f t="shared" ca="1" si="1"/>
        <v>8</v>
      </c>
      <c r="O10">
        <f t="shared" ca="1" si="1"/>
        <v>2</v>
      </c>
      <c r="P10">
        <f t="shared" ca="1" si="1"/>
        <v>2</v>
      </c>
      <c r="Q10">
        <f t="shared" ca="1" si="1"/>
        <v>2</v>
      </c>
      <c r="R10">
        <f t="shared" ca="1" si="1"/>
        <v>9</v>
      </c>
      <c r="S10">
        <f t="shared" ca="1" si="1"/>
        <v>5</v>
      </c>
      <c r="T10">
        <f t="shared" ca="1" si="1"/>
        <v>1</v>
      </c>
      <c r="U10">
        <f t="shared" ca="1" si="1"/>
        <v>2</v>
      </c>
      <c r="V10">
        <f t="shared" ca="1" si="1"/>
        <v>4</v>
      </c>
      <c r="W10">
        <f t="shared" ca="1" si="1"/>
        <v>1</v>
      </c>
      <c r="X10">
        <f t="shared" ca="1" si="1"/>
        <v>3</v>
      </c>
      <c r="Y10">
        <f t="shared" ca="1" si="1"/>
        <v>10</v>
      </c>
      <c r="Z10">
        <f t="shared" ca="1" si="1"/>
        <v>7</v>
      </c>
      <c r="AA10">
        <f t="shared" ca="1" si="1"/>
        <v>4</v>
      </c>
      <c r="AB10">
        <f t="shared" ca="1" si="1"/>
        <v>3</v>
      </c>
      <c r="AC10">
        <f t="shared" ca="1" si="1"/>
        <v>9</v>
      </c>
      <c r="AD10">
        <f t="shared" ca="1" si="1"/>
        <v>9</v>
      </c>
      <c r="AE10">
        <f t="shared" ca="1" si="1"/>
        <v>3</v>
      </c>
      <c r="AF10">
        <f t="shared" ca="1" si="1"/>
        <v>5</v>
      </c>
      <c r="AG10">
        <f t="shared" ca="1" si="1"/>
        <v>9</v>
      </c>
      <c r="AH10" s="25">
        <f t="shared" ca="1" si="6"/>
        <v>164</v>
      </c>
      <c r="AI10">
        <v>226</v>
      </c>
      <c r="AJ10">
        <v>250</v>
      </c>
      <c r="AK10">
        <f t="shared" si="3"/>
        <v>24</v>
      </c>
      <c r="AL10" s="15">
        <f t="shared" ca="1" si="4"/>
        <v>41000</v>
      </c>
      <c r="AM10" s="15">
        <f t="shared" ca="1" si="5"/>
        <v>3936</v>
      </c>
      <c r="AO10" t="s">
        <v>89</v>
      </c>
      <c r="AP10" s="13">
        <f>'Attendence (May)'!AL4</f>
        <v>14000</v>
      </c>
    </row>
    <row r="11" spans="1:42">
      <c r="A11" s="27"/>
      <c r="B11" t="s">
        <v>28</v>
      </c>
      <c r="C11">
        <f t="shared" ca="1" si="2"/>
        <v>6</v>
      </c>
      <c r="D11">
        <f t="shared" ca="1" si="1"/>
        <v>7</v>
      </c>
      <c r="E11">
        <f t="shared" ca="1" si="1"/>
        <v>6</v>
      </c>
      <c r="F11">
        <f t="shared" ca="1" si="1"/>
        <v>7</v>
      </c>
      <c r="G11">
        <f t="shared" ca="1" si="1"/>
        <v>5</v>
      </c>
      <c r="H11">
        <f t="shared" ca="1" si="1"/>
        <v>8</v>
      </c>
      <c r="I11">
        <f t="shared" ca="1" si="1"/>
        <v>7</v>
      </c>
      <c r="J11">
        <f t="shared" ca="1" si="1"/>
        <v>2</v>
      </c>
      <c r="K11">
        <f t="shared" ca="1" si="1"/>
        <v>4</v>
      </c>
      <c r="L11">
        <f t="shared" ca="1" si="1"/>
        <v>7</v>
      </c>
      <c r="M11">
        <f t="shared" ca="1" si="1"/>
        <v>2</v>
      </c>
      <c r="N11">
        <f t="shared" ca="1" si="1"/>
        <v>4</v>
      </c>
      <c r="O11">
        <f t="shared" ca="1" si="1"/>
        <v>7</v>
      </c>
      <c r="P11">
        <f t="shared" ca="1" si="1"/>
        <v>6</v>
      </c>
      <c r="Q11">
        <f t="shared" ca="1" si="1"/>
        <v>7</v>
      </c>
      <c r="R11">
        <f t="shared" ca="1" si="1"/>
        <v>7</v>
      </c>
      <c r="S11">
        <f t="shared" ca="1" si="1"/>
        <v>8</v>
      </c>
      <c r="T11">
        <f t="shared" ca="1" si="1"/>
        <v>3</v>
      </c>
      <c r="U11">
        <f t="shared" ca="1" si="1"/>
        <v>2</v>
      </c>
      <c r="V11">
        <f t="shared" ca="1" si="1"/>
        <v>10</v>
      </c>
      <c r="W11">
        <f t="shared" ca="1" si="1"/>
        <v>6</v>
      </c>
      <c r="X11">
        <f t="shared" ca="1" si="1"/>
        <v>9</v>
      </c>
      <c r="Y11">
        <f t="shared" ca="1" si="1"/>
        <v>4</v>
      </c>
      <c r="Z11">
        <f t="shared" ca="1" si="1"/>
        <v>6</v>
      </c>
      <c r="AA11">
        <f t="shared" ca="1" si="1"/>
        <v>7</v>
      </c>
      <c r="AB11">
        <f t="shared" ca="1" si="1"/>
        <v>7</v>
      </c>
      <c r="AC11">
        <f t="shared" ca="1" si="1"/>
        <v>7</v>
      </c>
      <c r="AD11">
        <f t="shared" ca="1" si="1"/>
        <v>1</v>
      </c>
      <c r="AE11">
        <f t="shared" ca="1" si="1"/>
        <v>8</v>
      </c>
      <c r="AF11">
        <f t="shared" ca="1" si="1"/>
        <v>3</v>
      </c>
      <c r="AG11">
        <f t="shared" ca="1" si="1"/>
        <v>9</v>
      </c>
      <c r="AH11" s="25">
        <f t="shared" ca="1" si="6"/>
        <v>182</v>
      </c>
      <c r="AI11">
        <v>390</v>
      </c>
      <c r="AJ11">
        <v>450</v>
      </c>
      <c r="AK11">
        <f t="shared" si="3"/>
        <v>60</v>
      </c>
      <c r="AL11" s="15">
        <f t="shared" ca="1" si="4"/>
        <v>81900</v>
      </c>
      <c r="AM11" s="15">
        <f t="shared" ca="1" si="5"/>
        <v>10920</v>
      </c>
      <c r="AO11" t="s">
        <v>90</v>
      </c>
      <c r="AP11" s="13">
        <f>'Attendence (May)'!AL5</f>
        <v>18600</v>
      </c>
    </row>
    <row r="12" spans="1:42">
      <c r="A12" s="27"/>
      <c r="B12" t="s">
        <v>29</v>
      </c>
      <c r="C12">
        <f t="shared" ca="1" si="2"/>
        <v>10</v>
      </c>
      <c r="D12">
        <f t="shared" ca="1" si="1"/>
        <v>10</v>
      </c>
      <c r="E12">
        <f t="shared" ca="1" si="1"/>
        <v>6</v>
      </c>
      <c r="F12">
        <f t="shared" ca="1" si="1"/>
        <v>9</v>
      </c>
      <c r="G12">
        <f t="shared" ca="1" si="1"/>
        <v>7</v>
      </c>
      <c r="H12">
        <f t="shared" ca="1" si="1"/>
        <v>5</v>
      </c>
      <c r="I12">
        <f t="shared" ca="1" si="1"/>
        <v>4</v>
      </c>
      <c r="J12">
        <f t="shared" ca="1" si="1"/>
        <v>8</v>
      </c>
      <c r="K12">
        <f t="shared" ca="1" si="1"/>
        <v>10</v>
      </c>
      <c r="L12">
        <f t="shared" ca="1" si="1"/>
        <v>6</v>
      </c>
      <c r="M12">
        <f t="shared" ca="1" si="1"/>
        <v>7</v>
      </c>
      <c r="N12">
        <f t="shared" ca="1" si="1"/>
        <v>1</v>
      </c>
      <c r="O12">
        <f t="shared" ca="1" si="1"/>
        <v>7</v>
      </c>
      <c r="P12">
        <f t="shared" ca="1" si="1"/>
        <v>6</v>
      </c>
      <c r="Q12">
        <f t="shared" ca="1" si="1"/>
        <v>3</v>
      </c>
      <c r="R12">
        <f t="shared" ca="1" si="1"/>
        <v>4</v>
      </c>
      <c r="S12">
        <f t="shared" ref="S12:AG27" ca="1" si="7">RANDBETWEEN(1,10)</f>
        <v>9</v>
      </c>
      <c r="T12">
        <f t="shared" ca="1" si="7"/>
        <v>5</v>
      </c>
      <c r="U12">
        <f t="shared" ca="1" si="7"/>
        <v>8</v>
      </c>
      <c r="V12">
        <f t="shared" ca="1" si="7"/>
        <v>2</v>
      </c>
      <c r="W12">
        <f t="shared" ca="1" si="7"/>
        <v>7</v>
      </c>
      <c r="X12">
        <f t="shared" ca="1" si="7"/>
        <v>3</v>
      </c>
      <c r="Y12">
        <f t="shared" ca="1" si="7"/>
        <v>7</v>
      </c>
      <c r="Z12">
        <f t="shared" ca="1" si="7"/>
        <v>10</v>
      </c>
      <c r="AA12">
        <f t="shared" ca="1" si="7"/>
        <v>5</v>
      </c>
      <c r="AB12">
        <f t="shared" ca="1" si="7"/>
        <v>8</v>
      </c>
      <c r="AC12">
        <f t="shared" ca="1" si="7"/>
        <v>9</v>
      </c>
      <c r="AD12">
        <f t="shared" ca="1" si="7"/>
        <v>1</v>
      </c>
      <c r="AE12">
        <f t="shared" ca="1" si="7"/>
        <v>10</v>
      </c>
      <c r="AF12">
        <f t="shared" ca="1" si="7"/>
        <v>6</v>
      </c>
      <c r="AG12">
        <f t="shared" ca="1" si="7"/>
        <v>3</v>
      </c>
      <c r="AH12" s="25">
        <f t="shared" ca="1" si="6"/>
        <v>196</v>
      </c>
      <c r="AI12">
        <v>379</v>
      </c>
      <c r="AJ12">
        <v>430</v>
      </c>
      <c r="AK12">
        <f t="shared" si="3"/>
        <v>51</v>
      </c>
      <c r="AL12" s="15">
        <f t="shared" ca="1" si="4"/>
        <v>84280</v>
      </c>
      <c r="AM12" s="15">
        <f t="shared" ca="1" si="5"/>
        <v>9996</v>
      </c>
      <c r="AO12" t="s">
        <v>91</v>
      </c>
      <c r="AP12" s="13">
        <f>'Attendence (May)'!AL6</f>
        <v>10000</v>
      </c>
    </row>
    <row r="13" spans="1:42">
      <c r="A13" s="27"/>
      <c r="B13" t="s">
        <v>30</v>
      </c>
      <c r="C13">
        <f t="shared" ca="1" si="2"/>
        <v>8</v>
      </c>
      <c r="D13">
        <f t="shared" ca="1" si="2"/>
        <v>6</v>
      </c>
      <c r="E13">
        <f t="shared" ca="1" si="2"/>
        <v>8</v>
      </c>
      <c r="F13">
        <f t="shared" ca="1" si="2"/>
        <v>2</v>
      </c>
      <c r="G13">
        <f t="shared" ca="1" si="2"/>
        <v>2</v>
      </c>
      <c r="H13">
        <f t="shared" ca="1" si="2"/>
        <v>5</v>
      </c>
      <c r="I13">
        <f t="shared" ca="1" si="2"/>
        <v>10</v>
      </c>
      <c r="J13">
        <f t="shared" ca="1" si="2"/>
        <v>8</v>
      </c>
      <c r="K13">
        <f t="shared" ca="1" si="2"/>
        <v>5</v>
      </c>
      <c r="L13">
        <f t="shared" ca="1" si="2"/>
        <v>4</v>
      </c>
      <c r="M13">
        <f t="shared" ca="1" si="2"/>
        <v>7</v>
      </c>
      <c r="N13">
        <f t="shared" ca="1" si="2"/>
        <v>9</v>
      </c>
      <c r="O13">
        <f t="shared" ca="1" si="2"/>
        <v>3</v>
      </c>
      <c r="P13">
        <f t="shared" ca="1" si="2"/>
        <v>2</v>
      </c>
      <c r="Q13">
        <f t="shared" ca="1" si="2"/>
        <v>5</v>
      </c>
      <c r="R13">
        <f t="shared" ca="1" si="2"/>
        <v>1</v>
      </c>
      <c r="S13">
        <f t="shared" ca="1" si="7"/>
        <v>8</v>
      </c>
      <c r="T13">
        <f t="shared" ca="1" si="7"/>
        <v>3</v>
      </c>
      <c r="U13">
        <f t="shared" ca="1" si="7"/>
        <v>10</v>
      </c>
      <c r="V13">
        <f t="shared" ca="1" si="7"/>
        <v>5</v>
      </c>
      <c r="W13">
        <f t="shared" ca="1" si="7"/>
        <v>3</v>
      </c>
      <c r="X13">
        <f t="shared" ca="1" si="7"/>
        <v>10</v>
      </c>
      <c r="Y13">
        <f t="shared" ca="1" si="7"/>
        <v>8</v>
      </c>
      <c r="Z13">
        <f t="shared" ca="1" si="7"/>
        <v>6</v>
      </c>
      <c r="AA13">
        <f t="shared" ca="1" si="7"/>
        <v>1</v>
      </c>
      <c r="AB13">
        <f t="shared" ca="1" si="7"/>
        <v>3</v>
      </c>
      <c r="AC13">
        <f t="shared" ca="1" si="7"/>
        <v>2</v>
      </c>
      <c r="AD13">
        <f t="shared" ca="1" si="7"/>
        <v>1</v>
      </c>
      <c r="AE13">
        <f t="shared" ca="1" si="7"/>
        <v>7</v>
      </c>
      <c r="AF13">
        <f t="shared" ca="1" si="7"/>
        <v>10</v>
      </c>
      <c r="AG13">
        <f t="shared" ca="1" si="7"/>
        <v>1</v>
      </c>
      <c r="AH13" s="25">
        <f t="shared" ca="1" si="6"/>
        <v>163</v>
      </c>
      <c r="AI13">
        <v>368</v>
      </c>
      <c r="AJ13">
        <v>435</v>
      </c>
      <c r="AK13">
        <f t="shared" si="3"/>
        <v>67</v>
      </c>
      <c r="AL13" s="15">
        <f t="shared" ca="1" si="4"/>
        <v>70905</v>
      </c>
      <c r="AM13" s="15">
        <f t="shared" ca="1" si="5"/>
        <v>10921</v>
      </c>
      <c r="AO13" t="s">
        <v>92</v>
      </c>
      <c r="AP13" s="13">
        <v>10000</v>
      </c>
    </row>
    <row r="14" spans="1:42">
      <c r="A14" s="27"/>
      <c r="B14" t="s">
        <v>31</v>
      </c>
      <c r="C14">
        <f t="shared" ca="1" si="2"/>
        <v>7</v>
      </c>
      <c r="D14">
        <f t="shared" ca="1" si="2"/>
        <v>7</v>
      </c>
      <c r="E14">
        <f t="shared" ca="1" si="2"/>
        <v>7</v>
      </c>
      <c r="F14">
        <f t="shared" ca="1" si="2"/>
        <v>9</v>
      </c>
      <c r="G14">
        <f t="shared" ca="1" si="2"/>
        <v>9</v>
      </c>
      <c r="H14">
        <f t="shared" ca="1" si="2"/>
        <v>5</v>
      </c>
      <c r="I14">
        <f t="shared" ca="1" si="2"/>
        <v>3</v>
      </c>
      <c r="J14">
        <f t="shared" ca="1" si="2"/>
        <v>10</v>
      </c>
      <c r="K14">
        <f t="shared" ca="1" si="2"/>
        <v>3</v>
      </c>
      <c r="L14">
        <f t="shared" ca="1" si="2"/>
        <v>1</v>
      </c>
      <c r="M14">
        <f t="shared" ca="1" si="2"/>
        <v>3</v>
      </c>
      <c r="N14">
        <f t="shared" ca="1" si="2"/>
        <v>6</v>
      </c>
      <c r="O14">
        <f t="shared" ca="1" si="2"/>
        <v>9</v>
      </c>
      <c r="P14">
        <f t="shared" ca="1" si="2"/>
        <v>10</v>
      </c>
      <c r="Q14">
        <f t="shared" ca="1" si="2"/>
        <v>2</v>
      </c>
      <c r="R14">
        <f t="shared" ca="1" si="2"/>
        <v>7</v>
      </c>
      <c r="S14">
        <f t="shared" ca="1" si="7"/>
        <v>9</v>
      </c>
      <c r="T14">
        <f t="shared" ca="1" si="7"/>
        <v>9</v>
      </c>
      <c r="U14">
        <f t="shared" ca="1" si="7"/>
        <v>6</v>
      </c>
      <c r="V14">
        <f t="shared" ca="1" si="7"/>
        <v>6</v>
      </c>
      <c r="W14">
        <f t="shared" ca="1" si="7"/>
        <v>1</v>
      </c>
      <c r="X14">
        <f t="shared" ca="1" si="7"/>
        <v>5</v>
      </c>
      <c r="Y14">
        <f t="shared" ca="1" si="7"/>
        <v>9</v>
      </c>
      <c r="Z14">
        <f t="shared" ca="1" si="7"/>
        <v>9</v>
      </c>
      <c r="AA14">
        <f t="shared" ca="1" si="7"/>
        <v>9</v>
      </c>
      <c r="AB14">
        <f t="shared" ca="1" si="7"/>
        <v>4</v>
      </c>
      <c r="AC14">
        <f t="shared" ca="1" si="7"/>
        <v>7</v>
      </c>
      <c r="AD14">
        <f t="shared" ca="1" si="7"/>
        <v>2</v>
      </c>
      <c r="AE14">
        <f t="shared" ca="1" si="7"/>
        <v>9</v>
      </c>
      <c r="AF14">
        <f t="shared" ca="1" si="7"/>
        <v>7</v>
      </c>
      <c r="AG14">
        <f t="shared" ca="1" si="7"/>
        <v>10</v>
      </c>
      <c r="AH14" s="25">
        <f t="shared" ca="1" si="6"/>
        <v>200</v>
      </c>
      <c r="AI14">
        <v>88</v>
      </c>
      <c r="AJ14">
        <v>99</v>
      </c>
      <c r="AK14">
        <f t="shared" si="3"/>
        <v>11</v>
      </c>
      <c r="AL14" s="15">
        <f t="shared" ca="1" si="4"/>
        <v>19800</v>
      </c>
      <c r="AM14" s="15">
        <f t="shared" ca="1" si="5"/>
        <v>2200</v>
      </c>
      <c r="AO14" t="s">
        <v>93</v>
      </c>
      <c r="AP14" s="13">
        <v>2000</v>
      </c>
    </row>
    <row r="15" spans="1:42">
      <c r="A15" s="27"/>
      <c r="B15" t="s">
        <v>32</v>
      </c>
      <c r="C15">
        <f t="shared" ca="1" si="2"/>
        <v>4</v>
      </c>
      <c r="D15">
        <f t="shared" ca="1" si="2"/>
        <v>1</v>
      </c>
      <c r="E15">
        <f t="shared" ca="1" si="2"/>
        <v>4</v>
      </c>
      <c r="F15">
        <f t="shared" ca="1" si="2"/>
        <v>5</v>
      </c>
      <c r="G15">
        <f t="shared" ca="1" si="2"/>
        <v>7</v>
      </c>
      <c r="H15">
        <f t="shared" ca="1" si="2"/>
        <v>9</v>
      </c>
      <c r="I15">
        <f t="shared" ca="1" si="2"/>
        <v>6</v>
      </c>
      <c r="J15">
        <f t="shared" ca="1" si="2"/>
        <v>8</v>
      </c>
      <c r="K15">
        <f t="shared" ca="1" si="2"/>
        <v>8</v>
      </c>
      <c r="L15">
        <f t="shared" ca="1" si="2"/>
        <v>3</v>
      </c>
      <c r="M15">
        <f t="shared" ca="1" si="2"/>
        <v>2</v>
      </c>
      <c r="N15">
        <f t="shared" ca="1" si="2"/>
        <v>6</v>
      </c>
      <c r="O15">
        <f t="shared" ca="1" si="2"/>
        <v>4</v>
      </c>
      <c r="P15">
        <f t="shared" ca="1" si="2"/>
        <v>5</v>
      </c>
      <c r="Q15">
        <f t="shared" ca="1" si="2"/>
        <v>1</v>
      </c>
      <c r="R15">
        <f t="shared" ca="1" si="2"/>
        <v>4</v>
      </c>
      <c r="S15">
        <f t="shared" ca="1" si="7"/>
        <v>6</v>
      </c>
      <c r="T15">
        <f t="shared" ca="1" si="7"/>
        <v>10</v>
      </c>
      <c r="U15">
        <f t="shared" ca="1" si="7"/>
        <v>4</v>
      </c>
      <c r="V15">
        <f t="shared" ca="1" si="7"/>
        <v>6</v>
      </c>
      <c r="W15">
        <f t="shared" ca="1" si="7"/>
        <v>6</v>
      </c>
      <c r="X15">
        <f t="shared" ca="1" si="7"/>
        <v>6</v>
      </c>
      <c r="Y15">
        <f t="shared" ca="1" si="7"/>
        <v>9</v>
      </c>
      <c r="Z15">
        <f t="shared" ca="1" si="7"/>
        <v>5</v>
      </c>
      <c r="AA15">
        <f t="shared" ca="1" si="7"/>
        <v>1</v>
      </c>
      <c r="AB15">
        <f t="shared" ca="1" si="7"/>
        <v>3</v>
      </c>
      <c r="AC15">
        <f t="shared" ca="1" si="7"/>
        <v>3</v>
      </c>
      <c r="AD15">
        <f t="shared" ca="1" si="7"/>
        <v>4</v>
      </c>
      <c r="AE15">
        <f t="shared" ca="1" si="7"/>
        <v>5</v>
      </c>
      <c r="AF15">
        <f t="shared" ca="1" si="7"/>
        <v>1</v>
      </c>
      <c r="AG15">
        <f t="shared" ca="1" si="7"/>
        <v>2</v>
      </c>
      <c r="AH15" s="25">
        <f t="shared" ca="1" si="6"/>
        <v>148</v>
      </c>
      <c r="AI15">
        <v>391</v>
      </c>
      <c r="AJ15">
        <v>500</v>
      </c>
      <c r="AK15">
        <f t="shared" si="3"/>
        <v>109</v>
      </c>
      <c r="AL15" s="15">
        <f t="shared" ca="1" si="4"/>
        <v>74000</v>
      </c>
      <c r="AM15" s="15">
        <f t="shared" ca="1" si="5"/>
        <v>16132</v>
      </c>
      <c r="AO15" t="s">
        <v>80</v>
      </c>
      <c r="AP15" s="13">
        <f ca="1">SUM(AM3:AM57)</f>
        <v>292868</v>
      </c>
    </row>
    <row r="16" spans="1:42">
      <c r="A16" s="27"/>
      <c r="B16" t="s">
        <v>33</v>
      </c>
      <c r="C16">
        <f t="shared" ca="1" si="2"/>
        <v>5</v>
      </c>
      <c r="D16">
        <f t="shared" ca="1" si="2"/>
        <v>2</v>
      </c>
      <c r="E16">
        <f t="shared" ca="1" si="2"/>
        <v>4</v>
      </c>
      <c r="F16">
        <f t="shared" ca="1" si="2"/>
        <v>3</v>
      </c>
      <c r="G16">
        <f t="shared" ca="1" si="2"/>
        <v>6</v>
      </c>
      <c r="H16">
        <f t="shared" ca="1" si="2"/>
        <v>7</v>
      </c>
      <c r="I16">
        <f t="shared" ca="1" si="2"/>
        <v>2</v>
      </c>
      <c r="J16">
        <f t="shared" ca="1" si="2"/>
        <v>6</v>
      </c>
      <c r="K16">
        <f t="shared" ca="1" si="2"/>
        <v>9</v>
      </c>
      <c r="L16">
        <f t="shared" ca="1" si="2"/>
        <v>10</v>
      </c>
      <c r="M16">
        <f t="shared" ca="1" si="2"/>
        <v>10</v>
      </c>
      <c r="N16">
        <f t="shared" ca="1" si="2"/>
        <v>9</v>
      </c>
      <c r="O16">
        <f t="shared" ca="1" si="2"/>
        <v>2</v>
      </c>
      <c r="P16">
        <f t="shared" ca="1" si="2"/>
        <v>6</v>
      </c>
      <c r="Q16">
        <f t="shared" ca="1" si="2"/>
        <v>5</v>
      </c>
      <c r="R16">
        <f t="shared" ca="1" si="2"/>
        <v>3</v>
      </c>
      <c r="S16">
        <f t="shared" ca="1" si="7"/>
        <v>3</v>
      </c>
      <c r="T16">
        <f t="shared" ca="1" si="7"/>
        <v>1</v>
      </c>
      <c r="U16">
        <f t="shared" ca="1" si="7"/>
        <v>3</v>
      </c>
      <c r="V16">
        <f t="shared" ca="1" si="7"/>
        <v>6</v>
      </c>
      <c r="W16">
        <f t="shared" ca="1" si="7"/>
        <v>10</v>
      </c>
      <c r="X16">
        <f t="shared" ca="1" si="7"/>
        <v>7</v>
      </c>
      <c r="Y16">
        <f t="shared" ca="1" si="7"/>
        <v>7</v>
      </c>
      <c r="Z16">
        <f t="shared" ca="1" si="7"/>
        <v>2</v>
      </c>
      <c r="AA16">
        <f t="shared" ca="1" si="7"/>
        <v>2</v>
      </c>
      <c r="AB16">
        <f t="shared" ca="1" si="7"/>
        <v>6</v>
      </c>
      <c r="AC16">
        <f t="shared" ca="1" si="7"/>
        <v>9</v>
      </c>
      <c r="AD16">
        <f t="shared" ca="1" si="7"/>
        <v>2</v>
      </c>
      <c r="AE16">
        <f t="shared" ca="1" si="7"/>
        <v>4</v>
      </c>
      <c r="AF16">
        <f t="shared" ca="1" si="7"/>
        <v>7</v>
      </c>
      <c r="AG16">
        <f t="shared" ca="1" si="7"/>
        <v>8</v>
      </c>
      <c r="AH16" s="25">
        <f t="shared" ca="1" si="6"/>
        <v>166</v>
      </c>
      <c r="AI16">
        <v>261</v>
      </c>
      <c r="AJ16">
        <v>300</v>
      </c>
      <c r="AK16">
        <f t="shared" si="3"/>
        <v>39</v>
      </c>
      <c r="AL16" s="15">
        <f t="shared" ca="1" si="4"/>
        <v>49800</v>
      </c>
      <c r="AM16" s="15">
        <f t="shared" ca="1" si="5"/>
        <v>6474</v>
      </c>
      <c r="AO16" s="1" t="s">
        <v>94</v>
      </c>
      <c r="AP16" s="14">
        <f ca="1">AP15-(AP9+AP10+AP11+AP12+AP13+AP14)</f>
        <v>188268</v>
      </c>
    </row>
    <row r="17" spans="1:39">
      <c r="A17" s="27"/>
      <c r="B17" t="s">
        <v>34</v>
      </c>
      <c r="C17">
        <f t="shared" ca="1" si="2"/>
        <v>8</v>
      </c>
      <c r="D17">
        <f t="shared" ca="1" si="2"/>
        <v>3</v>
      </c>
      <c r="E17">
        <f t="shared" ca="1" si="2"/>
        <v>10</v>
      </c>
      <c r="F17">
        <f t="shared" ca="1" si="2"/>
        <v>3</v>
      </c>
      <c r="G17">
        <f t="shared" ca="1" si="2"/>
        <v>6</v>
      </c>
      <c r="H17">
        <f t="shared" ca="1" si="2"/>
        <v>2</v>
      </c>
      <c r="I17">
        <f t="shared" ca="1" si="2"/>
        <v>7</v>
      </c>
      <c r="J17">
        <f t="shared" ca="1" si="2"/>
        <v>3</v>
      </c>
      <c r="K17">
        <f t="shared" ca="1" si="2"/>
        <v>10</v>
      </c>
      <c r="L17">
        <f t="shared" ca="1" si="2"/>
        <v>3</v>
      </c>
      <c r="M17">
        <f t="shared" ca="1" si="2"/>
        <v>5</v>
      </c>
      <c r="N17">
        <f t="shared" ca="1" si="2"/>
        <v>3</v>
      </c>
      <c r="O17">
        <f t="shared" ca="1" si="2"/>
        <v>2</v>
      </c>
      <c r="P17">
        <f t="shared" ca="1" si="2"/>
        <v>8</v>
      </c>
      <c r="Q17">
        <f t="shared" ca="1" si="2"/>
        <v>5</v>
      </c>
      <c r="R17">
        <f t="shared" ca="1" si="2"/>
        <v>5</v>
      </c>
      <c r="S17">
        <f t="shared" ca="1" si="7"/>
        <v>5</v>
      </c>
      <c r="T17">
        <f t="shared" ca="1" si="7"/>
        <v>1</v>
      </c>
      <c r="U17">
        <f t="shared" ca="1" si="7"/>
        <v>4</v>
      </c>
      <c r="V17">
        <f t="shared" ca="1" si="7"/>
        <v>1</v>
      </c>
      <c r="W17">
        <f t="shared" ca="1" si="7"/>
        <v>3</v>
      </c>
      <c r="X17">
        <f t="shared" ca="1" si="7"/>
        <v>2</v>
      </c>
      <c r="Y17">
        <f t="shared" ca="1" si="7"/>
        <v>10</v>
      </c>
      <c r="Z17">
        <f t="shared" ca="1" si="7"/>
        <v>2</v>
      </c>
      <c r="AA17">
        <f t="shared" ca="1" si="7"/>
        <v>9</v>
      </c>
      <c r="AB17">
        <f t="shared" ca="1" si="7"/>
        <v>4</v>
      </c>
      <c r="AC17">
        <f t="shared" ca="1" si="7"/>
        <v>6</v>
      </c>
      <c r="AD17">
        <f t="shared" ca="1" si="7"/>
        <v>3</v>
      </c>
      <c r="AE17">
        <f t="shared" ca="1" si="7"/>
        <v>4</v>
      </c>
      <c r="AF17">
        <f t="shared" ca="1" si="7"/>
        <v>1</v>
      </c>
      <c r="AG17">
        <f t="shared" ca="1" si="7"/>
        <v>8</v>
      </c>
      <c r="AH17" s="25">
        <f t="shared" ca="1" si="6"/>
        <v>146</v>
      </c>
      <c r="AI17">
        <v>67</v>
      </c>
      <c r="AJ17">
        <v>99</v>
      </c>
      <c r="AK17">
        <f t="shared" si="3"/>
        <v>32</v>
      </c>
      <c r="AL17" s="15">
        <f t="shared" ca="1" si="4"/>
        <v>14454</v>
      </c>
      <c r="AM17" s="15">
        <f t="shared" ca="1" si="5"/>
        <v>4672</v>
      </c>
    </row>
    <row r="18" spans="1:39">
      <c r="A18" s="27"/>
      <c r="B18" t="s">
        <v>35</v>
      </c>
      <c r="C18">
        <f t="shared" ca="1" si="2"/>
        <v>10</v>
      </c>
      <c r="D18">
        <f t="shared" ca="1" si="2"/>
        <v>7</v>
      </c>
      <c r="E18">
        <f t="shared" ca="1" si="2"/>
        <v>8</v>
      </c>
      <c r="F18">
        <f t="shared" ca="1" si="2"/>
        <v>5</v>
      </c>
      <c r="G18">
        <f t="shared" ca="1" si="2"/>
        <v>10</v>
      </c>
      <c r="H18">
        <f t="shared" ca="1" si="2"/>
        <v>2</v>
      </c>
      <c r="I18">
        <f t="shared" ca="1" si="2"/>
        <v>5</v>
      </c>
      <c r="J18">
        <f t="shared" ca="1" si="2"/>
        <v>2</v>
      </c>
      <c r="K18">
        <f t="shared" ca="1" si="2"/>
        <v>3</v>
      </c>
      <c r="L18">
        <f t="shared" ca="1" si="2"/>
        <v>4</v>
      </c>
      <c r="M18">
        <f t="shared" ca="1" si="2"/>
        <v>6</v>
      </c>
      <c r="N18">
        <f t="shared" ca="1" si="2"/>
        <v>5</v>
      </c>
      <c r="O18">
        <f t="shared" ca="1" si="2"/>
        <v>6</v>
      </c>
      <c r="P18">
        <f t="shared" ca="1" si="2"/>
        <v>1</v>
      </c>
      <c r="Q18">
        <f t="shared" ca="1" si="2"/>
        <v>4</v>
      </c>
      <c r="R18">
        <f t="shared" ca="1" si="2"/>
        <v>3</v>
      </c>
      <c r="S18">
        <f t="shared" ca="1" si="7"/>
        <v>4</v>
      </c>
      <c r="T18">
        <f t="shared" ca="1" si="7"/>
        <v>1</v>
      </c>
      <c r="U18">
        <f t="shared" ca="1" si="7"/>
        <v>10</v>
      </c>
      <c r="V18">
        <f t="shared" ca="1" si="7"/>
        <v>1</v>
      </c>
      <c r="W18">
        <f t="shared" ca="1" si="7"/>
        <v>8</v>
      </c>
      <c r="X18">
        <f t="shared" ca="1" si="7"/>
        <v>2</v>
      </c>
      <c r="Y18">
        <f t="shared" ca="1" si="7"/>
        <v>4</v>
      </c>
      <c r="Z18">
        <f t="shared" ca="1" si="7"/>
        <v>5</v>
      </c>
      <c r="AA18">
        <f t="shared" ca="1" si="7"/>
        <v>2</v>
      </c>
      <c r="AB18">
        <f t="shared" ca="1" si="7"/>
        <v>4</v>
      </c>
      <c r="AC18">
        <f t="shared" ca="1" si="7"/>
        <v>10</v>
      </c>
      <c r="AD18">
        <f t="shared" ca="1" si="7"/>
        <v>4</v>
      </c>
      <c r="AE18">
        <f t="shared" ca="1" si="7"/>
        <v>10</v>
      </c>
      <c r="AF18">
        <f t="shared" ca="1" si="7"/>
        <v>1</v>
      </c>
      <c r="AG18">
        <f t="shared" ca="1" si="7"/>
        <v>10</v>
      </c>
      <c r="AH18" s="25">
        <f t="shared" ca="1" si="6"/>
        <v>157</v>
      </c>
      <c r="AI18">
        <v>138</v>
      </c>
      <c r="AJ18">
        <v>150</v>
      </c>
      <c r="AK18">
        <f t="shared" si="3"/>
        <v>12</v>
      </c>
      <c r="AL18" s="15">
        <f t="shared" ca="1" si="4"/>
        <v>23550</v>
      </c>
      <c r="AM18" s="15">
        <f t="shared" ca="1" si="5"/>
        <v>1884</v>
      </c>
    </row>
    <row r="19" spans="1:39">
      <c r="A19" s="27"/>
      <c r="B19" t="s">
        <v>36</v>
      </c>
      <c r="C19">
        <f t="shared" ca="1" si="2"/>
        <v>2</v>
      </c>
      <c r="D19">
        <f t="shared" ca="1" si="2"/>
        <v>6</v>
      </c>
      <c r="E19">
        <f t="shared" ca="1" si="2"/>
        <v>7</v>
      </c>
      <c r="F19">
        <f t="shared" ca="1" si="2"/>
        <v>7</v>
      </c>
      <c r="G19">
        <f t="shared" ca="1" si="2"/>
        <v>5</v>
      </c>
      <c r="H19">
        <f t="shared" ca="1" si="2"/>
        <v>1</v>
      </c>
      <c r="I19">
        <f t="shared" ca="1" si="2"/>
        <v>2</v>
      </c>
      <c r="J19">
        <f t="shared" ca="1" si="2"/>
        <v>3</v>
      </c>
      <c r="K19">
        <f t="shared" ca="1" si="2"/>
        <v>8</v>
      </c>
      <c r="L19">
        <f t="shared" ca="1" si="2"/>
        <v>8</v>
      </c>
      <c r="M19">
        <f t="shared" ca="1" si="2"/>
        <v>1</v>
      </c>
      <c r="N19">
        <f t="shared" ca="1" si="2"/>
        <v>2</v>
      </c>
      <c r="O19">
        <f t="shared" ca="1" si="2"/>
        <v>8</v>
      </c>
      <c r="P19">
        <f t="shared" ca="1" si="2"/>
        <v>7</v>
      </c>
      <c r="Q19">
        <f t="shared" ca="1" si="2"/>
        <v>6</v>
      </c>
      <c r="R19">
        <f t="shared" ca="1" si="2"/>
        <v>1</v>
      </c>
      <c r="S19">
        <f t="shared" ca="1" si="7"/>
        <v>5</v>
      </c>
      <c r="T19">
        <f t="shared" ca="1" si="7"/>
        <v>6</v>
      </c>
      <c r="U19">
        <f t="shared" ca="1" si="7"/>
        <v>6</v>
      </c>
      <c r="V19">
        <f t="shared" ca="1" si="7"/>
        <v>8</v>
      </c>
      <c r="W19">
        <f t="shared" ca="1" si="7"/>
        <v>1</v>
      </c>
      <c r="X19">
        <f t="shared" ca="1" si="7"/>
        <v>3</v>
      </c>
      <c r="Y19">
        <f t="shared" ca="1" si="7"/>
        <v>3</v>
      </c>
      <c r="Z19">
        <f t="shared" ca="1" si="7"/>
        <v>9</v>
      </c>
      <c r="AA19">
        <f t="shared" ca="1" si="7"/>
        <v>2</v>
      </c>
      <c r="AB19">
        <f t="shared" ca="1" si="7"/>
        <v>7</v>
      </c>
      <c r="AC19">
        <f t="shared" ca="1" si="7"/>
        <v>4</v>
      </c>
      <c r="AD19">
        <f t="shared" ca="1" si="7"/>
        <v>8</v>
      </c>
      <c r="AE19">
        <f t="shared" ca="1" si="7"/>
        <v>5</v>
      </c>
      <c r="AF19">
        <f t="shared" ca="1" si="7"/>
        <v>2</v>
      </c>
      <c r="AG19">
        <f t="shared" ca="1" si="7"/>
        <v>9</v>
      </c>
      <c r="AH19" s="25">
        <f t="shared" ca="1" si="6"/>
        <v>152</v>
      </c>
      <c r="AI19">
        <v>60</v>
      </c>
      <c r="AJ19">
        <v>80</v>
      </c>
      <c r="AK19">
        <f t="shared" si="3"/>
        <v>20</v>
      </c>
      <c r="AL19" s="15">
        <f t="shared" ca="1" si="4"/>
        <v>12160</v>
      </c>
      <c r="AM19" s="15">
        <f t="shared" ca="1" si="5"/>
        <v>3040</v>
      </c>
    </row>
    <row r="20" spans="1:39">
      <c r="A20" s="27"/>
      <c r="B20" t="s">
        <v>37</v>
      </c>
      <c r="C20">
        <f t="shared" ref="C20:R35" ca="1" si="8">RANDBETWEEN(1,10)</f>
        <v>4</v>
      </c>
      <c r="D20">
        <f t="shared" ca="1" si="8"/>
        <v>6</v>
      </c>
      <c r="E20">
        <f t="shared" ca="1" si="8"/>
        <v>4</v>
      </c>
      <c r="F20">
        <f t="shared" ca="1" si="8"/>
        <v>2</v>
      </c>
      <c r="G20">
        <f t="shared" ca="1" si="8"/>
        <v>3</v>
      </c>
      <c r="H20">
        <f t="shared" ca="1" si="8"/>
        <v>7</v>
      </c>
      <c r="I20">
        <f t="shared" ca="1" si="8"/>
        <v>10</v>
      </c>
      <c r="J20">
        <f t="shared" ca="1" si="8"/>
        <v>9</v>
      </c>
      <c r="K20">
        <f t="shared" ca="1" si="8"/>
        <v>6</v>
      </c>
      <c r="L20">
        <f t="shared" ca="1" si="8"/>
        <v>9</v>
      </c>
      <c r="M20">
        <f t="shared" ca="1" si="8"/>
        <v>6</v>
      </c>
      <c r="N20">
        <f t="shared" ca="1" si="8"/>
        <v>10</v>
      </c>
      <c r="O20">
        <f t="shared" ca="1" si="8"/>
        <v>8</v>
      </c>
      <c r="P20">
        <f t="shared" ca="1" si="8"/>
        <v>7</v>
      </c>
      <c r="Q20">
        <f t="shared" ca="1" si="8"/>
        <v>2</v>
      </c>
      <c r="R20">
        <f t="shared" ca="1" si="8"/>
        <v>10</v>
      </c>
      <c r="S20">
        <f t="shared" ca="1" si="7"/>
        <v>1</v>
      </c>
      <c r="T20">
        <f t="shared" ca="1" si="7"/>
        <v>2</v>
      </c>
      <c r="U20">
        <f t="shared" ca="1" si="7"/>
        <v>10</v>
      </c>
      <c r="V20">
        <f t="shared" ca="1" si="7"/>
        <v>7</v>
      </c>
      <c r="W20">
        <f t="shared" ca="1" si="7"/>
        <v>2</v>
      </c>
      <c r="X20">
        <f t="shared" ca="1" si="7"/>
        <v>5</v>
      </c>
      <c r="Y20">
        <f t="shared" ca="1" si="7"/>
        <v>6</v>
      </c>
      <c r="Z20">
        <f t="shared" ca="1" si="7"/>
        <v>1</v>
      </c>
      <c r="AA20">
        <f t="shared" ca="1" si="7"/>
        <v>6</v>
      </c>
      <c r="AB20">
        <f t="shared" ca="1" si="7"/>
        <v>1</v>
      </c>
      <c r="AC20">
        <f t="shared" ca="1" si="7"/>
        <v>10</v>
      </c>
      <c r="AD20">
        <f t="shared" ca="1" si="7"/>
        <v>9</v>
      </c>
      <c r="AE20">
        <f t="shared" ca="1" si="7"/>
        <v>9</v>
      </c>
      <c r="AF20">
        <f t="shared" ca="1" si="7"/>
        <v>1</v>
      </c>
      <c r="AG20">
        <f t="shared" ca="1" si="7"/>
        <v>1</v>
      </c>
      <c r="AH20" s="25">
        <f t="shared" ca="1" si="6"/>
        <v>174</v>
      </c>
      <c r="AI20">
        <v>44</v>
      </c>
      <c r="AJ20">
        <v>50</v>
      </c>
      <c r="AK20">
        <f t="shared" si="3"/>
        <v>6</v>
      </c>
      <c r="AL20" s="15">
        <f t="shared" ca="1" si="4"/>
        <v>8700</v>
      </c>
      <c r="AM20" s="15">
        <f t="shared" ca="1" si="5"/>
        <v>1044</v>
      </c>
    </row>
    <row r="21" spans="1:39">
      <c r="A21" s="27"/>
      <c r="B21" t="s">
        <v>38</v>
      </c>
      <c r="C21">
        <f t="shared" ca="1" si="8"/>
        <v>8</v>
      </c>
      <c r="D21">
        <f t="shared" ca="1" si="8"/>
        <v>7</v>
      </c>
      <c r="E21">
        <f t="shared" ca="1" si="8"/>
        <v>4</v>
      </c>
      <c r="F21">
        <f t="shared" ca="1" si="8"/>
        <v>7</v>
      </c>
      <c r="G21">
        <f t="shared" ca="1" si="8"/>
        <v>1</v>
      </c>
      <c r="H21">
        <f t="shared" ca="1" si="8"/>
        <v>7</v>
      </c>
      <c r="I21">
        <f t="shared" ca="1" si="8"/>
        <v>10</v>
      </c>
      <c r="J21">
        <f t="shared" ca="1" si="8"/>
        <v>1</v>
      </c>
      <c r="K21">
        <f t="shared" ca="1" si="8"/>
        <v>6</v>
      </c>
      <c r="L21">
        <f t="shared" ca="1" si="8"/>
        <v>8</v>
      </c>
      <c r="M21">
        <f t="shared" ca="1" si="8"/>
        <v>3</v>
      </c>
      <c r="N21">
        <f t="shared" ca="1" si="8"/>
        <v>4</v>
      </c>
      <c r="O21">
        <f t="shared" ca="1" si="8"/>
        <v>6</v>
      </c>
      <c r="P21">
        <f t="shared" ca="1" si="8"/>
        <v>9</v>
      </c>
      <c r="Q21">
        <f t="shared" ca="1" si="8"/>
        <v>2</v>
      </c>
      <c r="R21">
        <f t="shared" ca="1" si="8"/>
        <v>8</v>
      </c>
      <c r="S21">
        <f t="shared" ca="1" si="7"/>
        <v>7</v>
      </c>
      <c r="T21">
        <f t="shared" ca="1" si="7"/>
        <v>1</v>
      </c>
      <c r="U21">
        <f t="shared" ca="1" si="7"/>
        <v>2</v>
      </c>
      <c r="V21">
        <f t="shared" ca="1" si="7"/>
        <v>10</v>
      </c>
      <c r="W21">
        <f t="shared" ca="1" si="7"/>
        <v>4</v>
      </c>
      <c r="X21">
        <f t="shared" ca="1" si="7"/>
        <v>8</v>
      </c>
      <c r="Y21">
        <f t="shared" ca="1" si="7"/>
        <v>10</v>
      </c>
      <c r="Z21">
        <f t="shared" ca="1" si="7"/>
        <v>6</v>
      </c>
      <c r="AA21">
        <f t="shared" ca="1" si="7"/>
        <v>3</v>
      </c>
      <c r="AB21">
        <f t="shared" ca="1" si="7"/>
        <v>10</v>
      </c>
      <c r="AC21">
        <f t="shared" ca="1" si="7"/>
        <v>9</v>
      </c>
      <c r="AD21">
        <f t="shared" ca="1" si="7"/>
        <v>3</v>
      </c>
      <c r="AE21">
        <f t="shared" ca="1" si="7"/>
        <v>7</v>
      </c>
      <c r="AF21">
        <f t="shared" ca="1" si="7"/>
        <v>6</v>
      </c>
      <c r="AG21">
        <f t="shared" ca="1" si="7"/>
        <v>8</v>
      </c>
      <c r="AH21" s="25">
        <f t="shared" ca="1" si="6"/>
        <v>185</v>
      </c>
      <c r="AI21">
        <v>308</v>
      </c>
      <c r="AJ21">
        <v>320</v>
      </c>
      <c r="AK21">
        <f t="shared" si="3"/>
        <v>12</v>
      </c>
      <c r="AL21" s="15">
        <f t="shared" ca="1" si="4"/>
        <v>59200</v>
      </c>
      <c r="AM21" s="15">
        <f t="shared" ca="1" si="5"/>
        <v>2220</v>
      </c>
    </row>
    <row r="22" spans="1:39">
      <c r="A22" s="27"/>
      <c r="B22" t="s">
        <v>39</v>
      </c>
      <c r="C22">
        <f t="shared" ca="1" si="8"/>
        <v>9</v>
      </c>
      <c r="D22">
        <f t="shared" ca="1" si="8"/>
        <v>3</v>
      </c>
      <c r="E22">
        <f t="shared" ca="1" si="8"/>
        <v>2</v>
      </c>
      <c r="F22">
        <f t="shared" ca="1" si="8"/>
        <v>1</v>
      </c>
      <c r="G22">
        <f t="shared" ca="1" si="8"/>
        <v>4</v>
      </c>
      <c r="H22">
        <f t="shared" ca="1" si="8"/>
        <v>5</v>
      </c>
      <c r="I22">
        <f t="shared" ca="1" si="8"/>
        <v>4</v>
      </c>
      <c r="J22">
        <f t="shared" ca="1" si="8"/>
        <v>9</v>
      </c>
      <c r="K22">
        <f t="shared" ca="1" si="8"/>
        <v>4</v>
      </c>
      <c r="L22">
        <f t="shared" ca="1" si="8"/>
        <v>8</v>
      </c>
      <c r="M22">
        <f t="shared" ca="1" si="8"/>
        <v>9</v>
      </c>
      <c r="N22">
        <f t="shared" ca="1" si="8"/>
        <v>2</v>
      </c>
      <c r="O22">
        <f t="shared" ca="1" si="8"/>
        <v>5</v>
      </c>
      <c r="P22">
        <f t="shared" ca="1" si="8"/>
        <v>10</v>
      </c>
      <c r="Q22">
        <f t="shared" ca="1" si="8"/>
        <v>5</v>
      </c>
      <c r="R22">
        <f t="shared" ca="1" si="8"/>
        <v>5</v>
      </c>
      <c r="S22">
        <f t="shared" ca="1" si="7"/>
        <v>9</v>
      </c>
      <c r="T22">
        <f t="shared" ca="1" si="7"/>
        <v>7</v>
      </c>
      <c r="U22">
        <f t="shared" ca="1" si="7"/>
        <v>7</v>
      </c>
      <c r="V22">
        <f t="shared" ca="1" si="7"/>
        <v>5</v>
      </c>
      <c r="W22">
        <f t="shared" ca="1" si="7"/>
        <v>6</v>
      </c>
      <c r="X22">
        <f t="shared" ca="1" si="7"/>
        <v>6</v>
      </c>
      <c r="Y22">
        <f t="shared" ca="1" si="7"/>
        <v>6</v>
      </c>
      <c r="Z22">
        <f t="shared" ca="1" si="7"/>
        <v>8</v>
      </c>
      <c r="AA22">
        <f t="shared" ca="1" si="7"/>
        <v>6</v>
      </c>
      <c r="AB22">
        <f t="shared" ca="1" si="7"/>
        <v>4</v>
      </c>
      <c r="AC22">
        <f t="shared" ca="1" si="7"/>
        <v>4</v>
      </c>
      <c r="AD22">
        <f t="shared" ca="1" si="7"/>
        <v>1</v>
      </c>
      <c r="AE22">
        <f t="shared" ca="1" si="7"/>
        <v>3</v>
      </c>
      <c r="AF22">
        <f t="shared" ca="1" si="7"/>
        <v>2</v>
      </c>
      <c r="AG22">
        <f t="shared" ca="1" si="7"/>
        <v>9</v>
      </c>
      <c r="AH22" s="25">
        <f t="shared" ca="1" si="6"/>
        <v>168</v>
      </c>
      <c r="AI22">
        <v>234</v>
      </c>
      <c r="AJ22">
        <v>250</v>
      </c>
      <c r="AK22">
        <f t="shared" si="3"/>
        <v>16</v>
      </c>
      <c r="AL22" s="15">
        <f t="shared" ca="1" si="4"/>
        <v>42000</v>
      </c>
      <c r="AM22" s="15">
        <f t="shared" ca="1" si="5"/>
        <v>2688</v>
      </c>
    </row>
    <row r="23" spans="1:39">
      <c r="A23" s="27"/>
      <c r="B23" t="s">
        <v>40</v>
      </c>
      <c r="C23">
        <f t="shared" ca="1" si="8"/>
        <v>4</v>
      </c>
      <c r="D23">
        <f t="shared" ca="1" si="8"/>
        <v>5</v>
      </c>
      <c r="E23">
        <f t="shared" ca="1" si="8"/>
        <v>7</v>
      </c>
      <c r="F23">
        <f t="shared" ca="1" si="8"/>
        <v>6</v>
      </c>
      <c r="G23">
        <f t="shared" ca="1" si="8"/>
        <v>8</v>
      </c>
      <c r="H23">
        <f t="shared" ca="1" si="8"/>
        <v>6</v>
      </c>
      <c r="I23">
        <f t="shared" ca="1" si="8"/>
        <v>3</v>
      </c>
      <c r="J23">
        <f t="shared" ca="1" si="8"/>
        <v>6</v>
      </c>
      <c r="K23">
        <f t="shared" ca="1" si="8"/>
        <v>2</v>
      </c>
      <c r="L23">
        <f t="shared" ca="1" si="8"/>
        <v>2</v>
      </c>
      <c r="M23">
        <f t="shared" ca="1" si="8"/>
        <v>2</v>
      </c>
      <c r="N23">
        <f t="shared" ca="1" si="8"/>
        <v>2</v>
      </c>
      <c r="O23">
        <f t="shared" ca="1" si="8"/>
        <v>1</v>
      </c>
      <c r="P23">
        <f t="shared" ca="1" si="8"/>
        <v>8</v>
      </c>
      <c r="Q23">
        <f t="shared" ca="1" si="8"/>
        <v>10</v>
      </c>
      <c r="R23">
        <f t="shared" ca="1" si="8"/>
        <v>3</v>
      </c>
      <c r="S23">
        <f t="shared" ca="1" si="7"/>
        <v>9</v>
      </c>
      <c r="T23">
        <f t="shared" ca="1" si="7"/>
        <v>6</v>
      </c>
      <c r="U23">
        <f t="shared" ca="1" si="7"/>
        <v>2</v>
      </c>
      <c r="V23">
        <f t="shared" ca="1" si="7"/>
        <v>10</v>
      </c>
      <c r="W23">
        <f t="shared" ca="1" si="7"/>
        <v>3</v>
      </c>
      <c r="X23">
        <f t="shared" ca="1" si="7"/>
        <v>1</v>
      </c>
      <c r="Y23">
        <f t="shared" ca="1" si="7"/>
        <v>1</v>
      </c>
      <c r="Z23">
        <f t="shared" ca="1" si="7"/>
        <v>10</v>
      </c>
      <c r="AA23">
        <f t="shared" ca="1" si="7"/>
        <v>8</v>
      </c>
      <c r="AB23">
        <f t="shared" ca="1" si="7"/>
        <v>8</v>
      </c>
      <c r="AC23">
        <f t="shared" ca="1" si="7"/>
        <v>8</v>
      </c>
      <c r="AD23">
        <f t="shared" ca="1" si="7"/>
        <v>7</v>
      </c>
      <c r="AE23">
        <f t="shared" ca="1" si="7"/>
        <v>3</v>
      </c>
      <c r="AF23">
        <f t="shared" ca="1" si="7"/>
        <v>6</v>
      </c>
      <c r="AG23">
        <f t="shared" ca="1" si="7"/>
        <v>8</v>
      </c>
      <c r="AH23" s="25">
        <f t="shared" ca="1" si="6"/>
        <v>165</v>
      </c>
      <c r="AI23">
        <v>121</v>
      </c>
      <c r="AJ23">
        <v>140</v>
      </c>
      <c r="AK23">
        <f t="shared" si="3"/>
        <v>19</v>
      </c>
      <c r="AL23" s="15">
        <f t="shared" ca="1" si="4"/>
        <v>23100</v>
      </c>
      <c r="AM23" s="15">
        <f t="shared" ca="1" si="5"/>
        <v>3135</v>
      </c>
    </row>
    <row r="24" spans="1:39">
      <c r="A24" s="27"/>
      <c r="B24" t="s">
        <v>41</v>
      </c>
      <c r="C24">
        <f t="shared" ca="1" si="8"/>
        <v>2</v>
      </c>
      <c r="D24">
        <f t="shared" ca="1" si="8"/>
        <v>7</v>
      </c>
      <c r="E24">
        <f t="shared" ca="1" si="8"/>
        <v>1</v>
      </c>
      <c r="F24">
        <f t="shared" ca="1" si="8"/>
        <v>9</v>
      </c>
      <c r="G24">
        <f t="shared" ca="1" si="8"/>
        <v>3</v>
      </c>
      <c r="H24">
        <f t="shared" ca="1" si="8"/>
        <v>7</v>
      </c>
      <c r="I24">
        <f t="shared" ca="1" si="8"/>
        <v>5</v>
      </c>
      <c r="J24">
        <f t="shared" ca="1" si="8"/>
        <v>2</v>
      </c>
      <c r="K24">
        <f t="shared" ca="1" si="8"/>
        <v>5</v>
      </c>
      <c r="L24">
        <f t="shared" ca="1" si="8"/>
        <v>8</v>
      </c>
      <c r="M24">
        <f t="shared" ca="1" si="8"/>
        <v>4</v>
      </c>
      <c r="N24">
        <f t="shared" ca="1" si="8"/>
        <v>10</v>
      </c>
      <c r="O24">
        <f t="shared" ca="1" si="8"/>
        <v>7</v>
      </c>
      <c r="P24">
        <f t="shared" ca="1" si="8"/>
        <v>8</v>
      </c>
      <c r="Q24">
        <f t="shared" ca="1" si="8"/>
        <v>10</v>
      </c>
      <c r="R24">
        <f t="shared" ca="1" si="8"/>
        <v>4</v>
      </c>
      <c r="S24">
        <f t="shared" ca="1" si="7"/>
        <v>2</v>
      </c>
      <c r="T24">
        <f t="shared" ca="1" si="7"/>
        <v>9</v>
      </c>
      <c r="U24">
        <f t="shared" ca="1" si="7"/>
        <v>4</v>
      </c>
      <c r="V24">
        <f t="shared" ca="1" si="7"/>
        <v>8</v>
      </c>
      <c r="W24">
        <f t="shared" ca="1" si="7"/>
        <v>8</v>
      </c>
      <c r="X24">
        <f t="shared" ca="1" si="7"/>
        <v>10</v>
      </c>
      <c r="Y24">
        <f t="shared" ca="1" si="7"/>
        <v>9</v>
      </c>
      <c r="Z24">
        <f t="shared" ca="1" si="7"/>
        <v>3</v>
      </c>
      <c r="AA24">
        <f t="shared" ca="1" si="7"/>
        <v>9</v>
      </c>
      <c r="AB24">
        <f t="shared" ca="1" si="7"/>
        <v>4</v>
      </c>
      <c r="AC24">
        <f t="shared" ca="1" si="7"/>
        <v>9</v>
      </c>
      <c r="AD24">
        <f t="shared" ca="1" si="7"/>
        <v>8</v>
      </c>
      <c r="AE24">
        <f t="shared" ca="1" si="7"/>
        <v>6</v>
      </c>
      <c r="AF24">
        <f t="shared" ca="1" si="7"/>
        <v>7</v>
      </c>
      <c r="AG24">
        <f t="shared" ca="1" si="7"/>
        <v>2</v>
      </c>
      <c r="AH24" s="25">
        <f t="shared" ca="1" si="6"/>
        <v>190</v>
      </c>
      <c r="AI24">
        <v>350</v>
      </c>
      <c r="AJ24">
        <v>390</v>
      </c>
      <c r="AK24">
        <f t="shared" si="3"/>
        <v>40</v>
      </c>
      <c r="AL24" s="15">
        <f t="shared" ca="1" si="4"/>
        <v>74100</v>
      </c>
      <c r="AM24" s="15">
        <f t="shared" ca="1" si="5"/>
        <v>7600</v>
      </c>
    </row>
    <row r="25" spans="1:39">
      <c r="A25" s="27"/>
      <c r="B25" t="s">
        <v>42</v>
      </c>
      <c r="C25">
        <f t="shared" ca="1" si="8"/>
        <v>1</v>
      </c>
      <c r="D25">
        <f t="shared" ca="1" si="8"/>
        <v>7</v>
      </c>
      <c r="E25">
        <f t="shared" ca="1" si="8"/>
        <v>2</v>
      </c>
      <c r="F25">
        <f t="shared" ca="1" si="8"/>
        <v>8</v>
      </c>
      <c r="G25">
        <f t="shared" ca="1" si="8"/>
        <v>3</v>
      </c>
      <c r="H25">
        <f t="shared" ca="1" si="8"/>
        <v>5</v>
      </c>
      <c r="I25">
        <f t="shared" ca="1" si="8"/>
        <v>2</v>
      </c>
      <c r="J25">
        <f t="shared" ca="1" si="8"/>
        <v>3</v>
      </c>
      <c r="K25">
        <f t="shared" ca="1" si="8"/>
        <v>6</v>
      </c>
      <c r="L25">
        <f t="shared" ca="1" si="8"/>
        <v>2</v>
      </c>
      <c r="M25">
        <f t="shared" ca="1" si="8"/>
        <v>1</v>
      </c>
      <c r="N25">
        <f t="shared" ca="1" si="8"/>
        <v>5</v>
      </c>
      <c r="O25">
        <f t="shared" ca="1" si="8"/>
        <v>7</v>
      </c>
      <c r="P25">
        <f t="shared" ca="1" si="8"/>
        <v>2</v>
      </c>
      <c r="Q25">
        <f t="shared" ca="1" si="8"/>
        <v>6</v>
      </c>
      <c r="R25">
        <f t="shared" ca="1" si="8"/>
        <v>3</v>
      </c>
      <c r="S25">
        <f t="shared" ca="1" si="7"/>
        <v>10</v>
      </c>
      <c r="T25">
        <f t="shared" ca="1" si="7"/>
        <v>1</v>
      </c>
      <c r="U25">
        <f t="shared" ca="1" si="7"/>
        <v>9</v>
      </c>
      <c r="V25">
        <f t="shared" ca="1" si="7"/>
        <v>3</v>
      </c>
      <c r="W25">
        <f t="shared" ca="1" si="7"/>
        <v>3</v>
      </c>
      <c r="X25">
        <f t="shared" ca="1" si="7"/>
        <v>9</v>
      </c>
      <c r="Y25">
        <f t="shared" ca="1" si="7"/>
        <v>8</v>
      </c>
      <c r="Z25">
        <f t="shared" ca="1" si="7"/>
        <v>10</v>
      </c>
      <c r="AA25">
        <f t="shared" ca="1" si="7"/>
        <v>4</v>
      </c>
      <c r="AB25">
        <f t="shared" ca="1" si="7"/>
        <v>2</v>
      </c>
      <c r="AC25">
        <f t="shared" ca="1" si="7"/>
        <v>10</v>
      </c>
      <c r="AD25">
        <f t="shared" ca="1" si="7"/>
        <v>9</v>
      </c>
      <c r="AE25">
        <f t="shared" ca="1" si="7"/>
        <v>10</v>
      </c>
      <c r="AF25">
        <f t="shared" ca="1" si="7"/>
        <v>9</v>
      </c>
      <c r="AG25">
        <f t="shared" ca="1" si="7"/>
        <v>9</v>
      </c>
      <c r="AH25" s="25">
        <f t="shared" ca="1" si="6"/>
        <v>169</v>
      </c>
      <c r="AI25">
        <v>211</v>
      </c>
      <c r="AJ25">
        <v>240</v>
      </c>
      <c r="AK25">
        <f t="shared" si="3"/>
        <v>29</v>
      </c>
      <c r="AL25" s="15">
        <f t="shared" ca="1" si="4"/>
        <v>40560</v>
      </c>
      <c r="AM25" s="15">
        <f t="shared" ca="1" si="5"/>
        <v>4901</v>
      </c>
    </row>
    <row r="26" spans="1:39">
      <c r="A26" s="27"/>
      <c r="B26" t="s">
        <v>43</v>
      </c>
      <c r="C26">
        <f t="shared" ca="1" si="8"/>
        <v>5</v>
      </c>
      <c r="D26">
        <f t="shared" ca="1" si="8"/>
        <v>7</v>
      </c>
      <c r="E26">
        <f t="shared" ca="1" si="8"/>
        <v>10</v>
      </c>
      <c r="F26">
        <f t="shared" ca="1" si="8"/>
        <v>3</v>
      </c>
      <c r="G26">
        <f t="shared" ca="1" si="8"/>
        <v>1</v>
      </c>
      <c r="H26">
        <f t="shared" ca="1" si="8"/>
        <v>8</v>
      </c>
      <c r="I26">
        <f t="shared" ca="1" si="8"/>
        <v>4</v>
      </c>
      <c r="J26">
        <f t="shared" ca="1" si="8"/>
        <v>7</v>
      </c>
      <c r="K26">
        <f t="shared" ca="1" si="8"/>
        <v>2</v>
      </c>
      <c r="L26">
        <f t="shared" ca="1" si="8"/>
        <v>8</v>
      </c>
      <c r="M26">
        <f t="shared" ca="1" si="8"/>
        <v>7</v>
      </c>
      <c r="N26">
        <f t="shared" ca="1" si="8"/>
        <v>9</v>
      </c>
      <c r="O26">
        <f t="shared" ca="1" si="8"/>
        <v>2</v>
      </c>
      <c r="P26">
        <f t="shared" ca="1" si="8"/>
        <v>4</v>
      </c>
      <c r="Q26">
        <f t="shared" ca="1" si="8"/>
        <v>8</v>
      </c>
      <c r="R26">
        <f t="shared" ca="1" si="8"/>
        <v>8</v>
      </c>
      <c r="S26">
        <f t="shared" ca="1" si="7"/>
        <v>8</v>
      </c>
      <c r="T26">
        <f t="shared" ca="1" si="7"/>
        <v>3</v>
      </c>
      <c r="U26">
        <f t="shared" ca="1" si="7"/>
        <v>8</v>
      </c>
      <c r="V26">
        <f t="shared" ca="1" si="7"/>
        <v>1</v>
      </c>
      <c r="W26">
        <f t="shared" ca="1" si="7"/>
        <v>5</v>
      </c>
      <c r="X26">
        <f t="shared" ca="1" si="7"/>
        <v>9</v>
      </c>
      <c r="Y26">
        <f t="shared" ca="1" si="7"/>
        <v>8</v>
      </c>
      <c r="Z26">
        <f t="shared" ca="1" si="7"/>
        <v>10</v>
      </c>
      <c r="AA26">
        <f t="shared" ca="1" si="7"/>
        <v>5</v>
      </c>
      <c r="AB26">
        <f t="shared" ca="1" si="7"/>
        <v>4</v>
      </c>
      <c r="AC26">
        <f t="shared" ca="1" si="7"/>
        <v>1</v>
      </c>
      <c r="AD26">
        <f t="shared" ca="1" si="7"/>
        <v>7</v>
      </c>
      <c r="AE26">
        <f t="shared" ca="1" si="7"/>
        <v>4</v>
      </c>
      <c r="AF26">
        <f t="shared" ca="1" si="7"/>
        <v>9</v>
      </c>
      <c r="AG26">
        <f t="shared" ca="1" si="7"/>
        <v>5</v>
      </c>
      <c r="AH26" s="25">
        <f t="shared" ca="1" si="6"/>
        <v>180</v>
      </c>
      <c r="AI26">
        <v>247</v>
      </c>
      <c r="AJ26">
        <v>280</v>
      </c>
      <c r="AK26">
        <f t="shared" si="3"/>
        <v>33</v>
      </c>
      <c r="AL26" s="15">
        <f t="shared" ca="1" si="4"/>
        <v>50400</v>
      </c>
      <c r="AM26" s="15">
        <f t="shared" ca="1" si="5"/>
        <v>5940</v>
      </c>
    </row>
    <row r="27" spans="1:39">
      <c r="A27" s="27"/>
      <c r="B27" t="s">
        <v>44</v>
      </c>
      <c r="C27">
        <f t="shared" ca="1" si="8"/>
        <v>8</v>
      </c>
      <c r="D27">
        <f t="shared" ca="1" si="8"/>
        <v>3</v>
      </c>
      <c r="E27">
        <f t="shared" ca="1" si="8"/>
        <v>6</v>
      </c>
      <c r="F27">
        <f t="shared" ca="1" si="8"/>
        <v>6</v>
      </c>
      <c r="G27">
        <f t="shared" ca="1" si="8"/>
        <v>1</v>
      </c>
      <c r="H27">
        <f t="shared" ca="1" si="8"/>
        <v>8</v>
      </c>
      <c r="I27">
        <f t="shared" ca="1" si="8"/>
        <v>9</v>
      </c>
      <c r="J27">
        <f t="shared" ca="1" si="8"/>
        <v>9</v>
      </c>
      <c r="K27">
        <f t="shared" ca="1" si="8"/>
        <v>5</v>
      </c>
      <c r="L27">
        <f t="shared" ca="1" si="8"/>
        <v>2</v>
      </c>
      <c r="M27">
        <f t="shared" ca="1" si="8"/>
        <v>3</v>
      </c>
      <c r="N27">
        <f t="shared" ca="1" si="8"/>
        <v>9</v>
      </c>
      <c r="O27">
        <f t="shared" ca="1" si="8"/>
        <v>10</v>
      </c>
      <c r="P27">
        <f t="shared" ca="1" si="8"/>
        <v>1</v>
      </c>
      <c r="Q27">
        <f t="shared" ca="1" si="8"/>
        <v>4</v>
      </c>
      <c r="R27">
        <f t="shared" ca="1" si="8"/>
        <v>3</v>
      </c>
      <c r="S27">
        <f t="shared" ca="1" si="7"/>
        <v>8</v>
      </c>
      <c r="T27">
        <f t="shared" ca="1" si="7"/>
        <v>5</v>
      </c>
      <c r="U27">
        <f t="shared" ca="1" si="7"/>
        <v>9</v>
      </c>
      <c r="V27">
        <f t="shared" ca="1" si="7"/>
        <v>9</v>
      </c>
      <c r="W27">
        <f t="shared" ca="1" si="7"/>
        <v>5</v>
      </c>
      <c r="X27">
        <f t="shared" ca="1" si="7"/>
        <v>7</v>
      </c>
      <c r="Y27">
        <f t="shared" ca="1" si="7"/>
        <v>5</v>
      </c>
      <c r="Z27">
        <f t="shared" ca="1" si="7"/>
        <v>5</v>
      </c>
      <c r="AA27">
        <f t="shared" ca="1" si="7"/>
        <v>9</v>
      </c>
      <c r="AB27">
        <f t="shared" ca="1" si="7"/>
        <v>4</v>
      </c>
      <c r="AC27">
        <f t="shared" ca="1" si="7"/>
        <v>8</v>
      </c>
      <c r="AD27">
        <f t="shared" ca="1" si="7"/>
        <v>7</v>
      </c>
      <c r="AE27">
        <f t="shared" ca="1" si="7"/>
        <v>2</v>
      </c>
      <c r="AF27">
        <f t="shared" ca="1" si="7"/>
        <v>5</v>
      </c>
      <c r="AG27">
        <f t="shared" ca="1" si="7"/>
        <v>1</v>
      </c>
      <c r="AH27" s="25">
        <f t="shared" ca="1" si="6"/>
        <v>176</v>
      </c>
      <c r="AI27">
        <v>286</v>
      </c>
      <c r="AJ27">
        <v>320</v>
      </c>
      <c r="AK27">
        <f t="shared" si="3"/>
        <v>34</v>
      </c>
      <c r="AL27" s="15">
        <f t="shared" ca="1" si="4"/>
        <v>56320</v>
      </c>
      <c r="AM27" s="15">
        <f t="shared" ca="1" si="5"/>
        <v>5984</v>
      </c>
    </row>
    <row r="28" spans="1:39">
      <c r="A28" s="27"/>
      <c r="B28" t="s">
        <v>45</v>
      </c>
      <c r="C28">
        <f t="shared" ca="1" si="8"/>
        <v>7</v>
      </c>
      <c r="D28">
        <f t="shared" ca="1" si="8"/>
        <v>8</v>
      </c>
      <c r="E28">
        <f t="shared" ca="1" si="8"/>
        <v>2</v>
      </c>
      <c r="F28">
        <f t="shared" ca="1" si="8"/>
        <v>8</v>
      </c>
      <c r="G28">
        <f t="shared" ca="1" si="8"/>
        <v>2</v>
      </c>
      <c r="H28">
        <f t="shared" ca="1" si="8"/>
        <v>6</v>
      </c>
      <c r="I28">
        <f t="shared" ca="1" si="8"/>
        <v>8</v>
      </c>
      <c r="J28">
        <f t="shared" ca="1" si="8"/>
        <v>3</v>
      </c>
      <c r="K28">
        <f t="shared" ca="1" si="8"/>
        <v>2</v>
      </c>
      <c r="L28">
        <f t="shared" ca="1" si="8"/>
        <v>1</v>
      </c>
      <c r="M28">
        <f t="shared" ca="1" si="8"/>
        <v>7</v>
      </c>
      <c r="N28">
        <f t="shared" ca="1" si="8"/>
        <v>8</v>
      </c>
      <c r="O28">
        <f t="shared" ca="1" si="8"/>
        <v>4</v>
      </c>
      <c r="P28">
        <f t="shared" ca="1" si="8"/>
        <v>2</v>
      </c>
      <c r="Q28">
        <f t="shared" ca="1" si="8"/>
        <v>5</v>
      </c>
      <c r="R28">
        <f t="shared" ca="1" si="8"/>
        <v>2</v>
      </c>
      <c r="S28">
        <f t="shared" ref="S28:AG34" ca="1" si="9">RANDBETWEEN(1,10)</f>
        <v>10</v>
      </c>
      <c r="T28">
        <f t="shared" ca="1" si="9"/>
        <v>4</v>
      </c>
      <c r="U28">
        <f t="shared" ca="1" si="9"/>
        <v>2</v>
      </c>
      <c r="V28">
        <f t="shared" ca="1" si="9"/>
        <v>5</v>
      </c>
      <c r="W28">
        <f t="shared" ca="1" si="9"/>
        <v>2</v>
      </c>
      <c r="X28">
        <f t="shared" ca="1" si="9"/>
        <v>2</v>
      </c>
      <c r="Y28">
        <f t="shared" ca="1" si="9"/>
        <v>9</v>
      </c>
      <c r="Z28">
        <f t="shared" ca="1" si="9"/>
        <v>4</v>
      </c>
      <c r="AA28">
        <f t="shared" ca="1" si="9"/>
        <v>8</v>
      </c>
      <c r="AB28">
        <f t="shared" ca="1" si="9"/>
        <v>6</v>
      </c>
      <c r="AC28">
        <f t="shared" ca="1" si="9"/>
        <v>6</v>
      </c>
      <c r="AD28">
        <f t="shared" ca="1" si="9"/>
        <v>4</v>
      </c>
      <c r="AE28">
        <f t="shared" ca="1" si="9"/>
        <v>8</v>
      </c>
      <c r="AF28">
        <f t="shared" ca="1" si="9"/>
        <v>9</v>
      </c>
      <c r="AG28">
        <f t="shared" ca="1" si="9"/>
        <v>10</v>
      </c>
      <c r="AH28" s="25">
        <f t="shared" ca="1" si="6"/>
        <v>164</v>
      </c>
      <c r="AI28">
        <v>67</v>
      </c>
      <c r="AJ28">
        <v>80</v>
      </c>
      <c r="AK28">
        <f t="shared" si="3"/>
        <v>13</v>
      </c>
      <c r="AL28" s="15">
        <f t="shared" ca="1" si="4"/>
        <v>13120</v>
      </c>
      <c r="AM28" s="15">
        <f t="shared" ca="1" si="5"/>
        <v>2132</v>
      </c>
    </row>
    <row r="29" spans="1:39">
      <c r="A29" s="27"/>
      <c r="B29" t="s">
        <v>46</v>
      </c>
      <c r="C29">
        <f t="shared" ca="1" si="8"/>
        <v>2</v>
      </c>
      <c r="D29">
        <f t="shared" ca="1" si="8"/>
        <v>5</v>
      </c>
      <c r="E29">
        <f t="shared" ca="1" si="8"/>
        <v>6</v>
      </c>
      <c r="F29">
        <f t="shared" ca="1" si="8"/>
        <v>9</v>
      </c>
      <c r="G29">
        <f t="shared" ca="1" si="8"/>
        <v>1</v>
      </c>
      <c r="H29">
        <f t="shared" ca="1" si="8"/>
        <v>3</v>
      </c>
      <c r="I29">
        <f t="shared" ca="1" si="8"/>
        <v>4</v>
      </c>
      <c r="J29">
        <f t="shared" ca="1" si="8"/>
        <v>5</v>
      </c>
      <c r="K29">
        <f t="shared" ca="1" si="8"/>
        <v>7</v>
      </c>
      <c r="L29">
        <f t="shared" ca="1" si="8"/>
        <v>3</v>
      </c>
      <c r="M29">
        <f t="shared" ca="1" si="8"/>
        <v>4</v>
      </c>
      <c r="N29">
        <f t="shared" ca="1" si="8"/>
        <v>7</v>
      </c>
      <c r="O29">
        <f t="shared" ca="1" si="8"/>
        <v>9</v>
      </c>
      <c r="P29">
        <f t="shared" ca="1" si="8"/>
        <v>3</v>
      </c>
      <c r="Q29">
        <f t="shared" ca="1" si="8"/>
        <v>2</v>
      </c>
      <c r="R29">
        <f t="shared" ca="1" si="8"/>
        <v>3</v>
      </c>
      <c r="S29">
        <f t="shared" ca="1" si="9"/>
        <v>7</v>
      </c>
      <c r="T29">
        <f t="shared" ca="1" si="9"/>
        <v>4</v>
      </c>
      <c r="U29">
        <f t="shared" ca="1" si="9"/>
        <v>6</v>
      </c>
      <c r="V29">
        <f t="shared" ca="1" si="9"/>
        <v>7</v>
      </c>
      <c r="W29">
        <f t="shared" ca="1" si="9"/>
        <v>4</v>
      </c>
      <c r="X29">
        <f t="shared" ca="1" si="9"/>
        <v>8</v>
      </c>
      <c r="Y29">
        <f t="shared" ca="1" si="9"/>
        <v>3</v>
      </c>
      <c r="Z29">
        <f t="shared" ca="1" si="9"/>
        <v>10</v>
      </c>
      <c r="AA29">
        <f t="shared" ca="1" si="9"/>
        <v>5</v>
      </c>
      <c r="AB29">
        <f t="shared" ca="1" si="9"/>
        <v>8</v>
      </c>
      <c r="AC29">
        <f t="shared" ca="1" si="9"/>
        <v>4</v>
      </c>
      <c r="AD29">
        <f t="shared" ca="1" si="9"/>
        <v>1</v>
      </c>
      <c r="AE29">
        <f t="shared" ca="1" si="9"/>
        <v>2</v>
      </c>
      <c r="AF29">
        <f t="shared" ca="1" si="9"/>
        <v>3</v>
      </c>
      <c r="AG29">
        <f t="shared" ca="1" si="9"/>
        <v>1</v>
      </c>
      <c r="AH29" s="25">
        <f t="shared" ca="1" si="6"/>
        <v>146</v>
      </c>
      <c r="AI29">
        <v>335</v>
      </c>
      <c r="AJ29">
        <v>350</v>
      </c>
      <c r="AK29">
        <f t="shared" si="3"/>
        <v>15</v>
      </c>
      <c r="AL29" s="15">
        <f t="shared" ca="1" si="4"/>
        <v>51100</v>
      </c>
      <c r="AM29" s="15">
        <f t="shared" ca="1" si="5"/>
        <v>2190</v>
      </c>
    </row>
    <row r="30" spans="1:39">
      <c r="A30" s="27"/>
      <c r="B30" t="s">
        <v>47</v>
      </c>
      <c r="C30">
        <f t="shared" ca="1" si="8"/>
        <v>8</v>
      </c>
      <c r="D30">
        <f t="shared" ca="1" si="8"/>
        <v>3</v>
      </c>
      <c r="E30">
        <f t="shared" ca="1" si="8"/>
        <v>4</v>
      </c>
      <c r="F30">
        <f t="shared" ca="1" si="8"/>
        <v>3</v>
      </c>
      <c r="G30">
        <f t="shared" ca="1" si="8"/>
        <v>5</v>
      </c>
      <c r="H30">
        <f t="shared" ca="1" si="8"/>
        <v>2</v>
      </c>
      <c r="I30">
        <f t="shared" ca="1" si="8"/>
        <v>1</v>
      </c>
      <c r="J30">
        <f t="shared" ca="1" si="8"/>
        <v>8</v>
      </c>
      <c r="K30">
        <f t="shared" ca="1" si="8"/>
        <v>4</v>
      </c>
      <c r="L30">
        <f t="shared" ca="1" si="8"/>
        <v>5</v>
      </c>
      <c r="M30">
        <f t="shared" ca="1" si="8"/>
        <v>10</v>
      </c>
      <c r="N30">
        <f t="shared" ca="1" si="8"/>
        <v>4</v>
      </c>
      <c r="O30">
        <f t="shared" ca="1" si="8"/>
        <v>9</v>
      </c>
      <c r="P30">
        <f t="shared" ca="1" si="8"/>
        <v>8</v>
      </c>
      <c r="Q30">
        <f t="shared" ca="1" si="8"/>
        <v>3</v>
      </c>
      <c r="R30">
        <f t="shared" ca="1" si="8"/>
        <v>6</v>
      </c>
      <c r="S30">
        <f t="shared" ca="1" si="9"/>
        <v>5</v>
      </c>
      <c r="T30">
        <f t="shared" ca="1" si="9"/>
        <v>3</v>
      </c>
      <c r="U30">
        <f t="shared" ca="1" si="9"/>
        <v>10</v>
      </c>
      <c r="V30">
        <f t="shared" ca="1" si="9"/>
        <v>9</v>
      </c>
      <c r="W30">
        <f t="shared" ca="1" si="9"/>
        <v>7</v>
      </c>
      <c r="X30">
        <f t="shared" ca="1" si="9"/>
        <v>1</v>
      </c>
      <c r="Y30">
        <f t="shared" ca="1" si="9"/>
        <v>6</v>
      </c>
      <c r="Z30">
        <f t="shared" ca="1" si="9"/>
        <v>6</v>
      </c>
      <c r="AA30">
        <f t="shared" ca="1" si="9"/>
        <v>9</v>
      </c>
      <c r="AB30">
        <f t="shared" ca="1" si="9"/>
        <v>1</v>
      </c>
      <c r="AC30">
        <f t="shared" ca="1" si="9"/>
        <v>3</v>
      </c>
      <c r="AD30">
        <f t="shared" ca="1" si="9"/>
        <v>2</v>
      </c>
      <c r="AE30">
        <f t="shared" ca="1" si="9"/>
        <v>3</v>
      </c>
      <c r="AF30">
        <f t="shared" ca="1" si="9"/>
        <v>7</v>
      </c>
      <c r="AG30">
        <f t="shared" ca="1" si="9"/>
        <v>2</v>
      </c>
      <c r="AH30" s="25">
        <f t="shared" ca="1" si="6"/>
        <v>157</v>
      </c>
      <c r="AI30">
        <v>366</v>
      </c>
      <c r="AJ30">
        <v>400</v>
      </c>
      <c r="AK30">
        <f t="shared" si="3"/>
        <v>34</v>
      </c>
      <c r="AL30" s="15">
        <f t="shared" ca="1" si="4"/>
        <v>62800</v>
      </c>
      <c r="AM30" s="15">
        <f t="shared" ca="1" si="5"/>
        <v>5338</v>
      </c>
    </row>
    <row r="31" spans="1:39">
      <c r="A31" s="27"/>
      <c r="B31" t="s">
        <v>48</v>
      </c>
      <c r="C31">
        <f t="shared" ca="1" si="8"/>
        <v>8</v>
      </c>
      <c r="D31">
        <f t="shared" ca="1" si="8"/>
        <v>10</v>
      </c>
      <c r="E31">
        <f t="shared" ca="1" si="8"/>
        <v>8</v>
      </c>
      <c r="F31">
        <f t="shared" ca="1" si="8"/>
        <v>1</v>
      </c>
      <c r="G31">
        <f t="shared" ca="1" si="8"/>
        <v>3</v>
      </c>
      <c r="H31">
        <f t="shared" ca="1" si="8"/>
        <v>3</v>
      </c>
      <c r="I31">
        <f t="shared" ca="1" si="8"/>
        <v>10</v>
      </c>
      <c r="J31">
        <f t="shared" ca="1" si="8"/>
        <v>3</v>
      </c>
      <c r="K31">
        <f t="shared" ca="1" si="8"/>
        <v>7</v>
      </c>
      <c r="L31">
        <f t="shared" ca="1" si="8"/>
        <v>9</v>
      </c>
      <c r="M31">
        <f t="shared" ca="1" si="8"/>
        <v>5</v>
      </c>
      <c r="N31">
        <f t="shared" ca="1" si="8"/>
        <v>2</v>
      </c>
      <c r="O31">
        <f t="shared" ca="1" si="8"/>
        <v>7</v>
      </c>
      <c r="P31">
        <f t="shared" ca="1" si="8"/>
        <v>6</v>
      </c>
      <c r="Q31">
        <f t="shared" ca="1" si="8"/>
        <v>7</v>
      </c>
      <c r="R31">
        <f t="shared" ca="1" si="8"/>
        <v>7</v>
      </c>
      <c r="S31">
        <f t="shared" ca="1" si="9"/>
        <v>9</v>
      </c>
      <c r="T31">
        <f t="shared" ca="1" si="9"/>
        <v>4</v>
      </c>
      <c r="U31">
        <f t="shared" ca="1" si="9"/>
        <v>8</v>
      </c>
      <c r="V31">
        <f t="shared" ca="1" si="9"/>
        <v>3</v>
      </c>
      <c r="W31">
        <f t="shared" ca="1" si="9"/>
        <v>8</v>
      </c>
      <c r="X31">
        <f t="shared" ca="1" si="9"/>
        <v>5</v>
      </c>
      <c r="Y31">
        <f t="shared" ca="1" si="9"/>
        <v>8</v>
      </c>
      <c r="Z31">
        <f t="shared" ca="1" si="9"/>
        <v>2</v>
      </c>
      <c r="AA31">
        <f t="shared" ca="1" si="9"/>
        <v>7</v>
      </c>
      <c r="AB31">
        <f t="shared" ca="1" si="9"/>
        <v>6</v>
      </c>
      <c r="AC31">
        <f t="shared" ca="1" si="9"/>
        <v>10</v>
      </c>
      <c r="AD31">
        <f t="shared" ca="1" si="9"/>
        <v>9</v>
      </c>
      <c r="AE31">
        <f t="shared" ca="1" si="9"/>
        <v>8</v>
      </c>
      <c r="AF31">
        <f t="shared" ca="1" si="9"/>
        <v>8</v>
      </c>
      <c r="AG31">
        <f t="shared" ca="1" si="9"/>
        <v>6</v>
      </c>
      <c r="AH31" s="25">
        <f t="shared" ca="1" si="6"/>
        <v>197</v>
      </c>
      <c r="AI31">
        <v>167</v>
      </c>
      <c r="AJ31">
        <v>200</v>
      </c>
      <c r="AK31">
        <f t="shared" si="3"/>
        <v>33</v>
      </c>
      <c r="AL31" s="15">
        <f t="shared" ca="1" si="4"/>
        <v>39400</v>
      </c>
      <c r="AM31" s="15">
        <f t="shared" ca="1" si="5"/>
        <v>6501</v>
      </c>
    </row>
    <row r="32" spans="1:39">
      <c r="A32" s="27"/>
      <c r="B32" t="s">
        <v>49</v>
      </c>
      <c r="C32">
        <f t="shared" ca="1" si="8"/>
        <v>4</v>
      </c>
      <c r="D32">
        <f t="shared" ca="1" si="8"/>
        <v>10</v>
      </c>
      <c r="E32">
        <f t="shared" ca="1" si="8"/>
        <v>4</v>
      </c>
      <c r="F32">
        <f t="shared" ca="1" si="8"/>
        <v>5</v>
      </c>
      <c r="G32">
        <f t="shared" ca="1" si="8"/>
        <v>6</v>
      </c>
      <c r="H32">
        <f t="shared" ca="1" si="8"/>
        <v>2</v>
      </c>
      <c r="I32">
        <f t="shared" ca="1" si="8"/>
        <v>10</v>
      </c>
      <c r="J32">
        <f t="shared" ca="1" si="8"/>
        <v>10</v>
      </c>
      <c r="K32">
        <f t="shared" ca="1" si="8"/>
        <v>2</v>
      </c>
      <c r="L32">
        <f t="shared" ca="1" si="8"/>
        <v>3</v>
      </c>
      <c r="M32">
        <f t="shared" ca="1" si="8"/>
        <v>2</v>
      </c>
      <c r="N32">
        <f t="shared" ca="1" si="8"/>
        <v>3</v>
      </c>
      <c r="O32">
        <f t="shared" ca="1" si="8"/>
        <v>8</v>
      </c>
      <c r="P32">
        <f t="shared" ca="1" si="8"/>
        <v>5</v>
      </c>
      <c r="Q32">
        <f t="shared" ca="1" si="8"/>
        <v>9</v>
      </c>
      <c r="R32">
        <f t="shared" ca="1" si="8"/>
        <v>7</v>
      </c>
      <c r="S32">
        <f t="shared" ca="1" si="9"/>
        <v>3</v>
      </c>
      <c r="T32">
        <f t="shared" ca="1" si="9"/>
        <v>1</v>
      </c>
      <c r="U32">
        <f t="shared" ca="1" si="9"/>
        <v>9</v>
      </c>
      <c r="V32">
        <f t="shared" ca="1" si="9"/>
        <v>4</v>
      </c>
      <c r="W32">
        <f t="shared" ca="1" si="9"/>
        <v>2</v>
      </c>
      <c r="X32">
        <f t="shared" ca="1" si="9"/>
        <v>2</v>
      </c>
      <c r="Y32">
        <f t="shared" ca="1" si="9"/>
        <v>8</v>
      </c>
      <c r="Z32">
        <f t="shared" ca="1" si="9"/>
        <v>2</v>
      </c>
      <c r="AA32">
        <f t="shared" ca="1" si="9"/>
        <v>10</v>
      </c>
      <c r="AB32">
        <f t="shared" ca="1" si="9"/>
        <v>3</v>
      </c>
      <c r="AC32">
        <f t="shared" ca="1" si="9"/>
        <v>9</v>
      </c>
      <c r="AD32">
        <f t="shared" ca="1" si="9"/>
        <v>1</v>
      </c>
      <c r="AE32">
        <f t="shared" ca="1" si="9"/>
        <v>8</v>
      </c>
      <c r="AF32">
        <f t="shared" ca="1" si="9"/>
        <v>4</v>
      </c>
      <c r="AG32">
        <f t="shared" ca="1" si="9"/>
        <v>6</v>
      </c>
      <c r="AH32" s="25">
        <f t="shared" ca="1" si="6"/>
        <v>162</v>
      </c>
      <c r="AI32">
        <v>73</v>
      </c>
      <c r="AJ32">
        <v>100</v>
      </c>
      <c r="AK32">
        <f t="shared" si="3"/>
        <v>27</v>
      </c>
      <c r="AL32" s="15">
        <f t="shared" ca="1" si="4"/>
        <v>16200</v>
      </c>
      <c r="AM32" s="15">
        <f t="shared" ca="1" si="5"/>
        <v>4374</v>
      </c>
    </row>
    <row r="33" spans="1:39">
      <c r="A33" s="27"/>
      <c r="B33" t="s">
        <v>50</v>
      </c>
      <c r="C33">
        <f t="shared" ca="1" si="8"/>
        <v>6</v>
      </c>
      <c r="D33">
        <f t="shared" ca="1" si="8"/>
        <v>7</v>
      </c>
      <c r="E33">
        <f t="shared" ca="1" si="8"/>
        <v>9</v>
      </c>
      <c r="F33">
        <f t="shared" ca="1" si="8"/>
        <v>5</v>
      </c>
      <c r="G33">
        <f t="shared" ca="1" si="8"/>
        <v>7</v>
      </c>
      <c r="H33">
        <f t="shared" ca="1" si="8"/>
        <v>5</v>
      </c>
      <c r="I33">
        <f t="shared" ca="1" si="8"/>
        <v>7</v>
      </c>
      <c r="J33">
        <f t="shared" ca="1" si="8"/>
        <v>9</v>
      </c>
      <c r="K33">
        <f t="shared" ca="1" si="8"/>
        <v>2</v>
      </c>
      <c r="L33">
        <f t="shared" ca="1" si="8"/>
        <v>9</v>
      </c>
      <c r="M33">
        <f t="shared" ca="1" si="8"/>
        <v>8</v>
      </c>
      <c r="N33">
        <f t="shared" ca="1" si="8"/>
        <v>1</v>
      </c>
      <c r="O33">
        <f t="shared" ca="1" si="8"/>
        <v>3</v>
      </c>
      <c r="P33">
        <f t="shared" ca="1" si="8"/>
        <v>2</v>
      </c>
      <c r="Q33">
        <f t="shared" ca="1" si="8"/>
        <v>6</v>
      </c>
      <c r="R33">
        <f t="shared" ca="1" si="8"/>
        <v>9</v>
      </c>
      <c r="S33">
        <f t="shared" ca="1" si="9"/>
        <v>6</v>
      </c>
      <c r="T33">
        <f t="shared" ca="1" si="9"/>
        <v>4</v>
      </c>
      <c r="U33">
        <f t="shared" ca="1" si="9"/>
        <v>10</v>
      </c>
      <c r="V33">
        <f t="shared" ca="1" si="9"/>
        <v>6</v>
      </c>
      <c r="W33">
        <f t="shared" ca="1" si="9"/>
        <v>10</v>
      </c>
      <c r="X33">
        <f t="shared" ca="1" si="9"/>
        <v>10</v>
      </c>
      <c r="Y33">
        <f t="shared" ca="1" si="9"/>
        <v>4</v>
      </c>
      <c r="Z33">
        <f t="shared" ca="1" si="9"/>
        <v>2</v>
      </c>
      <c r="AA33">
        <f t="shared" ca="1" si="9"/>
        <v>6</v>
      </c>
      <c r="AB33">
        <f t="shared" ca="1" si="9"/>
        <v>7</v>
      </c>
      <c r="AC33">
        <f t="shared" ca="1" si="9"/>
        <v>2</v>
      </c>
      <c r="AD33">
        <f t="shared" ca="1" si="9"/>
        <v>4</v>
      </c>
      <c r="AE33">
        <f t="shared" ca="1" si="9"/>
        <v>5</v>
      </c>
      <c r="AF33">
        <f t="shared" ca="1" si="9"/>
        <v>10</v>
      </c>
      <c r="AG33">
        <f t="shared" ca="1" si="9"/>
        <v>1</v>
      </c>
      <c r="AH33" s="25">
        <f t="shared" ca="1" si="6"/>
        <v>182</v>
      </c>
      <c r="AI33">
        <v>367</v>
      </c>
      <c r="AJ33">
        <v>450</v>
      </c>
      <c r="AK33">
        <f t="shared" si="3"/>
        <v>83</v>
      </c>
      <c r="AL33" s="15">
        <f t="shared" ca="1" si="4"/>
        <v>81900</v>
      </c>
      <c r="AM33" s="15">
        <f t="shared" ca="1" si="5"/>
        <v>15106</v>
      </c>
    </row>
    <row r="34" spans="1:39">
      <c r="A34" s="27"/>
      <c r="B34" t="s">
        <v>51</v>
      </c>
      <c r="C34">
        <f t="shared" ca="1" si="8"/>
        <v>2</v>
      </c>
      <c r="D34">
        <f t="shared" ca="1" si="8"/>
        <v>4</v>
      </c>
      <c r="E34">
        <f t="shared" ca="1" si="8"/>
        <v>3</v>
      </c>
      <c r="F34">
        <f t="shared" ca="1" si="8"/>
        <v>3</v>
      </c>
      <c r="G34">
        <f t="shared" ca="1" si="8"/>
        <v>1</v>
      </c>
      <c r="H34">
        <f t="shared" ca="1" si="8"/>
        <v>8</v>
      </c>
      <c r="I34">
        <f t="shared" ca="1" si="8"/>
        <v>6</v>
      </c>
      <c r="J34">
        <f t="shared" ca="1" si="8"/>
        <v>10</v>
      </c>
      <c r="K34">
        <f t="shared" ca="1" si="8"/>
        <v>3</v>
      </c>
      <c r="L34">
        <f t="shared" ca="1" si="8"/>
        <v>8</v>
      </c>
      <c r="M34">
        <f t="shared" ca="1" si="8"/>
        <v>5</v>
      </c>
      <c r="N34">
        <f t="shared" ca="1" si="8"/>
        <v>4</v>
      </c>
      <c r="O34">
        <f t="shared" ca="1" si="8"/>
        <v>1</v>
      </c>
      <c r="P34">
        <f t="shared" ca="1" si="8"/>
        <v>5</v>
      </c>
      <c r="Q34">
        <f t="shared" ca="1" si="8"/>
        <v>8</v>
      </c>
      <c r="R34">
        <f t="shared" ca="1" si="8"/>
        <v>10</v>
      </c>
      <c r="S34">
        <f t="shared" ca="1" si="9"/>
        <v>6</v>
      </c>
      <c r="T34">
        <f t="shared" ca="1" si="9"/>
        <v>8</v>
      </c>
      <c r="U34">
        <f t="shared" ca="1" si="9"/>
        <v>10</v>
      </c>
      <c r="V34">
        <f t="shared" ca="1" si="9"/>
        <v>3</v>
      </c>
      <c r="W34">
        <f t="shared" ca="1" si="9"/>
        <v>5</v>
      </c>
      <c r="X34">
        <f t="shared" ca="1" si="9"/>
        <v>4</v>
      </c>
      <c r="Y34">
        <f t="shared" ca="1" si="9"/>
        <v>10</v>
      </c>
      <c r="Z34">
        <f t="shared" ca="1" si="9"/>
        <v>7</v>
      </c>
      <c r="AA34">
        <f t="shared" ca="1" si="9"/>
        <v>6</v>
      </c>
      <c r="AB34">
        <f t="shared" ca="1" si="9"/>
        <v>9</v>
      </c>
      <c r="AC34">
        <f t="shared" ca="1" si="9"/>
        <v>10</v>
      </c>
      <c r="AD34">
        <f t="shared" ca="1" si="9"/>
        <v>8</v>
      </c>
      <c r="AE34">
        <f t="shared" ca="1" si="9"/>
        <v>3</v>
      </c>
      <c r="AF34">
        <f t="shared" ca="1" si="9"/>
        <v>7</v>
      </c>
      <c r="AG34">
        <f t="shared" ca="1" si="9"/>
        <v>3</v>
      </c>
      <c r="AH34" s="25">
        <f t="shared" ca="1" si="6"/>
        <v>180</v>
      </c>
      <c r="AI34">
        <v>342</v>
      </c>
      <c r="AJ34">
        <v>390</v>
      </c>
      <c r="AK34">
        <f t="shared" si="3"/>
        <v>48</v>
      </c>
      <c r="AL34" s="15">
        <f t="shared" ca="1" si="4"/>
        <v>70200</v>
      </c>
      <c r="AM34" s="15">
        <f t="shared" ca="1" si="5"/>
        <v>8640</v>
      </c>
    </row>
    <row r="35" spans="1:39">
      <c r="A35" s="27"/>
      <c r="B35" t="s">
        <v>52</v>
      </c>
      <c r="C35">
        <f t="shared" ca="1" si="8"/>
        <v>5</v>
      </c>
      <c r="D35">
        <f t="shared" ca="1" si="8"/>
        <v>8</v>
      </c>
      <c r="E35">
        <f t="shared" ca="1" si="8"/>
        <v>3</v>
      </c>
      <c r="F35">
        <f t="shared" ca="1" si="8"/>
        <v>3</v>
      </c>
      <c r="G35">
        <f t="shared" ca="1" si="8"/>
        <v>7</v>
      </c>
      <c r="H35">
        <f t="shared" ca="1" si="8"/>
        <v>3</v>
      </c>
      <c r="I35">
        <f t="shared" ca="1" si="8"/>
        <v>10</v>
      </c>
      <c r="J35">
        <f t="shared" ca="1" si="8"/>
        <v>10</v>
      </c>
      <c r="K35">
        <f t="shared" ca="1" si="8"/>
        <v>8</v>
      </c>
      <c r="L35">
        <f t="shared" ca="1" si="8"/>
        <v>1</v>
      </c>
      <c r="M35">
        <f t="shared" ca="1" si="8"/>
        <v>2</v>
      </c>
      <c r="N35">
        <f t="shared" ca="1" si="8"/>
        <v>6</v>
      </c>
      <c r="O35">
        <f t="shared" ca="1" si="8"/>
        <v>8</v>
      </c>
      <c r="P35">
        <f t="shared" ca="1" si="8"/>
        <v>1</v>
      </c>
      <c r="Q35">
        <f t="shared" ca="1" si="8"/>
        <v>7</v>
      </c>
      <c r="R35">
        <f t="shared" ref="R35:AG50" ca="1" si="10">RANDBETWEEN(1,10)</f>
        <v>1</v>
      </c>
      <c r="S35">
        <f t="shared" ca="1" si="10"/>
        <v>9</v>
      </c>
      <c r="T35">
        <f t="shared" ca="1" si="10"/>
        <v>8</v>
      </c>
      <c r="U35">
        <f t="shared" ca="1" si="10"/>
        <v>3</v>
      </c>
      <c r="V35">
        <f t="shared" ca="1" si="10"/>
        <v>7</v>
      </c>
      <c r="W35">
        <f t="shared" ca="1" si="10"/>
        <v>5</v>
      </c>
      <c r="X35">
        <f t="shared" ca="1" si="10"/>
        <v>1</v>
      </c>
      <c r="Y35">
        <f t="shared" ca="1" si="10"/>
        <v>1</v>
      </c>
      <c r="Z35">
        <f t="shared" ca="1" si="10"/>
        <v>5</v>
      </c>
      <c r="AA35">
        <f t="shared" ca="1" si="10"/>
        <v>9</v>
      </c>
      <c r="AB35">
        <f t="shared" ca="1" si="10"/>
        <v>6</v>
      </c>
      <c r="AC35">
        <f t="shared" ca="1" si="10"/>
        <v>10</v>
      </c>
      <c r="AD35">
        <f t="shared" ca="1" si="10"/>
        <v>8</v>
      </c>
      <c r="AE35">
        <f t="shared" ca="1" si="10"/>
        <v>6</v>
      </c>
      <c r="AF35">
        <f t="shared" ca="1" si="10"/>
        <v>1</v>
      </c>
      <c r="AG35">
        <f t="shared" ca="1" si="10"/>
        <v>8</v>
      </c>
      <c r="AH35" s="25">
        <f t="shared" ca="1" si="6"/>
        <v>170</v>
      </c>
      <c r="AI35">
        <v>363</v>
      </c>
      <c r="AJ35">
        <v>420</v>
      </c>
      <c r="AK35">
        <f t="shared" si="3"/>
        <v>57</v>
      </c>
      <c r="AL35" s="15">
        <f t="shared" ca="1" si="4"/>
        <v>71400</v>
      </c>
      <c r="AM35" s="15">
        <f t="shared" ca="1" si="5"/>
        <v>9690</v>
      </c>
    </row>
    <row r="36" spans="1:39">
      <c r="A36" s="27"/>
      <c r="B36" t="s">
        <v>53</v>
      </c>
      <c r="C36">
        <f t="shared" ref="C36:R51" ca="1" si="11">RANDBETWEEN(1,10)</f>
        <v>7</v>
      </c>
      <c r="D36">
        <f t="shared" ca="1" si="11"/>
        <v>5</v>
      </c>
      <c r="E36">
        <f t="shared" ca="1" si="11"/>
        <v>2</v>
      </c>
      <c r="F36">
        <f t="shared" ca="1" si="11"/>
        <v>8</v>
      </c>
      <c r="G36">
        <f t="shared" ca="1" si="11"/>
        <v>1</v>
      </c>
      <c r="H36">
        <f t="shared" ca="1" si="11"/>
        <v>10</v>
      </c>
      <c r="I36">
        <f t="shared" ca="1" si="11"/>
        <v>2</v>
      </c>
      <c r="J36">
        <f t="shared" ca="1" si="11"/>
        <v>2</v>
      </c>
      <c r="K36">
        <f t="shared" ca="1" si="11"/>
        <v>9</v>
      </c>
      <c r="L36">
        <f t="shared" ca="1" si="11"/>
        <v>7</v>
      </c>
      <c r="M36">
        <f t="shared" ca="1" si="11"/>
        <v>5</v>
      </c>
      <c r="N36">
        <f t="shared" ca="1" si="11"/>
        <v>5</v>
      </c>
      <c r="O36">
        <f t="shared" ca="1" si="11"/>
        <v>7</v>
      </c>
      <c r="P36">
        <f t="shared" ca="1" si="11"/>
        <v>10</v>
      </c>
      <c r="Q36">
        <f t="shared" ca="1" si="11"/>
        <v>8</v>
      </c>
      <c r="R36">
        <f t="shared" ca="1" si="11"/>
        <v>1</v>
      </c>
      <c r="S36">
        <f t="shared" ca="1" si="10"/>
        <v>8</v>
      </c>
      <c r="T36">
        <f t="shared" ca="1" si="10"/>
        <v>4</v>
      </c>
      <c r="U36">
        <f t="shared" ca="1" si="10"/>
        <v>3</v>
      </c>
      <c r="V36">
        <f t="shared" ca="1" si="10"/>
        <v>10</v>
      </c>
      <c r="W36">
        <f t="shared" ca="1" si="10"/>
        <v>8</v>
      </c>
      <c r="X36">
        <f t="shared" ca="1" si="10"/>
        <v>3</v>
      </c>
      <c r="Y36">
        <f t="shared" ca="1" si="10"/>
        <v>3</v>
      </c>
      <c r="Z36">
        <f t="shared" ca="1" si="10"/>
        <v>1</v>
      </c>
      <c r="AA36">
        <f t="shared" ca="1" si="10"/>
        <v>2</v>
      </c>
      <c r="AB36">
        <f t="shared" ca="1" si="10"/>
        <v>6</v>
      </c>
      <c r="AC36">
        <f t="shared" ca="1" si="10"/>
        <v>5</v>
      </c>
      <c r="AD36">
        <f t="shared" ca="1" si="10"/>
        <v>9</v>
      </c>
      <c r="AE36">
        <f t="shared" ca="1" si="10"/>
        <v>3</v>
      </c>
      <c r="AF36">
        <f t="shared" ca="1" si="10"/>
        <v>7</v>
      </c>
      <c r="AG36">
        <f t="shared" ca="1" si="10"/>
        <v>10</v>
      </c>
      <c r="AH36" s="25">
        <f t="shared" ca="1" si="6"/>
        <v>171</v>
      </c>
      <c r="AI36">
        <v>263</v>
      </c>
      <c r="AJ36">
        <v>300</v>
      </c>
      <c r="AK36">
        <f t="shared" si="3"/>
        <v>37</v>
      </c>
      <c r="AL36" s="15">
        <f t="shared" ca="1" si="4"/>
        <v>51300</v>
      </c>
      <c r="AM36" s="15">
        <f t="shared" ca="1" si="5"/>
        <v>6327</v>
      </c>
    </row>
    <row r="37" spans="1:39">
      <c r="A37" s="27"/>
      <c r="B37" t="s">
        <v>54</v>
      </c>
      <c r="C37">
        <f t="shared" ca="1" si="11"/>
        <v>8</v>
      </c>
      <c r="D37">
        <f t="shared" ca="1" si="11"/>
        <v>6</v>
      </c>
      <c r="E37">
        <f t="shared" ca="1" si="11"/>
        <v>10</v>
      </c>
      <c r="F37">
        <f t="shared" ca="1" si="11"/>
        <v>10</v>
      </c>
      <c r="G37">
        <f t="shared" ca="1" si="11"/>
        <v>7</v>
      </c>
      <c r="H37">
        <f t="shared" ca="1" si="11"/>
        <v>5</v>
      </c>
      <c r="I37">
        <f t="shared" ca="1" si="11"/>
        <v>7</v>
      </c>
      <c r="J37">
        <f t="shared" ca="1" si="11"/>
        <v>8</v>
      </c>
      <c r="K37">
        <f t="shared" ca="1" si="11"/>
        <v>2</v>
      </c>
      <c r="L37">
        <f t="shared" ca="1" si="11"/>
        <v>9</v>
      </c>
      <c r="M37">
        <f t="shared" ca="1" si="11"/>
        <v>1</v>
      </c>
      <c r="N37">
        <f t="shared" ca="1" si="11"/>
        <v>2</v>
      </c>
      <c r="O37">
        <f t="shared" ca="1" si="11"/>
        <v>5</v>
      </c>
      <c r="P37">
        <f t="shared" ca="1" si="11"/>
        <v>6</v>
      </c>
      <c r="Q37">
        <f t="shared" ca="1" si="11"/>
        <v>2</v>
      </c>
      <c r="R37">
        <f t="shared" ca="1" si="11"/>
        <v>2</v>
      </c>
      <c r="S37">
        <f t="shared" ca="1" si="10"/>
        <v>10</v>
      </c>
      <c r="T37">
        <f t="shared" ca="1" si="10"/>
        <v>1</v>
      </c>
      <c r="U37">
        <f t="shared" ca="1" si="10"/>
        <v>2</v>
      </c>
      <c r="V37">
        <f t="shared" ca="1" si="10"/>
        <v>6</v>
      </c>
      <c r="W37">
        <f t="shared" ca="1" si="10"/>
        <v>4</v>
      </c>
      <c r="X37">
        <f t="shared" ca="1" si="10"/>
        <v>4</v>
      </c>
      <c r="Y37">
        <f t="shared" ca="1" si="10"/>
        <v>1</v>
      </c>
      <c r="Z37">
        <f t="shared" ca="1" si="10"/>
        <v>6</v>
      </c>
      <c r="AA37">
        <f t="shared" ca="1" si="10"/>
        <v>5</v>
      </c>
      <c r="AB37">
        <f t="shared" ca="1" si="10"/>
        <v>1</v>
      </c>
      <c r="AC37">
        <f t="shared" ca="1" si="10"/>
        <v>5</v>
      </c>
      <c r="AD37">
        <f t="shared" ca="1" si="10"/>
        <v>2</v>
      </c>
      <c r="AE37">
        <f t="shared" ca="1" si="10"/>
        <v>9</v>
      </c>
      <c r="AF37">
        <f t="shared" ca="1" si="10"/>
        <v>8</v>
      </c>
      <c r="AG37">
        <f t="shared" ca="1" si="10"/>
        <v>4</v>
      </c>
      <c r="AH37" s="25">
        <f t="shared" ca="1" si="6"/>
        <v>158</v>
      </c>
      <c r="AI37">
        <v>96</v>
      </c>
      <c r="AJ37">
        <v>120</v>
      </c>
      <c r="AK37">
        <f t="shared" si="3"/>
        <v>24</v>
      </c>
      <c r="AL37" s="15">
        <f t="shared" ca="1" si="4"/>
        <v>18960</v>
      </c>
      <c r="AM37" s="15">
        <f t="shared" ca="1" si="5"/>
        <v>3792</v>
      </c>
    </row>
    <row r="38" spans="1:39">
      <c r="A38" s="27"/>
      <c r="B38" t="s">
        <v>55</v>
      </c>
      <c r="C38">
        <f t="shared" ca="1" si="11"/>
        <v>1</v>
      </c>
      <c r="D38">
        <f t="shared" ca="1" si="11"/>
        <v>1</v>
      </c>
      <c r="E38">
        <f t="shared" ca="1" si="11"/>
        <v>4</v>
      </c>
      <c r="F38">
        <f t="shared" ca="1" si="11"/>
        <v>9</v>
      </c>
      <c r="G38">
        <f t="shared" ca="1" si="11"/>
        <v>3</v>
      </c>
      <c r="H38">
        <f t="shared" ca="1" si="11"/>
        <v>7</v>
      </c>
      <c r="I38">
        <f t="shared" ca="1" si="11"/>
        <v>8</v>
      </c>
      <c r="J38">
        <f t="shared" ca="1" si="11"/>
        <v>3</v>
      </c>
      <c r="K38">
        <f t="shared" ca="1" si="11"/>
        <v>5</v>
      </c>
      <c r="L38">
        <f t="shared" ca="1" si="11"/>
        <v>3</v>
      </c>
      <c r="M38">
        <f t="shared" ca="1" si="11"/>
        <v>8</v>
      </c>
      <c r="N38">
        <f t="shared" ca="1" si="11"/>
        <v>8</v>
      </c>
      <c r="O38">
        <f t="shared" ca="1" si="11"/>
        <v>3</v>
      </c>
      <c r="P38">
        <f t="shared" ca="1" si="11"/>
        <v>4</v>
      </c>
      <c r="Q38">
        <f t="shared" ca="1" si="11"/>
        <v>5</v>
      </c>
      <c r="R38">
        <f t="shared" ca="1" si="11"/>
        <v>9</v>
      </c>
      <c r="S38">
        <f t="shared" ca="1" si="10"/>
        <v>6</v>
      </c>
      <c r="T38">
        <f t="shared" ca="1" si="10"/>
        <v>1</v>
      </c>
      <c r="U38">
        <f t="shared" ca="1" si="10"/>
        <v>8</v>
      </c>
      <c r="V38">
        <f t="shared" ca="1" si="10"/>
        <v>1</v>
      </c>
      <c r="W38">
        <f t="shared" ca="1" si="10"/>
        <v>6</v>
      </c>
      <c r="X38">
        <f t="shared" ca="1" si="10"/>
        <v>5</v>
      </c>
      <c r="Y38">
        <f t="shared" ca="1" si="10"/>
        <v>6</v>
      </c>
      <c r="Z38">
        <f t="shared" ca="1" si="10"/>
        <v>2</v>
      </c>
      <c r="AA38">
        <f t="shared" ca="1" si="10"/>
        <v>9</v>
      </c>
      <c r="AB38">
        <f t="shared" ca="1" si="10"/>
        <v>1</v>
      </c>
      <c r="AC38">
        <f t="shared" ca="1" si="10"/>
        <v>3</v>
      </c>
      <c r="AD38">
        <f t="shared" ca="1" si="10"/>
        <v>10</v>
      </c>
      <c r="AE38">
        <f t="shared" ca="1" si="10"/>
        <v>7</v>
      </c>
      <c r="AF38">
        <f t="shared" ca="1" si="10"/>
        <v>4</v>
      </c>
      <c r="AG38">
        <f t="shared" ca="1" si="10"/>
        <v>3</v>
      </c>
      <c r="AH38" s="25">
        <f t="shared" ca="1" si="6"/>
        <v>153</v>
      </c>
      <c r="AI38">
        <v>196</v>
      </c>
      <c r="AJ38">
        <v>230</v>
      </c>
      <c r="AK38">
        <f t="shared" si="3"/>
        <v>34</v>
      </c>
      <c r="AL38" s="15">
        <f t="shared" ca="1" si="4"/>
        <v>35190</v>
      </c>
      <c r="AM38" s="15">
        <f t="shared" ca="1" si="5"/>
        <v>5202</v>
      </c>
    </row>
    <row r="39" spans="1:39">
      <c r="A39" s="27"/>
      <c r="B39" t="s">
        <v>56</v>
      </c>
      <c r="C39">
        <f t="shared" ca="1" si="11"/>
        <v>3</v>
      </c>
      <c r="D39">
        <f t="shared" ca="1" si="11"/>
        <v>3</v>
      </c>
      <c r="E39">
        <f t="shared" ca="1" si="11"/>
        <v>9</v>
      </c>
      <c r="F39">
        <f t="shared" ca="1" si="11"/>
        <v>4</v>
      </c>
      <c r="G39">
        <f t="shared" ca="1" si="11"/>
        <v>5</v>
      </c>
      <c r="H39">
        <f t="shared" ca="1" si="11"/>
        <v>6</v>
      </c>
      <c r="I39">
        <f t="shared" ca="1" si="11"/>
        <v>5</v>
      </c>
      <c r="J39">
        <f t="shared" ca="1" si="11"/>
        <v>1</v>
      </c>
      <c r="K39">
        <f t="shared" ca="1" si="11"/>
        <v>4</v>
      </c>
      <c r="L39">
        <f t="shared" ca="1" si="11"/>
        <v>7</v>
      </c>
      <c r="M39">
        <f t="shared" ca="1" si="11"/>
        <v>4</v>
      </c>
      <c r="N39">
        <f t="shared" ca="1" si="11"/>
        <v>2</v>
      </c>
      <c r="O39">
        <f t="shared" ca="1" si="11"/>
        <v>3</v>
      </c>
      <c r="P39">
        <f t="shared" ca="1" si="11"/>
        <v>4</v>
      </c>
      <c r="Q39">
        <f t="shared" ca="1" si="11"/>
        <v>5</v>
      </c>
      <c r="R39">
        <f t="shared" ca="1" si="11"/>
        <v>4</v>
      </c>
      <c r="S39">
        <f t="shared" ca="1" si="10"/>
        <v>2</v>
      </c>
      <c r="T39">
        <f t="shared" ca="1" si="10"/>
        <v>1</v>
      </c>
      <c r="U39">
        <f t="shared" ca="1" si="10"/>
        <v>5</v>
      </c>
      <c r="V39">
        <f t="shared" ca="1" si="10"/>
        <v>4</v>
      </c>
      <c r="W39">
        <f t="shared" ca="1" si="10"/>
        <v>7</v>
      </c>
      <c r="X39">
        <f t="shared" ca="1" si="10"/>
        <v>9</v>
      </c>
      <c r="Y39">
        <f t="shared" ca="1" si="10"/>
        <v>10</v>
      </c>
      <c r="Z39">
        <f t="shared" ca="1" si="10"/>
        <v>8</v>
      </c>
      <c r="AA39">
        <f t="shared" ca="1" si="10"/>
        <v>6</v>
      </c>
      <c r="AB39">
        <f t="shared" ca="1" si="10"/>
        <v>3</v>
      </c>
      <c r="AC39">
        <f t="shared" ca="1" si="10"/>
        <v>7</v>
      </c>
      <c r="AD39">
        <f t="shared" ca="1" si="10"/>
        <v>9</v>
      </c>
      <c r="AE39">
        <f t="shared" ca="1" si="10"/>
        <v>3</v>
      </c>
      <c r="AF39">
        <f t="shared" ca="1" si="10"/>
        <v>2</v>
      </c>
      <c r="AG39">
        <f t="shared" ca="1" si="10"/>
        <v>1</v>
      </c>
      <c r="AH39" s="25">
        <f t="shared" ca="1" si="6"/>
        <v>146</v>
      </c>
      <c r="AI39">
        <v>98</v>
      </c>
      <c r="AJ39">
        <v>115</v>
      </c>
      <c r="AK39">
        <f t="shared" si="3"/>
        <v>17</v>
      </c>
      <c r="AL39" s="15">
        <f t="shared" ca="1" si="4"/>
        <v>16790</v>
      </c>
      <c r="AM39" s="15">
        <f t="shared" ca="1" si="5"/>
        <v>2482</v>
      </c>
    </row>
    <row r="40" spans="1:39">
      <c r="A40" s="27"/>
      <c r="B40" t="s">
        <v>57</v>
      </c>
      <c r="C40">
        <f t="shared" ca="1" si="11"/>
        <v>3</v>
      </c>
      <c r="D40">
        <f t="shared" ca="1" si="11"/>
        <v>7</v>
      </c>
      <c r="E40">
        <f t="shared" ca="1" si="11"/>
        <v>5</v>
      </c>
      <c r="F40">
        <f t="shared" ca="1" si="11"/>
        <v>7</v>
      </c>
      <c r="G40">
        <f t="shared" ca="1" si="11"/>
        <v>4</v>
      </c>
      <c r="H40">
        <f t="shared" ca="1" si="11"/>
        <v>4</v>
      </c>
      <c r="I40">
        <f t="shared" ca="1" si="11"/>
        <v>4</v>
      </c>
      <c r="J40">
        <f t="shared" ca="1" si="11"/>
        <v>4</v>
      </c>
      <c r="K40">
        <f t="shared" ca="1" si="11"/>
        <v>7</v>
      </c>
      <c r="L40">
        <f t="shared" ca="1" si="11"/>
        <v>9</v>
      </c>
      <c r="M40">
        <f t="shared" ca="1" si="11"/>
        <v>1</v>
      </c>
      <c r="N40">
        <f t="shared" ca="1" si="11"/>
        <v>5</v>
      </c>
      <c r="O40">
        <f t="shared" ca="1" si="11"/>
        <v>7</v>
      </c>
      <c r="P40">
        <f t="shared" ca="1" si="11"/>
        <v>5</v>
      </c>
      <c r="Q40">
        <f t="shared" ca="1" si="11"/>
        <v>2</v>
      </c>
      <c r="R40">
        <f t="shared" ca="1" si="11"/>
        <v>9</v>
      </c>
      <c r="S40">
        <f t="shared" ca="1" si="10"/>
        <v>7</v>
      </c>
      <c r="T40">
        <f t="shared" ca="1" si="10"/>
        <v>10</v>
      </c>
      <c r="U40">
        <f t="shared" ca="1" si="10"/>
        <v>8</v>
      </c>
      <c r="V40">
        <f t="shared" ca="1" si="10"/>
        <v>1</v>
      </c>
      <c r="W40">
        <f t="shared" ca="1" si="10"/>
        <v>9</v>
      </c>
      <c r="X40">
        <f t="shared" ca="1" si="10"/>
        <v>6</v>
      </c>
      <c r="Y40">
        <f t="shared" ca="1" si="10"/>
        <v>2</v>
      </c>
      <c r="Z40">
        <f t="shared" ca="1" si="10"/>
        <v>10</v>
      </c>
      <c r="AA40">
        <f t="shared" ca="1" si="10"/>
        <v>2</v>
      </c>
      <c r="AB40">
        <f t="shared" ca="1" si="10"/>
        <v>8</v>
      </c>
      <c r="AC40">
        <f t="shared" ca="1" si="10"/>
        <v>1</v>
      </c>
      <c r="AD40">
        <f t="shared" ca="1" si="10"/>
        <v>7</v>
      </c>
      <c r="AE40">
        <f t="shared" ca="1" si="10"/>
        <v>5</v>
      </c>
      <c r="AF40">
        <f t="shared" ca="1" si="10"/>
        <v>7</v>
      </c>
      <c r="AG40">
        <f t="shared" ca="1" si="10"/>
        <v>10</v>
      </c>
      <c r="AH40" s="25">
        <f t="shared" ca="1" si="6"/>
        <v>176</v>
      </c>
      <c r="AI40">
        <v>75</v>
      </c>
      <c r="AJ40">
        <v>99</v>
      </c>
      <c r="AK40">
        <f t="shared" si="3"/>
        <v>24</v>
      </c>
      <c r="AL40" s="15">
        <f t="shared" ca="1" si="4"/>
        <v>17424</v>
      </c>
      <c r="AM40" s="15">
        <f t="shared" ca="1" si="5"/>
        <v>4224</v>
      </c>
    </row>
    <row r="41" spans="1:39">
      <c r="A41" s="27"/>
      <c r="B41" t="s">
        <v>58</v>
      </c>
      <c r="C41">
        <f t="shared" ca="1" si="11"/>
        <v>8</v>
      </c>
      <c r="D41">
        <f t="shared" ca="1" si="11"/>
        <v>6</v>
      </c>
      <c r="E41">
        <f t="shared" ca="1" si="11"/>
        <v>6</v>
      </c>
      <c r="F41">
        <f t="shared" ca="1" si="11"/>
        <v>5</v>
      </c>
      <c r="G41">
        <f t="shared" ca="1" si="11"/>
        <v>3</v>
      </c>
      <c r="H41">
        <f t="shared" ca="1" si="11"/>
        <v>4</v>
      </c>
      <c r="I41">
        <f t="shared" ca="1" si="11"/>
        <v>10</v>
      </c>
      <c r="J41">
        <f t="shared" ca="1" si="11"/>
        <v>9</v>
      </c>
      <c r="K41">
        <f t="shared" ca="1" si="11"/>
        <v>5</v>
      </c>
      <c r="L41">
        <f t="shared" ca="1" si="11"/>
        <v>7</v>
      </c>
      <c r="M41">
        <f t="shared" ca="1" si="11"/>
        <v>8</v>
      </c>
      <c r="N41">
        <f t="shared" ca="1" si="11"/>
        <v>3</v>
      </c>
      <c r="O41">
        <f t="shared" ca="1" si="11"/>
        <v>5</v>
      </c>
      <c r="P41">
        <f t="shared" ca="1" si="11"/>
        <v>2</v>
      </c>
      <c r="Q41">
        <f t="shared" ca="1" si="11"/>
        <v>7</v>
      </c>
      <c r="R41">
        <f t="shared" ca="1" si="11"/>
        <v>3</v>
      </c>
      <c r="S41">
        <f t="shared" ca="1" si="10"/>
        <v>6</v>
      </c>
      <c r="T41">
        <f t="shared" ca="1" si="10"/>
        <v>5</v>
      </c>
      <c r="U41">
        <f t="shared" ca="1" si="10"/>
        <v>4</v>
      </c>
      <c r="V41">
        <f t="shared" ca="1" si="10"/>
        <v>8</v>
      </c>
      <c r="W41">
        <f t="shared" ca="1" si="10"/>
        <v>6</v>
      </c>
      <c r="X41">
        <f t="shared" ca="1" si="10"/>
        <v>5</v>
      </c>
      <c r="Y41">
        <f t="shared" ca="1" si="10"/>
        <v>8</v>
      </c>
      <c r="Z41">
        <f t="shared" ca="1" si="10"/>
        <v>2</v>
      </c>
      <c r="AA41">
        <f t="shared" ca="1" si="10"/>
        <v>3</v>
      </c>
      <c r="AB41">
        <f t="shared" ca="1" si="10"/>
        <v>6</v>
      </c>
      <c r="AC41">
        <f t="shared" ca="1" si="10"/>
        <v>2</v>
      </c>
      <c r="AD41">
        <f t="shared" ca="1" si="10"/>
        <v>8</v>
      </c>
      <c r="AE41">
        <f t="shared" ca="1" si="10"/>
        <v>1</v>
      </c>
      <c r="AF41">
        <f t="shared" ca="1" si="10"/>
        <v>3</v>
      </c>
      <c r="AG41">
        <f t="shared" ca="1" si="10"/>
        <v>7</v>
      </c>
      <c r="AH41" s="25">
        <f t="shared" ca="1" si="6"/>
        <v>165</v>
      </c>
      <c r="AI41">
        <v>105</v>
      </c>
      <c r="AJ41">
        <v>140</v>
      </c>
      <c r="AK41">
        <f t="shared" si="3"/>
        <v>35</v>
      </c>
      <c r="AL41" s="15">
        <f t="shared" ca="1" si="4"/>
        <v>23100</v>
      </c>
      <c r="AM41" s="15">
        <f t="shared" ca="1" si="5"/>
        <v>5775</v>
      </c>
    </row>
    <row r="42" spans="1:39">
      <c r="A42" s="27"/>
      <c r="B42" t="s">
        <v>59</v>
      </c>
      <c r="C42">
        <f t="shared" ca="1" si="11"/>
        <v>7</v>
      </c>
      <c r="D42">
        <f t="shared" ca="1" si="11"/>
        <v>6</v>
      </c>
      <c r="E42">
        <f t="shared" ca="1" si="11"/>
        <v>6</v>
      </c>
      <c r="F42">
        <f t="shared" ca="1" si="11"/>
        <v>9</v>
      </c>
      <c r="G42">
        <f t="shared" ca="1" si="11"/>
        <v>5</v>
      </c>
      <c r="H42">
        <f t="shared" ca="1" si="11"/>
        <v>2</v>
      </c>
      <c r="I42">
        <f t="shared" ca="1" si="11"/>
        <v>1</v>
      </c>
      <c r="J42">
        <f t="shared" ca="1" si="11"/>
        <v>1</v>
      </c>
      <c r="K42">
        <f t="shared" ca="1" si="11"/>
        <v>8</v>
      </c>
      <c r="L42">
        <f t="shared" ca="1" si="11"/>
        <v>8</v>
      </c>
      <c r="M42">
        <f t="shared" ca="1" si="11"/>
        <v>2</v>
      </c>
      <c r="N42">
        <f t="shared" ca="1" si="11"/>
        <v>1</v>
      </c>
      <c r="O42">
        <f t="shared" ca="1" si="11"/>
        <v>5</v>
      </c>
      <c r="P42">
        <f t="shared" ca="1" si="11"/>
        <v>7</v>
      </c>
      <c r="Q42">
        <f t="shared" ca="1" si="11"/>
        <v>8</v>
      </c>
      <c r="R42">
        <f t="shared" ca="1" si="11"/>
        <v>8</v>
      </c>
      <c r="S42">
        <f t="shared" ca="1" si="10"/>
        <v>9</v>
      </c>
      <c r="T42">
        <f t="shared" ca="1" si="10"/>
        <v>7</v>
      </c>
      <c r="U42">
        <f t="shared" ca="1" si="10"/>
        <v>5</v>
      </c>
      <c r="V42">
        <f t="shared" ca="1" si="10"/>
        <v>7</v>
      </c>
      <c r="W42">
        <f t="shared" ca="1" si="10"/>
        <v>7</v>
      </c>
      <c r="X42">
        <f t="shared" ca="1" si="10"/>
        <v>4</v>
      </c>
      <c r="Y42">
        <f t="shared" ca="1" si="10"/>
        <v>7</v>
      </c>
      <c r="Z42">
        <f t="shared" ca="1" si="10"/>
        <v>10</v>
      </c>
      <c r="AA42">
        <f t="shared" ca="1" si="10"/>
        <v>7</v>
      </c>
      <c r="AB42">
        <f t="shared" ca="1" si="10"/>
        <v>4</v>
      </c>
      <c r="AC42">
        <f t="shared" ca="1" si="10"/>
        <v>4</v>
      </c>
      <c r="AD42">
        <f t="shared" ca="1" si="10"/>
        <v>2</v>
      </c>
      <c r="AE42">
        <f t="shared" ca="1" si="10"/>
        <v>4</v>
      </c>
      <c r="AF42">
        <f t="shared" ca="1" si="10"/>
        <v>8</v>
      </c>
      <c r="AG42">
        <f t="shared" ca="1" si="10"/>
        <v>1</v>
      </c>
      <c r="AH42" s="25">
        <f t="shared" ca="1" si="6"/>
        <v>170</v>
      </c>
      <c r="AI42">
        <v>37</v>
      </c>
      <c r="AJ42">
        <v>50</v>
      </c>
      <c r="AK42">
        <f t="shared" si="3"/>
        <v>13</v>
      </c>
      <c r="AL42" s="15">
        <f t="shared" ca="1" si="4"/>
        <v>8500</v>
      </c>
      <c r="AM42" s="15">
        <f t="shared" ca="1" si="5"/>
        <v>2210</v>
      </c>
    </row>
    <row r="43" spans="1:39">
      <c r="A43" s="27"/>
      <c r="B43" t="s">
        <v>60</v>
      </c>
      <c r="C43">
        <f t="shared" ca="1" si="11"/>
        <v>2</v>
      </c>
      <c r="D43">
        <f t="shared" ca="1" si="11"/>
        <v>6</v>
      </c>
      <c r="E43">
        <f t="shared" ca="1" si="11"/>
        <v>1</v>
      </c>
      <c r="F43">
        <f t="shared" ca="1" si="11"/>
        <v>5</v>
      </c>
      <c r="G43">
        <f t="shared" ca="1" si="11"/>
        <v>5</v>
      </c>
      <c r="H43">
        <f t="shared" ca="1" si="11"/>
        <v>6</v>
      </c>
      <c r="I43">
        <f t="shared" ca="1" si="11"/>
        <v>5</v>
      </c>
      <c r="J43">
        <f t="shared" ca="1" si="11"/>
        <v>8</v>
      </c>
      <c r="K43">
        <f t="shared" ca="1" si="11"/>
        <v>1</v>
      </c>
      <c r="L43">
        <f t="shared" ca="1" si="11"/>
        <v>5</v>
      </c>
      <c r="M43">
        <f t="shared" ca="1" si="11"/>
        <v>10</v>
      </c>
      <c r="N43">
        <f t="shared" ca="1" si="11"/>
        <v>8</v>
      </c>
      <c r="O43">
        <f t="shared" ca="1" si="11"/>
        <v>7</v>
      </c>
      <c r="P43">
        <f t="shared" ca="1" si="11"/>
        <v>3</v>
      </c>
      <c r="Q43">
        <f t="shared" ca="1" si="11"/>
        <v>3</v>
      </c>
      <c r="R43">
        <f t="shared" ca="1" si="11"/>
        <v>6</v>
      </c>
      <c r="S43">
        <f t="shared" ca="1" si="10"/>
        <v>9</v>
      </c>
      <c r="T43">
        <f t="shared" ca="1" si="10"/>
        <v>4</v>
      </c>
      <c r="U43">
        <f t="shared" ca="1" si="10"/>
        <v>6</v>
      </c>
      <c r="V43">
        <f t="shared" ca="1" si="10"/>
        <v>4</v>
      </c>
      <c r="W43">
        <f t="shared" ca="1" si="10"/>
        <v>10</v>
      </c>
      <c r="X43">
        <f t="shared" ca="1" si="10"/>
        <v>6</v>
      </c>
      <c r="Y43">
        <f t="shared" ca="1" si="10"/>
        <v>4</v>
      </c>
      <c r="Z43">
        <f t="shared" ca="1" si="10"/>
        <v>8</v>
      </c>
      <c r="AA43">
        <f t="shared" ca="1" si="10"/>
        <v>7</v>
      </c>
      <c r="AB43">
        <f t="shared" ca="1" si="10"/>
        <v>7</v>
      </c>
      <c r="AC43">
        <f t="shared" ca="1" si="10"/>
        <v>10</v>
      </c>
      <c r="AD43">
        <f t="shared" ca="1" si="10"/>
        <v>8</v>
      </c>
      <c r="AE43">
        <f t="shared" ca="1" si="10"/>
        <v>10</v>
      </c>
      <c r="AF43">
        <f t="shared" ca="1" si="10"/>
        <v>6</v>
      </c>
      <c r="AG43">
        <f t="shared" ca="1" si="10"/>
        <v>5</v>
      </c>
      <c r="AH43" s="25">
        <f t="shared" ca="1" si="6"/>
        <v>185</v>
      </c>
      <c r="AI43">
        <v>221</v>
      </c>
      <c r="AJ43">
        <v>250</v>
      </c>
      <c r="AK43">
        <f t="shared" si="3"/>
        <v>29</v>
      </c>
      <c r="AL43" s="15">
        <f t="shared" ca="1" si="4"/>
        <v>46250</v>
      </c>
      <c r="AM43" s="15">
        <f t="shared" ca="1" si="5"/>
        <v>5365</v>
      </c>
    </row>
    <row r="44" spans="1:39">
      <c r="A44" s="27"/>
      <c r="B44" t="s">
        <v>61</v>
      </c>
      <c r="C44">
        <f t="shared" ca="1" si="11"/>
        <v>2</v>
      </c>
      <c r="D44">
        <f t="shared" ca="1" si="11"/>
        <v>4</v>
      </c>
      <c r="E44">
        <f t="shared" ca="1" si="11"/>
        <v>3</v>
      </c>
      <c r="F44">
        <f t="shared" ca="1" si="11"/>
        <v>10</v>
      </c>
      <c r="G44">
        <f t="shared" ca="1" si="11"/>
        <v>8</v>
      </c>
      <c r="H44">
        <f t="shared" ca="1" si="11"/>
        <v>2</v>
      </c>
      <c r="I44">
        <f t="shared" ca="1" si="11"/>
        <v>3</v>
      </c>
      <c r="J44">
        <f t="shared" ca="1" si="11"/>
        <v>9</v>
      </c>
      <c r="K44">
        <f t="shared" ca="1" si="11"/>
        <v>8</v>
      </c>
      <c r="L44">
        <f t="shared" ca="1" si="11"/>
        <v>9</v>
      </c>
      <c r="M44">
        <f t="shared" ca="1" si="11"/>
        <v>8</v>
      </c>
      <c r="N44">
        <f t="shared" ca="1" si="11"/>
        <v>10</v>
      </c>
      <c r="O44">
        <f t="shared" ca="1" si="11"/>
        <v>4</v>
      </c>
      <c r="P44">
        <f t="shared" ca="1" si="11"/>
        <v>7</v>
      </c>
      <c r="Q44">
        <f t="shared" ca="1" si="11"/>
        <v>5</v>
      </c>
      <c r="R44">
        <f t="shared" ca="1" si="11"/>
        <v>8</v>
      </c>
      <c r="S44">
        <f t="shared" ca="1" si="10"/>
        <v>10</v>
      </c>
      <c r="T44">
        <f t="shared" ca="1" si="10"/>
        <v>8</v>
      </c>
      <c r="U44">
        <f t="shared" ca="1" si="10"/>
        <v>5</v>
      </c>
      <c r="V44">
        <f t="shared" ca="1" si="10"/>
        <v>10</v>
      </c>
      <c r="W44">
        <f t="shared" ca="1" si="10"/>
        <v>6</v>
      </c>
      <c r="X44">
        <f t="shared" ca="1" si="10"/>
        <v>9</v>
      </c>
      <c r="Y44">
        <f t="shared" ca="1" si="10"/>
        <v>3</v>
      </c>
      <c r="Z44">
        <f t="shared" ca="1" si="10"/>
        <v>4</v>
      </c>
      <c r="AA44">
        <f t="shared" ca="1" si="10"/>
        <v>10</v>
      </c>
      <c r="AB44">
        <f t="shared" ca="1" si="10"/>
        <v>4</v>
      </c>
      <c r="AC44">
        <f t="shared" ca="1" si="10"/>
        <v>6</v>
      </c>
      <c r="AD44">
        <f t="shared" ca="1" si="10"/>
        <v>9</v>
      </c>
      <c r="AE44">
        <f t="shared" ca="1" si="10"/>
        <v>1</v>
      </c>
      <c r="AF44">
        <f t="shared" ca="1" si="10"/>
        <v>1</v>
      </c>
      <c r="AG44">
        <f t="shared" ca="1" si="10"/>
        <v>2</v>
      </c>
      <c r="AH44" s="25">
        <f t="shared" ca="1" si="6"/>
        <v>188</v>
      </c>
      <c r="AI44">
        <v>140</v>
      </c>
      <c r="AJ44">
        <v>150</v>
      </c>
      <c r="AK44">
        <f t="shared" si="3"/>
        <v>10</v>
      </c>
      <c r="AL44" s="15">
        <f t="shared" ca="1" si="4"/>
        <v>28200</v>
      </c>
      <c r="AM44" s="15">
        <f t="shared" ca="1" si="5"/>
        <v>1880</v>
      </c>
    </row>
    <row r="45" spans="1:39">
      <c r="A45" s="27"/>
      <c r="B45" t="s">
        <v>62</v>
      </c>
      <c r="C45">
        <f t="shared" ca="1" si="11"/>
        <v>3</v>
      </c>
      <c r="D45">
        <f t="shared" ca="1" si="11"/>
        <v>2</v>
      </c>
      <c r="E45">
        <f t="shared" ca="1" si="11"/>
        <v>4</v>
      </c>
      <c r="F45">
        <f t="shared" ca="1" si="11"/>
        <v>1</v>
      </c>
      <c r="G45">
        <f t="shared" ca="1" si="11"/>
        <v>4</v>
      </c>
      <c r="H45">
        <f t="shared" ca="1" si="11"/>
        <v>3</v>
      </c>
      <c r="I45">
        <f t="shared" ca="1" si="11"/>
        <v>10</v>
      </c>
      <c r="J45">
        <f t="shared" ca="1" si="11"/>
        <v>2</v>
      </c>
      <c r="K45">
        <f t="shared" ca="1" si="11"/>
        <v>7</v>
      </c>
      <c r="L45">
        <f t="shared" ca="1" si="11"/>
        <v>10</v>
      </c>
      <c r="M45">
        <f t="shared" ca="1" si="11"/>
        <v>7</v>
      </c>
      <c r="N45">
        <f t="shared" ca="1" si="11"/>
        <v>8</v>
      </c>
      <c r="O45">
        <f t="shared" ca="1" si="11"/>
        <v>4</v>
      </c>
      <c r="P45">
        <f t="shared" ca="1" si="11"/>
        <v>4</v>
      </c>
      <c r="Q45">
        <f t="shared" ca="1" si="11"/>
        <v>2</v>
      </c>
      <c r="R45">
        <f t="shared" ca="1" si="11"/>
        <v>6</v>
      </c>
      <c r="S45">
        <f t="shared" ca="1" si="10"/>
        <v>7</v>
      </c>
      <c r="T45">
        <f t="shared" ca="1" si="10"/>
        <v>2</v>
      </c>
      <c r="U45">
        <f t="shared" ca="1" si="10"/>
        <v>7</v>
      </c>
      <c r="V45">
        <f t="shared" ca="1" si="10"/>
        <v>1</v>
      </c>
      <c r="W45">
        <f t="shared" ca="1" si="10"/>
        <v>1</v>
      </c>
      <c r="X45">
        <f t="shared" ca="1" si="10"/>
        <v>2</v>
      </c>
      <c r="Y45">
        <f t="shared" ca="1" si="10"/>
        <v>7</v>
      </c>
      <c r="Z45">
        <f t="shared" ca="1" si="10"/>
        <v>4</v>
      </c>
      <c r="AA45">
        <f t="shared" ca="1" si="10"/>
        <v>3</v>
      </c>
      <c r="AB45">
        <f t="shared" ca="1" si="10"/>
        <v>10</v>
      </c>
      <c r="AC45">
        <f t="shared" ca="1" si="10"/>
        <v>9</v>
      </c>
      <c r="AD45">
        <f t="shared" ca="1" si="10"/>
        <v>10</v>
      </c>
      <c r="AE45">
        <f t="shared" ca="1" si="10"/>
        <v>2</v>
      </c>
      <c r="AF45">
        <f t="shared" ca="1" si="10"/>
        <v>6</v>
      </c>
      <c r="AG45">
        <f t="shared" ca="1" si="10"/>
        <v>9</v>
      </c>
      <c r="AH45" s="25">
        <f t="shared" ca="1" si="6"/>
        <v>157</v>
      </c>
      <c r="AI45">
        <v>154</v>
      </c>
      <c r="AJ45">
        <v>170</v>
      </c>
      <c r="AK45">
        <f t="shared" si="3"/>
        <v>16</v>
      </c>
      <c r="AL45" s="15">
        <f t="shared" ca="1" si="4"/>
        <v>26690</v>
      </c>
      <c r="AM45" s="15">
        <f t="shared" ca="1" si="5"/>
        <v>2512</v>
      </c>
    </row>
    <row r="46" spans="1:39">
      <c r="A46" s="27"/>
      <c r="B46" t="s">
        <v>63</v>
      </c>
      <c r="C46">
        <f t="shared" ca="1" si="11"/>
        <v>5</v>
      </c>
      <c r="D46">
        <f t="shared" ca="1" si="11"/>
        <v>10</v>
      </c>
      <c r="E46">
        <f t="shared" ca="1" si="11"/>
        <v>10</v>
      </c>
      <c r="F46">
        <f t="shared" ca="1" si="11"/>
        <v>10</v>
      </c>
      <c r="G46">
        <f t="shared" ca="1" si="11"/>
        <v>3</v>
      </c>
      <c r="H46">
        <f t="shared" ca="1" si="11"/>
        <v>6</v>
      </c>
      <c r="I46">
        <f t="shared" ca="1" si="11"/>
        <v>3</v>
      </c>
      <c r="J46">
        <f t="shared" ca="1" si="11"/>
        <v>4</v>
      </c>
      <c r="K46">
        <f t="shared" ca="1" si="11"/>
        <v>6</v>
      </c>
      <c r="L46">
        <f t="shared" ca="1" si="11"/>
        <v>4</v>
      </c>
      <c r="M46">
        <f t="shared" ca="1" si="11"/>
        <v>3</v>
      </c>
      <c r="N46">
        <f t="shared" ca="1" si="11"/>
        <v>1</v>
      </c>
      <c r="O46">
        <f t="shared" ca="1" si="11"/>
        <v>5</v>
      </c>
      <c r="P46">
        <f t="shared" ca="1" si="11"/>
        <v>3</v>
      </c>
      <c r="Q46">
        <f t="shared" ca="1" si="11"/>
        <v>4</v>
      </c>
      <c r="R46">
        <f t="shared" ca="1" si="11"/>
        <v>6</v>
      </c>
      <c r="S46">
        <f t="shared" ca="1" si="10"/>
        <v>8</v>
      </c>
      <c r="T46">
        <f t="shared" ca="1" si="10"/>
        <v>3</v>
      </c>
      <c r="U46">
        <f t="shared" ca="1" si="10"/>
        <v>1</v>
      </c>
      <c r="V46">
        <f t="shared" ca="1" si="10"/>
        <v>10</v>
      </c>
      <c r="W46">
        <f t="shared" ca="1" si="10"/>
        <v>6</v>
      </c>
      <c r="X46">
        <f t="shared" ca="1" si="10"/>
        <v>6</v>
      </c>
      <c r="Y46">
        <f t="shared" ca="1" si="10"/>
        <v>5</v>
      </c>
      <c r="Z46">
        <f t="shared" ca="1" si="10"/>
        <v>3</v>
      </c>
      <c r="AA46">
        <f t="shared" ca="1" si="10"/>
        <v>10</v>
      </c>
      <c r="AB46">
        <f t="shared" ca="1" si="10"/>
        <v>10</v>
      </c>
      <c r="AC46">
        <f t="shared" ca="1" si="10"/>
        <v>3</v>
      </c>
      <c r="AD46">
        <f t="shared" ca="1" si="10"/>
        <v>9</v>
      </c>
      <c r="AE46">
        <f t="shared" ca="1" si="10"/>
        <v>3</v>
      </c>
      <c r="AF46">
        <f t="shared" ca="1" si="10"/>
        <v>10</v>
      </c>
      <c r="AG46">
        <f t="shared" ca="1" si="10"/>
        <v>2</v>
      </c>
      <c r="AH46" s="25">
        <f t="shared" ca="1" si="6"/>
        <v>172</v>
      </c>
      <c r="AI46">
        <v>322</v>
      </c>
      <c r="AJ46">
        <v>345</v>
      </c>
      <c r="AK46">
        <f t="shared" si="3"/>
        <v>23</v>
      </c>
      <c r="AL46" s="15">
        <f t="shared" ca="1" si="4"/>
        <v>59340</v>
      </c>
      <c r="AM46" s="15">
        <f t="shared" ca="1" si="5"/>
        <v>3956</v>
      </c>
    </row>
    <row r="47" spans="1:39">
      <c r="A47" s="27"/>
      <c r="B47" t="s">
        <v>64</v>
      </c>
      <c r="C47">
        <f t="shared" ca="1" si="11"/>
        <v>9</v>
      </c>
      <c r="D47">
        <f t="shared" ca="1" si="11"/>
        <v>10</v>
      </c>
      <c r="E47">
        <f t="shared" ca="1" si="11"/>
        <v>3</v>
      </c>
      <c r="F47">
        <f t="shared" ca="1" si="11"/>
        <v>1</v>
      </c>
      <c r="G47">
        <f t="shared" ca="1" si="11"/>
        <v>10</v>
      </c>
      <c r="H47">
        <f t="shared" ca="1" si="11"/>
        <v>2</v>
      </c>
      <c r="I47">
        <f t="shared" ca="1" si="11"/>
        <v>1</v>
      </c>
      <c r="J47">
        <f t="shared" ca="1" si="11"/>
        <v>1</v>
      </c>
      <c r="K47">
        <f t="shared" ca="1" si="11"/>
        <v>8</v>
      </c>
      <c r="L47">
        <f t="shared" ca="1" si="11"/>
        <v>2</v>
      </c>
      <c r="M47">
        <f t="shared" ca="1" si="11"/>
        <v>2</v>
      </c>
      <c r="N47">
        <f t="shared" ca="1" si="11"/>
        <v>6</v>
      </c>
      <c r="O47">
        <f t="shared" ca="1" si="11"/>
        <v>6</v>
      </c>
      <c r="P47">
        <f t="shared" ca="1" si="11"/>
        <v>1</v>
      </c>
      <c r="Q47">
        <f t="shared" ca="1" si="11"/>
        <v>3</v>
      </c>
      <c r="R47">
        <f t="shared" ca="1" si="11"/>
        <v>2</v>
      </c>
      <c r="S47">
        <f t="shared" ca="1" si="10"/>
        <v>4</v>
      </c>
      <c r="T47">
        <f t="shared" ca="1" si="10"/>
        <v>2</v>
      </c>
      <c r="U47">
        <f t="shared" ca="1" si="10"/>
        <v>4</v>
      </c>
      <c r="V47">
        <f t="shared" ca="1" si="10"/>
        <v>1</v>
      </c>
      <c r="W47">
        <f t="shared" ca="1" si="10"/>
        <v>9</v>
      </c>
      <c r="X47">
        <f t="shared" ca="1" si="10"/>
        <v>6</v>
      </c>
      <c r="Y47">
        <f t="shared" ca="1" si="10"/>
        <v>4</v>
      </c>
      <c r="Z47">
        <f t="shared" ca="1" si="10"/>
        <v>4</v>
      </c>
      <c r="AA47">
        <f t="shared" ca="1" si="10"/>
        <v>2</v>
      </c>
      <c r="AB47">
        <f t="shared" ca="1" si="10"/>
        <v>3</v>
      </c>
      <c r="AC47">
        <f t="shared" ca="1" si="10"/>
        <v>7</v>
      </c>
      <c r="AD47">
        <f t="shared" ca="1" si="10"/>
        <v>4</v>
      </c>
      <c r="AE47">
        <f t="shared" ca="1" si="10"/>
        <v>1</v>
      </c>
      <c r="AF47">
        <f t="shared" ca="1" si="10"/>
        <v>1</v>
      </c>
      <c r="AG47">
        <f t="shared" ca="1" si="10"/>
        <v>10</v>
      </c>
      <c r="AH47" s="25">
        <f t="shared" ca="1" si="6"/>
        <v>129</v>
      </c>
      <c r="AI47">
        <v>380</v>
      </c>
      <c r="AJ47">
        <v>456</v>
      </c>
      <c r="AK47">
        <f t="shared" si="3"/>
        <v>76</v>
      </c>
      <c r="AL47" s="15">
        <f t="shared" ca="1" si="4"/>
        <v>58824</v>
      </c>
      <c r="AM47" s="15">
        <f t="shared" ca="1" si="5"/>
        <v>9804</v>
      </c>
    </row>
    <row r="48" spans="1:39">
      <c r="A48" s="27"/>
      <c r="B48" t="s">
        <v>65</v>
      </c>
      <c r="C48">
        <f t="shared" ca="1" si="11"/>
        <v>7</v>
      </c>
      <c r="D48">
        <f t="shared" ca="1" si="11"/>
        <v>1</v>
      </c>
      <c r="E48">
        <f t="shared" ca="1" si="11"/>
        <v>10</v>
      </c>
      <c r="F48">
        <f t="shared" ca="1" si="11"/>
        <v>8</v>
      </c>
      <c r="G48">
        <f t="shared" ca="1" si="11"/>
        <v>6</v>
      </c>
      <c r="H48">
        <f t="shared" ca="1" si="11"/>
        <v>4</v>
      </c>
      <c r="I48">
        <f t="shared" ca="1" si="11"/>
        <v>10</v>
      </c>
      <c r="J48">
        <f t="shared" ca="1" si="11"/>
        <v>9</v>
      </c>
      <c r="K48">
        <f t="shared" ca="1" si="11"/>
        <v>10</v>
      </c>
      <c r="L48">
        <f t="shared" ca="1" si="11"/>
        <v>9</v>
      </c>
      <c r="M48">
        <f t="shared" ca="1" si="11"/>
        <v>1</v>
      </c>
      <c r="N48">
        <f t="shared" ca="1" si="11"/>
        <v>1</v>
      </c>
      <c r="O48">
        <f t="shared" ca="1" si="11"/>
        <v>8</v>
      </c>
      <c r="P48">
        <f t="shared" ca="1" si="11"/>
        <v>8</v>
      </c>
      <c r="Q48">
        <f t="shared" ca="1" si="11"/>
        <v>5</v>
      </c>
      <c r="R48">
        <f t="shared" ca="1" si="11"/>
        <v>1</v>
      </c>
      <c r="S48">
        <f t="shared" ca="1" si="10"/>
        <v>3</v>
      </c>
      <c r="T48">
        <f t="shared" ca="1" si="10"/>
        <v>2</v>
      </c>
      <c r="U48">
        <f t="shared" ca="1" si="10"/>
        <v>10</v>
      </c>
      <c r="V48">
        <f t="shared" ca="1" si="10"/>
        <v>10</v>
      </c>
      <c r="W48">
        <f t="shared" ca="1" si="10"/>
        <v>9</v>
      </c>
      <c r="X48">
        <f t="shared" ca="1" si="10"/>
        <v>5</v>
      </c>
      <c r="Y48">
        <f t="shared" ca="1" si="10"/>
        <v>5</v>
      </c>
      <c r="Z48">
        <f t="shared" ca="1" si="10"/>
        <v>2</v>
      </c>
      <c r="AA48">
        <f t="shared" ca="1" si="10"/>
        <v>10</v>
      </c>
      <c r="AB48">
        <f t="shared" ca="1" si="10"/>
        <v>9</v>
      </c>
      <c r="AC48">
        <f t="shared" ca="1" si="10"/>
        <v>3</v>
      </c>
      <c r="AD48">
        <f t="shared" ca="1" si="10"/>
        <v>6</v>
      </c>
      <c r="AE48">
        <f t="shared" ca="1" si="10"/>
        <v>1</v>
      </c>
      <c r="AF48">
        <f t="shared" ca="1" si="10"/>
        <v>4</v>
      </c>
      <c r="AG48">
        <f t="shared" ca="1" si="10"/>
        <v>8</v>
      </c>
      <c r="AH48" s="25">
        <f t="shared" ca="1" si="6"/>
        <v>185</v>
      </c>
      <c r="AI48">
        <v>133</v>
      </c>
      <c r="AJ48">
        <v>158</v>
      </c>
      <c r="AK48">
        <f t="shared" si="3"/>
        <v>25</v>
      </c>
      <c r="AL48" s="15">
        <f t="shared" ca="1" si="4"/>
        <v>29230</v>
      </c>
      <c r="AM48" s="15">
        <f t="shared" ca="1" si="5"/>
        <v>4625</v>
      </c>
    </row>
    <row r="49" spans="1:39">
      <c r="A49" s="27"/>
      <c r="B49" t="s">
        <v>66</v>
      </c>
      <c r="C49">
        <f t="shared" ca="1" si="11"/>
        <v>10</v>
      </c>
      <c r="D49">
        <f t="shared" ca="1" si="11"/>
        <v>5</v>
      </c>
      <c r="E49">
        <f t="shared" ca="1" si="11"/>
        <v>4</v>
      </c>
      <c r="F49">
        <f t="shared" ca="1" si="11"/>
        <v>1</v>
      </c>
      <c r="G49">
        <f t="shared" ca="1" si="11"/>
        <v>4</v>
      </c>
      <c r="H49">
        <f t="shared" ca="1" si="11"/>
        <v>8</v>
      </c>
      <c r="I49">
        <f t="shared" ca="1" si="11"/>
        <v>10</v>
      </c>
      <c r="J49">
        <f t="shared" ca="1" si="11"/>
        <v>8</v>
      </c>
      <c r="K49">
        <f t="shared" ca="1" si="11"/>
        <v>3</v>
      </c>
      <c r="L49">
        <f t="shared" ca="1" si="11"/>
        <v>10</v>
      </c>
      <c r="M49">
        <f t="shared" ca="1" si="11"/>
        <v>10</v>
      </c>
      <c r="N49">
        <f t="shared" ca="1" si="11"/>
        <v>9</v>
      </c>
      <c r="O49">
        <f t="shared" ca="1" si="11"/>
        <v>10</v>
      </c>
      <c r="P49">
        <f t="shared" ca="1" si="11"/>
        <v>1</v>
      </c>
      <c r="Q49">
        <f t="shared" ca="1" si="11"/>
        <v>7</v>
      </c>
      <c r="R49">
        <f t="shared" ca="1" si="11"/>
        <v>2</v>
      </c>
      <c r="S49">
        <f t="shared" ca="1" si="10"/>
        <v>1</v>
      </c>
      <c r="T49">
        <f t="shared" ca="1" si="10"/>
        <v>2</v>
      </c>
      <c r="U49">
        <f t="shared" ca="1" si="10"/>
        <v>8</v>
      </c>
      <c r="V49">
        <f t="shared" ca="1" si="10"/>
        <v>2</v>
      </c>
      <c r="W49">
        <f t="shared" ca="1" si="10"/>
        <v>6</v>
      </c>
      <c r="X49">
        <f t="shared" ca="1" si="10"/>
        <v>3</v>
      </c>
      <c r="Y49">
        <f t="shared" ca="1" si="10"/>
        <v>9</v>
      </c>
      <c r="Z49">
        <f t="shared" ca="1" si="10"/>
        <v>7</v>
      </c>
      <c r="AA49">
        <f t="shared" ca="1" si="10"/>
        <v>9</v>
      </c>
      <c r="AB49">
        <f t="shared" ca="1" si="10"/>
        <v>8</v>
      </c>
      <c r="AC49">
        <f t="shared" ca="1" si="10"/>
        <v>7</v>
      </c>
      <c r="AD49">
        <f t="shared" ca="1" si="10"/>
        <v>3</v>
      </c>
      <c r="AE49">
        <f t="shared" ca="1" si="10"/>
        <v>8</v>
      </c>
      <c r="AF49">
        <f t="shared" ca="1" si="10"/>
        <v>8</v>
      </c>
      <c r="AG49">
        <f t="shared" ca="1" si="10"/>
        <v>3</v>
      </c>
      <c r="AH49" s="25">
        <f t="shared" ca="1" si="6"/>
        <v>186</v>
      </c>
      <c r="AI49">
        <v>40</v>
      </c>
      <c r="AJ49">
        <v>65</v>
      </c>
      <c r="AK49">
        <f t="shared" si="3"/>
        <v>25</v>
      </c>
      <c r="AL49" s="15">
        <f t="shared" ca="1" si="4"/>
        <v>12090</v>
      </c>
      <c r="AM49" s="15">
        <f t="shared" ca="1" si="5"/>
        <v>4650</v>
      </c>
    </row>
    <row r="50" spans="1:39">
      <c r="A50" s="27"/>
      <c r="B50" t="s">
        <v>67</v>
      </c>
      <c r="C50">
        <f t="shared" ca="1" si="11"/>
        <v>6</v>
      </c>
      <c r="D50">
        <f t="shared" ca="1" si="11"/>
        <v>4</v>
      </c>
      <c r="E50">
        <f t="shared" ca="1" si="11"/>
        <v>2</v>
      </c>
      <c r="F50">
        <f t="shared" ca="1" si="11"/>
        <v>7</v>
      </c>
      <c r="G50">
        <f t="shared" ca="1" si="11"/>
        <v>9</v>
      </c>
      <c r="H50">
        <f t="shared" ca="1" si="11"/>
        <v>3</v>
      </c>
      <c r="I50">
        <f t="shared" ca="1" si="11"/>
        <v>7</v>
      </c>
      <c r="J50">
        <f t="shared" ca="1" si="11"/>
        <v>4</v>
      </c>
      <c r="K50">
        <f t="shared" ca="1" si="11"/>
        <v>5</v>
      </c>
      <c r="L50">
        <f t="shared" ca="1" si="11"/>
        <v>5</v>
      </c>
      <c r="M50">
        <f t="shared" ca="1" si="11"/>
        <v>7</v>
      </c>
      <c r="N50">
        <f t="shared" ca="1" si="11"/>
        <v>7</v>
      </c>
      <c r="O50">
        <f t="shared" ca="1" si="11"/>
        <v>5</v>
      </c>
      <c r="P50">
        <f t="shared" ca="1" si="11"/>
        <v>2</v>
      </c>
      <c r="Q50">
        <f t="shared" ca="1" si="11"/>
        <v>3</v>
      </c>
      <c r="R50">
        <f t="shared" ca="1" si="11"/>
        <v>3</v>
      </c>
      <c r="S50">
        <f t="shared" ca="1" si="10"/>
        <v>7</v>
      </c>
      <c r="T50">
        <f t="shared" ca="1" si="10"/>
        <v>3</v>
      </c>
      <c r="U50">
        <f t="shared" ca="1" si="10"/>
        <v>5</v>
      </c>
      <c r="V50">
        <f t="shared" ca="1" si="10"/>
        <v>10</v>
      </c>
      <c r="W50">
        <f t="shared" ca="1" si="10"/>
        <v>2</v>
      </c>
      <c r="X50">
        <f t="shared" ca="1" si="10"/>
        <v>4</v>
      </c>
      <c r="Y50">
        <f t="shared" ca="1" si="10"/>
        <v>9</v>
      </c>
      <c r="Z50">
        <f t="shared" ca="1" si="10"/>
        <v>5</v>
      </c>
      <c r="AA50">
        <f t="shared" ca="1" si="10"/>
        <v>10</v>
      </c>
      <c r="AB50">
        <f t="shared" ca="1" si="10"/>
        <v>5</v>
      </c>
      <c r="AC50">
        <f t="shared" ca="1" si="10"/>
        <v>6</v>
      </c>
      <c r="AD50">
        <f t="shared" ca="1" si="10"/>
        <v>5</v>
      </c>
      <c r="AE50">
        <f t="shared" ca="1" si="10"/>
        <v>10</v>
      </c>
      <c r="AF50">
        <f t="shared" ca="1" si="10"/>
        <v>5</v>
      </c>
      <c r="AG50">
        <f t="shared" ca="1" si="10"/>
        <v>3</v>
      </c>
      <c r="AH50" s="25">
        <f t="shared" ca="1" si="6"/>
        <v>168</v>
      </c>
      <c r="AI50">
        <v>72</v>
      </c>
      <c r="AJ50">
        <v>89</v>
      </c>
      <c r="AK50">
        <f t="shared" si="3"/>
        <v>17</v>
      </c>
      <c r="AL50" s="15">
        <f t="shared" ca="1" si="4"/>
        <v>14952</v>
      </c>
      <c r="AM50" s="15">
        <f t="shared" ca="1" si="5"/>
        <v>2856</v>
      </c>
    </row>
    <row r="51" spans="1:39">
      <c r="A51" s="27"/>
      <c r="B51" t="s">
        <v>68</v>
      </c>
      <c r="C51">
        <f t="shared" ca="1" si="11"/>
        <v>3</v>
      </c>
      <c r="D51">
        <f t="shared" ca="1" si="11"/>
        <v>2</v>
      </c>
      <c r="E51">
        <f t="shared" ca="1" si="11"/>
        <v>4</v>
      </c>
      <c r="F51">
        <f t="shared" ca="1" si="11"/>
        <v>7</v>
      </c>
      <c r="G51">
        <f t="shared" ca="1" si="11"/>
        <v>3</v>
      </c>
      <c r="H51">
        <f t="shared" ca="1" si="11"/>
        <v>5</v>
      </c>
      <c r="I51">
        <f t="shared" ca="1" si="11"/>
        <v>10</v>
      </c>
      <c r="J51">
        <f t="shared" ca="1" si="11"/>
        <v>8</v>
      </c>
      <c r="K51">
        <f t="shared" ca="1" si="11"/>
        <v>5</v>
      </c>
      <c r="L51">
        <f t="shared" ca="1" si="11"/>
        <v>9</v>
      </c>
      <c r="M51">
        <f t="shared" ca="1" si="11"/>
        <v>6</v>
      </c>
      <c r="N51">
        <f t="shared" ca="1" si="11"/>
        <v>1</v>
      </c>
      <c r="O51">
        <f t="shared" ca="1" si="11"/>
        <v>4</v>
      </c>
      <c r="P51">
        <f t="shared" ca="1" si="11"/>
        <v>9</v>
      </c>
      <c r="Q51">
        <f t="shared" ca="1" si="11"/>
        <v>3</v>
      </c>
      <c r="R51">
        <f t="shared" ref="R51:AG57" ca="1" si="12">RANDBETWEEN(1,10)</f>
        <v>4</v>
      </c>
      <c r="S51">
        <f t="shared" ca="1" si="12"/>
        <v>7</v>
      </c>
      <c r="T51">
        <f t="shared" ca="1" si="12"/>
        <v>1</v>
      </c>
      <c r="U51">
        <f t="shared" ca="1" si="12"/>
        <v>10</v>
      </c>
      <c r="V51">
        <f t="shared" ca="1" si="12"/>
        <v>4</v>
      </c>
      <c r="W51">
        <f t="shared" ca="1" si="12"/>
        <v>3</v>
      </c>
      <c r="X51">
        <f t="shared" ca="1" si="12"/>
        <v>3</v>
      </c>
      <c r="Y51">
        <f t="shared" ca="1" si="12"/>
        <v>2</v>
      </c>
      <c r="Z51">
        <f t="shared" ca="1" si="12"/>
        <v>8</v>
      </c>
      <c r="AA51">
        <f t="shared" ca="1" si="12"/>
        <v>9</v>
      </c>
      <c r="AB51">
        <f t="shared" ca="1" si="12"/>
        <v>7</v>
      </c>
      <c r="AC51">
        <f t="shared" ca="1" si="12"/>
        <v>6</v>
      </c>
      <c r="AD51">
        <f t="shared" ca="1" si="12"/>
        <v>10</v>
      </c>
      <c r="AE51">
        <f t="shared" ca="1" si="12"/>
        <v>6</v>
      </c>
      <c r="AF51">
        <f t="shared" ca="1" si="12"/>
        <v>7</v>
      </c>
      <c r="AG51">
        <f t="shared" ca="1" si="12"/>
        <v>5</v>
      </c>
      <c r="AH51" s="25">
        <f t="shared" ca="1" si="6"/>
        <v>171</v>
      </c>
      <c r="AI51">
        <v>236</v>
      </c>
      <c r="AJ51">
        <v>268</v>
      </c>
      <c r="AK51">
        <f t="shared" si="3"/>
        <v>32</v>
      </c>
      <c r="AL51" s="15">
        <f t="shared" ca="1" si="4"/>
        <v>45828</v>
      </c>
      <c r="AM51" s="15">
        <f t="shared" ca="1" si="5"/>
        <v>5472</v>
      </c>
    </row>
    <row r="52" spans="1:39">
      <c r="A52" s="27"/>
      <c r="B52" t="s">
        <v>69</v>
      </c>
      <c r="C52">
        <f t="shared" ref="C52:R57" ca="1" si="13">RANDBETWEEN(1,10)</f>
        <v>5</v>
      </c>
      <c r="D52">
        <f t="shared" ca="1" si="13"/>
        <v>10</v>
      </c>
      <c r="E52">
        <f t="shared" ca="1" si="13"/>
        <v>10</v>
      </c>
      <c r="F52">
        <f t="shared" ca="1" si="13"/>
        <v>7</v>
      </c>
      <c r="G52">
        <f t="shared" ca="1" si="13"/>
        <v>1</v>
      </c>
      <c r="H52">
        <f t="shared" ca="1" si="13"/>
        <v>1</v>
      </c>
      <c r="I52">
        <f t="shared" ca="1" si="13"/>
        <v>1</v>
      </c>
      <c r="J52">
        <f t="shared" ca="1" si="13"/>
        <v>6</v>
      </c>
      <c r="K52">
        <f t="shared" ca="1" si="13"/>
        <v>5</v>
      </c>
      <c r="L52">
        <f t="shared" ca="1" si="13"/>
        <v>9</v>
      </c>
      <c r="M52">
        <f t="shared" ca="1" si="13"/>
        <v>9</v>
      </c>
      <c r="N52">
        <f t="shared" ca="1" si="13"/>
        <v>8</v>
      </c>
      <c r="O52">
        <f t="shared" ca="1" si="13"/>
        <v>2</v>
      </c>
      <c r="P52">
        <f t="shared" ca="1" si="13"/>
        <v>4</v>
      </c>
      <c r="Q52">
        <f t="shared" ca="1" si="13"/>
        <v>10</v>
      </c>
      <c r="R52">
        <f t="shared" ca="1" si="13"/>
        <v>3</v>
      </c>
      <c r="S52">
        <f t="shared" ca="1" si="12"/>
        <v>8</v>
      </c>
      <c r="T52">
        <f t="shared" ca="1" si="12"/>
        <v>3</v>
      </c>
      <c r="U52">
        <f t="shared" ca="1" si="12"/>
        <v>7</v>
      </c>
      <c r="V52">
        <f t="shared" ca="1" si="12"/>
        <v>6</v>
      </c>
      <c r="W52">
        <f t="shared" ca="1" si="12"/>
        <v>9</v>
      </c>
      <c r="X52">
        <f t="shared" ca="1" si="12"/>
        <v>9</v>
      </c>
      <c r="Y52">
        <f t="shared" ca="1" si="12"/>
        <v>4</v>
      </c>
      <c r="Z52">
        <f t="shared" ca="1" si="12"/>
        <v>6</v>
      </c>
      <c r="AA52">
        <f t="shared" ca="1" si="12"/>
        <v>10</v>
      </c>
      <c r="AB52">
        <f t="shared" ca="1" si="12"/>
        <v>9</v>
      </c>
      <c r="AC52">
        <f t="shared" ca="1" si="12"/>
        <v>9</v>
      </c>
      <c r="AD52">
        <f t="shared" ca="1" si="12"/>
        <v>5</v>
      </c>
      <c r="AE52">
        <f t="shared" ca="1" si="12"/>
        <v>3</v>
      </c>
      <c r="AF52">
        <f t="shared" ca="1" si="12"/>
        <v>10</v>
      </c>
      <c r="AG52">
        <f t="shared" ca="1" si="12"/>
        <v>1</v>
      </c>
      <c r="AH52" s="25">
        <f t="shared" ca="1" si="6"/>
        <v>190</v>
      </c>
      <c r="AI52">
        <v>156</v>
      </c>
      <c r="AJ52">
        <v>178</v>
      </c>
      <c r="AK52">
        <f t="shared" si="3"/>
        <v>22</v>
      </c>
      <c r="AL52" s="15">
        <f t="shared" ca="1" si="4"/>
        <v>33820</v>
      </c>
      <c r="AM52" s="15">
        <f t="shared" ca="1" si="5"/>
        <v>4180</v>
      </c>
    </row>
    <row r="53" spans="1:39">
      <c r="A53" s="27"/>
      <c r="B53" t="s">
        <v>70</v>
      </c>
      <c r="C53">
        <f t="shared" ca="1" si="13"/>
        <v>7</v>
      </c>
      <c r="D53">
        <f t="shared" ca="1" si="13"/>
        <v>9</v>
      </c>
      <c r="E53">
        <f t="shared" ca="1" si="13"/>
        <v>3</v>
      </c>
      <c r="F53">
        <f t="shared" ca="1" si="13"/>
        <v>2</v>
      </c>
      <c r="G53">
        <f t="shared" ca="1" si="13"/>
        <v>1</v>
      </c>
      <c r="H53">
        <f t="shared" ca="1" si="13"/>
        <v>9</v>
      </c>
      <c r="I53">
        <f t="shared" ca="1" si="13"/>
        <v>10</v>
      </c>
      <c r="J53">
        <f t="shared" ca="1" si="13"/>
        <v>7</v>
      </c>
      <c r="K53">
        <f t="shared" ca="1" si="13"/>
        <v>6</v>
      </c>
      <c r="L53">
        <f t="shared" ca="1" si="13"/>
        <v>3</v>
      </c>
      <c r="M53">
        <f t="shared" ca="1" si="13"/>
        <v>10</v>
      </c>
      <c r="N53">
        <f t="shared" ca="1" si="13"/>
        <v>3</v>
      </c>
      <c r="O53">
        <f t="shared" ca="1" si="13"/>
        <v>6</v>
      </c>
      <c r="P53">
        <f t="shared" ca="1" si="13"/>
        <v>4</v>
      </c>
      <c r="Q53">
        <f t="shared" ca="1" si="13"/>
        <v>8</v>
      </c>
      <c r="R53">
        <f t="shared" ca="1" si="13"/>
        <v>1</v>
      </c>
      <c r="S53">
        <f t="shared" ca="1" si="12"/>
        <v>7</v>
      </c>
      <c r="T53">
        <f t="shared" ca="1" si="12"/>
        <v>9</v>
      </c>
      <c r="U53">
        <f t="shared" ca="1" si="12"/>
        <v>1</v>
      </c>
      <c r="V53">
        <f t="shared" ca="1" si="12"/>
        <v>4</v>
      </c>
      <c r="W53">
        <f t="shared" ca="1" si="12"/>
        <v>6</v>
      </c>
      <c r="X53">
        <f t="shared" ca="1" si="12"/>
        <v>5</v>
      </c>
      <c r="Y53">
        <f t="shared" ca="1" si="12"/>
        <v>6</v>
      </c>
      <c r="Z53">
        <f t="shared" ca="1" si="12"/>
        <v>10</v>
      </c>
      <c r="AA53">
        <f t="shared" ca="1" si="12"/>
        <v>4</v>
      </c>
      <c r="AB53">
        <f t="shared" ca="1" si="12"/>
        <v>5</v>
      </c>
      <c r="AC53">
        <f t="shared" ca="1" si="12"/>
        <v>5</v>
      </c>
      <c r="AD53">
        <f t="shared" ca="1" si="12"/>
        <v>8</v>
      </c>
      <c r="AE53">
        <f t="shared" ca="1" si="12"/>
        <v>2</v>
      </c>
      <c r="AF53">
        <f t="shared" ca="1" si="12"/>
        <v>9</v>
      </c>
      <c r="AG53">
        <f t="shared" ca="1" si="12"/>
        <v>8</v>
      </c>
      <c r="AH53" s="25">
        <f t="shared" ca="1" si="6"/>
        <v>178</v>
      </c>
      <c r="AI53">
        <v>182</v>
      </c>
      <c r="AJ53">
        <v>225</v>
      </c>
      <c r="AK53">
        <f t="shared" si="3"/>
        <v>43</v>
      </c>
      <c r="AL53" s="15">
        <f t="shared" ca="1" si="4"/>
        <v>40050</v>
      </c>
      <c r="AM53" s="15">
        <f t="shared" ca="1" si="5"/>
        <v>7654</v>
      </c>
    </row>
    <row r="54" spans="1:39">
      <c r="A54" s="27"/>
      <c r="B54" t="s">
        <v>71</v>
      </c>
      <c r="C54">
        <f t="shared" ca="1" si="13"/>
        <v>6</v>
      </c>
      <c r="D54">
        <f t="shared" ca="1" si="13"/>
        <v>5</v>
      </c>
      <c r="E54">
        <f t="shared" ca="1" si="13"/>
        <v>4</v>
      </c>
      <c r="F54">
        <f t="shared" ca="1" si="13"/>
        <v>7</v>
      </c>
      <c r="G54">
        <f t="shared" ca="1" si="13"/>
        <v>8</v>
      </c>
      <c r="H54">
        <f t="shared" ca="1" si="13"/>
        <v>9</v>
      </c>
      <c r="I54">
        <f t="shared" ca="1" si="13"/>
        <v>9</v>
      </c>
      <c r="J54">
        <f t="shared" ca="1" si="13"/>
        <v>10</v>
      </c>
      <c r="K54">
        <f t="shared" ca="1" si="13"/>
        <v>2</v>
      </c>
      <c r="L54">
        <f t="shared" ca="1" si="13"/>
        <v>5</v>
      </c>
      <c r="M54">
        <f t="shared" ca="1" si="13"/>
        <v>7</v>
      </c>
      <c r="N54">
        <f t="shared" ca="1" si="13"/>
        <v>7</v>
      </c>
      <c r="O54">
        <f t="shared" ca="1" si="13"/>
        <v>9</v>
      </c>
      <c r="P54">
        <f t="shared" ca="1" si="13"/>
        <v>6</v>
      </c>
      <c r="Q54">
        <f t="shared" ca="1" si="13"/>
        <v>7</v>
      </c>
      <c r="R54">
        <f t="shared" ca="1" si="13"/>
        <v>4</v>
      </c>
      <c r="S54">
        <f t="shared" ca="1" si="12"/>
        <v>4</v>
      </c>
      <c r="T54">
        <f t="shared" ca="1" si="12"/>
        <v>10</v>
      </c>
      <c r="U54">
        <f t="shared" ca="1" si="12"/>
        <v>5</v>
      </c>
      <c r="V54">
        <f t="shared" ca="1" si="12"/>
        <v>7</v>
      </c>
      <c r="W54">
        <f t="shared" ca="1" si="12"/>
        <v>5</v>
      </c>
      <c r="X54">
        <f t="shared" ca="1" si="12"/>
        <v>9</v>
      </c>
      <c r="Y54">
        <f t="shared" ca="1" si="12"/>
        <v>2</v>
      </c>
      <c r="Z54">
        <f t="shared" ca="1" si="12"/>
        <v>10</v>
      </c>
      <c r="AA54">
        <f t="shared" ca="1" si="12"/>
        <v>4</v>
      </c>
      <c r="AB54">
        <f t="shared" ca="1" si="12"/>
        <v>5</v>
      </c>
      <c r="AC54">
        <f t="shared" ca="1" si="12"/>
        <v>2</v>
      </c>
      <c r="AD54">
        <f t="shared" ca="1" si="12"/>
        <v>1</v>
      </c>
      <c r="AE54">
        <f t="shared" ca="1" si="12"/>
        <v>5</v>
      </c>
      <c r="AF54">
        <f t="shared" ca="1" si="12"/>
        <v>2</v>
      </c>
      <c r="AG54">
        <f t="shared" ca="1" si="12"/>
        <v>9</v>
      </c>
      <c r="AH54" s="25">
        <f t="shared" ca="1" si="6"/>
        <v>185</v>
      </c>
      <c r="AI54">
        <v>23</v>
      </c>
      <c r="AJ54">
        <v>35</v>
      </c>
      <c r="AK54">
        <f t="shared" si="3"/>
        <v>12</v>
      </c>
      <c r="AL54" s="15">
        <f t="shared" ca="1" si="4"/>
        <v>6475</v>
      </c>
      <c r="AM54" s="15">
        <f t="shared" ca="1" si="5"/>
        <v>2220</v>
      </c>
    </row>
    <row r="55" spans="1:39">
      <c r="A55" s="27"/>
      <c r="B55" t="s">
        <v>72</v>
      </c>
      <c r="C55">
        <f t="shared" ca="1" si="13"/>
        <v>7</v>
      </c>
      <c r="D55">
        <f t="shared" ca="1" si="13"/>
        <v>7</v>
      </c>
      <c r="E55">
        <f t="shared" ca="1" si="13"/>
        <v>4</v>
      </c>
      <c r="F55">
        <f t="shared" ca="1" si="13"/>
        <v>8</v>
      </c>
      <c r="G55">
        <f t="shared" ca="1" si="13"/>
        <v>6</v>
      </c>
      <c r="H55">
        <f t="shared" ca="1" si="13"/>
        <v>1</v>
      </c>
      <c r="I55">
        <f t="shared" ca="1" si="13"/>
        <v>8</v>
      </c>
      <c r="J55">
        <f t="shared" ca="1" si="13"/>
        <v>8</v>
      </c>
      <c r="K55">
        <f t="shared" ca="1" si="13"/>
        <v>6</v>
      </c>
      <c r="L55">
        <f t="shared" ca="1" si="13"/>
        <v>7</v>
      </c>
      <c r="M55">
        <f t="shared" ca="1" si="13"/>
        <v>10</v>
      </c>
      <c r="N55">
        <f t="shared" ca="1" si="13"/>
        <v>6</v>
      </c>
      <c r="O55">
        <f t="shared" ca="1" si="13"/>
        <v>7</v>
      </c>
      <c r="P55">
        <f t="shared" ca="1" si="13"/>
        <v>7</v>
      </c>
      <c r="Q55">
        <f t="shared" ca="1" si="13"/>
        <v>9</v>
      </c>
      <c r="R55">
        <f t="shared" ca="1" si="13"/>
        <v>5</v>
      </c>
      <c r="S55">
        <f t="shared" ca="1" si="12"/>
        <v>9</v>
      </c>
      <c r="T55">
        <f t="shared" ca="1" si="12"/>
        <v>10</v>
      </c>
      <c r="U55">
        <f t="shared" ca="1" si="12"/>
        <v>10</v>
      </c>
      <c r="V55">
        <f t="shared" ca="1" si="12"/>
        <v>10</v>
      </c>
      <c r="W55">
        <f t="shared" ca="1" si="12"/>
        <v>2</v>
      </c>
      <c r="X55">
        <f t="shared" ca="1" si="12"/>
        <v>7</v>
      </c>
      <c r="Y55">
        <f t="shared" ca="1" si="12"/>
        <v>5</v>
      </c>
      <c r="Z55">
        <f t="shared" ca="1" si="12"/>
        <v>3</v>
      </c>
      <c r="AA55">
        <f t="shared" ca="1" si="12"/>
        <v>3</v>
      </c>
      <c r="AB55">
        <f t="shared" ca="1" si="12"/>
        <v>7</v>
      </c>
      <c r="AC55">
        <f t="shared" ca="1" si="12"/>
        <v>8</v>
      </c>
      <c r="AD55">
        <f t="shared" ca="1" si="12"/>
        <v>10</v>
      </c>
      <c r="AE55">
        <f t="shared" ca="1" si="12"/>
        <v>2</v>
      </c>
      <c r="AF55">
        <f t="shared" ca="1" si="12"/>
        <v>3</v>
      </c>
      <c r="AG55">
        <f t="shared" ca="1" si="12"/>
        <v>7</v>
      </c>
      <c r="AH55" s="25">
        <f t="shared" ca="1" si="6"/>
        <v>202</v>
      </c>
      <c r="AI55">
        <v>205</v>
      </c>
      <c r="AJ55">
        <v>260</v>
      </c>
      <c r="AK55">
        <f t="shared" si="3"/>
        <v>55</v>
      </c>
      <c r="AL55" s="15">
        <f t="shared" ca="1" si="4"/>
        <v>52520</v>
      </c>
      <c r="AM55" s="15">
        <f t="shared" ca="1" si="5"/>
        <v>11110</v>
      </c>
    </row>
    <row r="56" spans="1:39">
      <c r="A56" s="27"/>
      <c r="B56" t="s">
        <v>73</v>
      </c>
      <c r="C56">
        <f t="shared" ca="1" si="13"/>
        <v>2</v>
      </c>
      <c r="D56">
        <f t="shared" ca="1" si="13"/>
        <v>6</v>
      </c>
      <c r="E56">
        <f t="shared" ca="1" si="13"/>
        <v>8</v>
      </c>
      <c r="F56">
        <f t="shared" ca="1" si="13"/>
        <v>4</v>
      </c>
      <c r="G56">
        <f t="shared" ca="1" si="13"/>
        <v>10</v>
      </c>
      <c r="H56">
        <f t="shared" ca="1" si="13"/>
        <v>9</v>
      </c>
      <c r="I56">
        <f t="shared" ca="1" si="13"/>
        <v>8</v>
      </c>
      <c r="J56">
        <f t="shared" ca="1" si="13"/>
        <v>3</v>
      </c>
      <c r="K56">
        <f t="shared" ca="1" si="13"/>
        <v>4</v>
      </c>
      <c r="L56">
        <f t="shared" ca="1" si="13"/>
        <v>9</v>
      </c>
      <c r="M56">
        <f t="shared" ca="1" si="13"/>
        <v>1</v>
      </c>
      <c r="N56">
        <f t="shared" ca="1" si="13"/>
        <v>5</v>
      </c>
      <c r="O56">
        <f t="shared" ca="1" si="13"/>
        <v>9</v>
      </c>
      <c r="P56">
        <f t="shared" ca="1" si="13"/>
        <v>5</v>
      </c>
      <c r="Q56">
        <f t="shared" ca="1" si="13"/>
        <v>1</v>
      </c>
      <c r="R56">
        <f t="shared" ca="1" si="13"/>
        <v>8</v>
      </c>
      <c r="S56">
        <f t="shared" ca="1" si="12"/>
        <v>4</v>
      </c>
      <c r="T56">
        <f t="shared" ca="1" si="12"/>
        <v>7</v>
      </c>
      <c r="U56">
        <f t="shared" ca="1" si="12"/>
        <v>6</v>
      </c>
      <c r="V56">
        <f t="shared" ca="1" si="12"/>
        <v>8</v>
      </c>
      <c r="W56">
        <f t="shared" ca="1" si="12"/>
        <v>8</v>
      </c>
      <c r="X56">
        <f t="shared" ca="1" si="12"/>
        <v>2</v>
      </c>
      <c r="Y56">
        <f t="shared" ca="1" si="12"/>
        <v>7</v>
      </c>
      <c r="Z56">
        <f t="shared" ca="1" si="12"/>
        <v>7</v>
      </c>
      <c r="AA56">
        <f t="shared" ca="1" si="12"/>
        <v>3</v>
      </c>
      <c r="AB56">
        <f t="shared" ca="1" si="12"/>
        <v>6</v>
      </c>
      <c r="AC56">
        <f t="shared" ca="1" si="12"/>
        <v>6</v>
      </c>
      <c r="AD56">
        <f t="shared" ca="1" si="12"/>
        <v>5</v>
      </c>
      <c r="AE56">
        <f t="shared" ca="1" si="12"/>
        <v>4</v>
      </c>
      <c r="AF56">
        <f t="shared" ca="1" si="12"/>
        <v>8</v>
      </c>
      <c r="AG56">
        <f t="shared" ca="1" si="12"/>
        <v>7</v>
      </c>
      <c r="AH56" s="25">
        <f t="shared" ca="1" si="6"/>
        <v>180</v>
      </c>
      <c r="AI56">
        <v>325</v>
      </c>
      <c r="AJ56">
        <v>358</v>
      </c>
      <c r="AK56">
        <f t="shared" si="3"/>
        <v>33</v>
      </c>
      <c r="AL56" s="15">
        <f t="shared" ca="1" si="4"/>
        <v>64440</v>
      </c>
      <c r="AM56" s="15">
        <f t="shared" ca="1" si="5"/>
        <v>5940</v>
      </c>
    </row>
    <row r="57" spans="1:39">
      <c r="A57" s="27"/>
      <c r="B57" t="s">
        <v>74</v>
      </c>
      <c r="C57">
        <f t="shared" ca="1" si="13"/>
        <v>1</v>
      </c>
      <c r="D57">
        <f t="shared" ca="1" si="13"/>
        <v>9</v>
      </c>
      <c r="E57">
        <f t="shared" ca="1" si="13"/>
        <v>9</v>
      </c>
      <c r="F57">
        <f t="shared" ca="1" si="13"/>
        <v>4</v>
      </c>
      <c r="G57">
        <f t="shared" ca="1" si="13"/>
        <v>4</v>
      </c>
      <c r="H57">
        <f t="shared" ca="1" si="13"/>
        <v>8</v>
      </c>
      <c r="I57">
        <f t="shared" ca="1" si="13"/>
        <v>6</v>
      </c>
      <c r="J57">
        <f t="shared" ca="1" si="13"/>
        <v>7</v>
      </c>
      <c r="K57">
        <f t="shared" ca="1" si="13"/>
        <v>5</v>
      </c>
      <c r="L57">
        <f t="shared" ca="1" si="13"/>
        <v>9</v>
      </c>
      <c r="M57">
        <f t="shared" ca="1" si="13"/>
        <v>10</v>
      </c>
      <c r="N57">
        <f t="shared" ca="1" si="13"/>
        <v>4</v>
      </c>
      <c r="O57">
        <f t="shared" ca="1" si="13"/>
        <v>8</v>
      </c>
      <c r="P57">
        <f t="shared" ca="1" si="13"/>
        <v>5</v>
      </c>
      <c r="Q57">
        <f t="shared" ca="1" si="13"/>
        <v>5</v>
      </c>
      <c r="R57">
        <f t="shared" ca="1" si="13"/>
        <v>3</v>
      </c>
      <c r="S57">
        <f t="shared" ca="1" si="12"/>
        <v>10</v>
      </c>
      <c r="T57">
        <f t="shared" ca="1" si="12"/>
        <v>6</v>
      </c>
      <c r="U57">
        <f t="shared" ca="1" si="12"/>
        <v>1</v>
      </c>
      <c r="V57">
        <f t="shared" ca="1" si="12"/>
        <v>2</v>
      </c>
      <c r="W57">
        <f t="shared" ca="1" si="12"/>
        <v>7</v>
      </c>
      <c r="X57">
        <f t="shared" ca="1" si="12"/>
        <v>8</v>
      </c>
      <c r="Y57">
        <f t="shared" ca="1" si="12"/>
        <v>4</v>
      </c>
      <c r="Z57">
        <f t="shared" ca="1" si="12"/>
        <v>8</v>
      </c>
      <c r="AA57">
        <f t="shared" ca="1" si="12"/>
        <v>10</v>
      </c>
      <c r="AB57">
        <f t="shared" ca="1" si="12"/>
        <v>2</v>
      </c>
      <c r="AC57">
        <f t="shared" ca="1" si="12"/>
        <v>2</v>
      </c>
      <c r="AD57">
        <f t="shared" ca="1" si="12"/>
        <v>8</v>
      </c>
      <c r="AE57">
        <f t="shared" ca="1" si="12"/>
        <v>2</v>
      </c>
      <c r="AF57">
        <f t="shared" ca="1" si="12"/>
        <v>9</v>
      </c>
      <c r="AG57">
        <f t="shared" ca="1" si="12"/>
        <v>4</v>
      </c>
      <c r="AH57" s="25">
        <f t="shared" ca="1" si="6"/>
        <v>180</v>
      </c>
      <c r="AI57">
        <v>340</v>
      </c>
      <c r="AJ57">
        <v>380</v>
      </c>
      <c r="AK57">
        <f t="shared" si="3"/>
        <v>40</v>
      </c>
      <c r="AL57" s="15">
        <f t="shared" ca="1" si="4"/>
        <v>68400</v>
      </c>
      <c r="AM57" s="15">
        <f t="shared" ca="1" si="5"/>
        <v>7200</v>
      </c>
    </row>
    <row r="58" spans="1:39">
      <c r="A58" s="27"/>
    </row>
    <row r="59" spans="1:39">
      <c r="A59" s="27"/>
    </row>
    <row r="60" spans="1:39">
      <c r="A60" s="27"/>
    </row>
    <row r="61" spans="1:39">
      <c r="A61" s="27"/>
    </row>
    <row r="62" spans="1:39">
      <c r="A62" s="27"/>
    </row>
    <row r="63" spans="1:39">
      <c r="A63" s="27"/>
    </row>
    <row r="64" spans="1:39">
      <c r="A64" s="27"/>
    </row>
    <row r="65" spans="1:1">
      <c r="A65" s="27"/>
    </row>
    <row r="66" spans="1:1">
      <c r="A66" s="27"/>
    </row>
    <row r="67" spans="1:1">
      <c r="A67" s="27"/>
    </row>
    <row r="68" spans="1:1">
      <c r="A68" s="27"/>
    </row>
    <row r="69" spans="1:1">
      <c r="A69" s="27"/>
    </row>
    <row r="70" spans="1:1">
      <c r="A70" s="27"/>
    </row>
    <row r="71" spans="1:1">
      <c r="A71" s="27"/>
    </row>
    <row r="72" spans="1:1">
      <c r="A72" s="27"/>
    </row>
    <row r="73" spans="1:1">
      <c r="A73" s="27"/>
    </row>
    <row r="74" spans="1:1">
      <c r="A74" s="27"/>
    </row>
    <row r="75" spans="1:1">
      <c r="A75" s="27"/>
    </row>
    <row r="76" spans="1:1">
      <c r="A76" s="27"/>
    </row>
    <row r="77" spans="1:1">
      <c r="A77" s="27"/>
    </row>
    <row r="78" spans="1:1">
      <c r="A78" s="27"/>
    </row>
    <row r="79" spans="1:1">
      <c r="A79" s="27"/>
    </row>
    <row r="80" spans="1:1">
      <c r="A80" s="27"/>
    </row>
    <row r="81" spans="1:1">
      <c r="A81" s="27"/>
    </row>
    <row r="82" spans="1:1">
      <c r="A82" s="27"/>
    </row>
    <row r="83" spans="1:1">
      <c r="A83" s="27"/>
    </row>
    <row r="84" spans="1:1">
      <c r="A84" s="27"/>
    </row>
    <row r="85" spans="1:1">
      <c r="A85" s="27"/>
    </row>
    <row r="86" spans="1:1">
      <c r="A86" s="27"/>
    </row>
    <row r="87" spans="1:1">
      <c r="A87" s="27"/>
    </row>
  </sheetData>
  <mergeCells count="9">
    <mergeCell ref="A1:A29"/>
    <mergeCell ref="A30:A58"/>
    <mergeCell ref="A59:A87"/>
    <mergeCell ref="AM1:AM2"/>
    <mergeCell ref="AH1:AH2"/>
    <mergeCell ref="AI1:AI2"/>
    <mergeCell ref="AJ1:AJ2"/>
    <mergeCell ref="AK1:AK2"/>
    <mergeCell ref="AL1:AL2"/>
  </mergeCells>
  <dataValidations count="2">
    <dataValidation type="list" allowBlank="1" showInputMessage="1" showErrorMessage="1" sqref="AP2" xr:uid="{00000000-0002-0000-0600-000000000000}">
      <formula1>"2020,2021,2022,2023,2024,2025,2026,2027,2028,2029,2030"</formula1>
    </dataValidation>
    <dataValidation type="list" allowBlank="1" showInputMessage="1" showErrorMessage="1" sqref="AP1" xr:uid="{00000000-0002-0000-0600-000001000000}">
      <formula1>"January,February,March,Aprail,May,June,July,August,September,October,November,December"</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AP87"/>
  <sheetViews>
    <sheetView workbookViewId="0">
      <pane xSplit="1" topLeftCell="U1" activePane="topRight" state="frozenSplit"/>
      <selection pane="topRight" activeCell="AP17" sqref="AP17"/>
    </sheetView>
  </sheetViews>
  <sheetFormatPr defaultRowHeight="15"/>
  <cols>
    <col min="1" max="1" width="16.85546875" bestFit="1" customWidth="1"/>
    <col min="2" max="2" width="19.28515625" customWidth="1"/>
    <col min="3" max="3" width="3.7109375" customWidth="1"/>
    <col min="4" max="4" width="4.28515625" customWidth="1"/>
    <col min="5" max="5" width="5.140625" customWidth="1"/>
    <col min="6" max="6" width="4.28515625" customWidth="1"/>
    <col min="7" max="7" width="5.28515625" customWidth="1"/>
    <col min="8" max="8" width="4.28515625" customWidth="1"/>
    <col min="9" max="9" width="3.28515625" customWidth="1"/>
    <col min="10" max="10" width="3.7109375" customWidth="1"/>
    <col min="11" max="11" width="4.28515625" customWidth="1"/>
    <col min="12" max="12" width="5.140625" customWidth="1"/>
    <col min="13" max="13" width="4.28515625" customWidth="1"/>
    <col min="14" max="14" width="5.28515625" customWidth="1"/>
    <col min="15" max="15" width="4.28515625" customWidth="1"/>
    <col min="16" max="16" width="3.28515625" customWidth="1"/>
    <col min="17" max="17" width="3.7109375" customWidth="1"/>
    <col min="18" max="18" width="4.28515625" customWidth="1"/>
    <col min="19" max="19" width="5.140625" customWidth="1"/>
    <col min="20" max="20" width="4.28515625" customWidth="1"/>
    <col min="21" max="21" width="5.28515625" customWidth="1"/>
    <col min="22" max="22" width="4.28515625" customWidth="1"/>
    <col min="23" max="23" width="3.28515625" customWidth="1"/>
    <col min="24" max="24" width="3.7109375" customWidth="1"/>
    <col min="25" max="25" width="4.28515625" customWidth="1"/>
    <col min="26" max="26" width="5.140625" customWidth="1"/>
    <col min="27" max="27" width="4.28515625" customWidth="1"/>
    <col min="28" max="28" width="5.28515625" customWidth="1"/>
    <col min="29" max="29" width="4.28515625" customWidth="1"/>
    <col min="30" max="30" width="3.28515625" customWidth="1"/>
    <col min="31" max="31" width="3.7109375" customWidth="1"/>
    <col min="32" max="32" width="4.28515625" customWidth="1"/>
    <col min="33" max="33" width="5.28515625" customWidth="1"/>
    <col min="34" max="34" width="10.42578125" customWidth="1"/>
    <col min="35" max="35" width="14.7109375" customWidth="1"/>
    <col min="36" max="36" width="10.42578125" customWidth="1"/>
    <col min="37" max="37" width="12.7109375" customWidth="1"/>
    <col min="38" max="38" width="14.7109375" customWidth="1"/>
    <col min="39" max="39" width="13.5703125" customWidth="1"/>
    <col min="41" max="41" width="15.7109375" customWidth="1"/>
    <col min="42" max="42" width="11.28515625" customWidth="1"/>
  </cols>
  <sheetData>
    <row r="1" spans="1:42">
      <c r="A1" s="27"/>
      <c r="C1" s="8" t="str">
        <f>TEXT(C2,"DDD")</f>
        <v>Sat</v>
      </c>
      <c r="D1" s="8" t="str">
        <f t="shared" ref="D1:AG1" si="0">TEXT(D2,"DDD")</f>
        <v>Sun</v>
      </c>
      <c r="E1" s="8" t="str">
        <f t="shared" si="0"/>
        <v>Mon</v>
      </c>
      <c r="F1" s="8" t="str">
        <f t="shared" si="0"/>
        <v>Tue</v>
      </c>
      <c r="G1" s="8" t="str">
        <f t="shared" si="0"/>
        <v>Wed</v>
      </c>
      <c r="H1" s="8" t="str">
        <f t="shared" si="0"/>
        <v>Thu</v>
      </c>
      <c r="I1" s="8" t="str">
        <f t="shared" si="0"/>
        <v>Fri</v>
      </c>
      <c r="J1" s="8" t="str">
        <f t="shared" si="0"/>
        <v>Sat</v>
      </c>
      <c r="K1" s="8" t="str">
        <f t="shared" si="0"/>
        <v>Sun</v>
      </c>
      <c r="L1" s="8" t="str">
        <f t="shared" si="0"/>
        <v>Mon</v>
      </c>
      <c r="M1" s="8" t="str">
        <f t="shared" si="0"/>
        <v>Tue</v>
      </c>
      <c r="N1" s="8" t="str">
        <f t="shared" si="0"/>
        <v>Wed</v>
      </c>
      <c r="O1" s="8" t="str">
        <f t="shared" si="0"/>
        <v>Thu</v>
      </c>
      <c r="P1" s="8" t="str">
        <f t="shared" si="0"/>
        <v>Fri</v>
      </c>
      <c r="Q1" s="8" t="str">
        <f t="shared" si="0"/>
        <v>Sat</v>
      </c>
      <c r="R1" s="8" t="str">
        <f t="shared" si="0"/>
        <v>Sun</v>
      </c>
      <c r="S1" s="8" t="str">
        <f t="shared" si="0"/>
        <v>Mon</v>
      </c>
      <c r="T1" s="8" t="str">
        <f t="shared" si="0"/>
        <v>Tue</v>
      </c>
      <c r="U1" s="8" t="str">
        <f t="shared" si="0"/>
        <v>Wed</v>
      </c>
      <c r="V1" s="8" t="str">
        <f t="shared" si="0"/>
        <v>Thu</v>
      </c>
      <c r="W1" s="8" t="str">
        <f t="shared" si="0"/>
        <v>Fri</v>
      </c>
      <c r="X1" s="8" t="str">
        <f t="shared" si="0"/>
        <v>Sat</v>
      </c>
      <c r="Y1" s="8" t="str">
        <f t="shared" si="0"/>
        <v>Sun</v>
      </c>
      <c r="Z1" s="8" t="str">
        <f t="shared" si="0"/>
        <v>Mon</v>
      </c>
      <c r="AA1" s="8" t="str">
        <f t="shared" si="0"/>
        <v>Tue</v>
      </c>
      <c r="AB1" s="8" t="str">
        <f t="shared" si="0"/>
        <v>Wed</v>
      </c>
      <c r="AC1" s="8" t="str">
        <f t="shared" si="0"/>
        <v>Thu</v>
      </c>
      <c r="AD1" s="8" t="str">
        <f t="shared" si="0"/>
        <v>Fri</v>
      </c>
      <c r="AE1" s="8" t="str">
        <f t="shared" si="0"/>
        <v>Sat</v>
      </c>
      <c r="AF1" s="8" t="str">
        <f t="shared" si="0"/>
        <v>Sun</v>
      </c>
      <c r="AG1" s="8" t="str">
        <f t="shared" si="0"/>
        <v/>
      </c>
      <c r="AH1" s="28" t="s">
        <v>75</v>
      </c>
      <c r="AI1" s="28" t="s">
        <v>76</v>
      </c>
      <c r="AJ1" s="30" t="s">
        <v>77</v>
      </c>
      <c r="AK1" s="28" t="s">
        <v>78</v>
      </c>
      <c r="AL1" s="29" t="s">
        <v>79</v>
      </c>
      <c r="AM1" s="29" t="s">
        <v>80</v>
      </c>
      <c r="AO1" s="5" t="s">
        <v>81</v>
      </c>
      <c r="AP1" s="10" t="s">
        <v>99</v>
      </c>
    </row>
    <row r="2" spans="1:42">
      <c r="A2" s="27"/>
      <c r="B2" s="1" t="s">
        <v>0</v>
      </c>
      <c r="C2" s="9">
        <f>IF(COLUMNS($C$2:C2)&gt;DAY($AP$4),"",$AP$3+COLUMNS($C$2:C2)-1)</f>
        <v>45444</v>
      </c>
      <c r="D2" s="9">
        <f>IF(COLUMNS($C$2:D2)&gt;DAY($AP$4),"",$AP$3+COLUMNS($C$2:D2)-1)</f>
        <v>45445</v>
      </c>
      <c r="E2" s="9">
        <f>IF(COLUMNS($C$2:E2)&gt;DAY($AP$4),"",$AP$3+COLUMNS($C$2:E2)-1)</f>
        <v>45446</v>
      </c>
      <c r="F2" s="9">
        <f>IF(COLUMNS($C$2:F2)&gt;DAY($AP$4),"",$AP$3+COLUMNS($C$2:F2)-1)</f>
        <v>45447</v>
      </c>
      <c r="G2" s="9">
        <f>IF(COLUMNS($C$2:G2)&gt;DAY($AP$4),"",$AP$3+COLUMNS($C$2:G2)-1)</f>
        <v>45448</v>
      </c>
      <c r="H2" s="9">
        <f>IF(COLUMNS($C$2:H2)&gt;DAY($AP$4),"",$AP$3+COLUMNS($C$2:H2)-1)</f>
        <v>45449</v>
      </c>
      <c r="I2" s="9">
        <f>IF(COLUMNS($C$2:I2)&gt;DAY($AP$4),"",$AP$3+COLUMNS($C$2:I2)-1)</f>
        <v>45450</v>
      </c>
      <c r="J2" s="9">
        <f>IF(COLUMNS($C$2:J2)&gt;DAY($AP$4),"",$AP$3+COLUMNS($C$2:J2)-1)</f>
        <v>45451</v>
      </c>
      <c r="K2" s="9">
        <f>IF(COLUMNS($C$2:K2)&gt;DAY($AP$4),"",$AP$3+COLUMNS($C$2:K2)-1)</f>
        <v>45452</v>
      </c>
      <c r="L2" s="9">
        <f>IF(COLUMNS($C$2:L2)&gt;DAY($AP$4),"",$AP$3+COLUMNS($C$2:L2)-1)</f>
        <v>45453</v>
      </c>
      <c r="M2" s="9">
        <f>IF(COLUMNS($C$2:M2)&gt;DAY($AP$4),"",$AP$3+COLUMNS($C$2:M2)-1)</f>
        <v>45454</v>
      </c>
      <c r="N2" s="9">
        <f>IF(COLUMNS($C$2:N2)&gt;DAY($AP$4),"",$AP$3+COLUMNS($C$2:N2)-1)</f>
        <v>45455</v>
      </c>
      <c r="O2" s="9">
        <f>IF(COLUMNS($C$2:O2)&gt;DAY($AP$4),"",$AP$3+COLUMNS($C$2:O2)-1)</f>
        <v>45456</v>
      </c>
      <c r="P2" s="9">
        <f>IF(COLUMNS($C$2:P2)&gt;DAY($AP$4),"",$AP$3+COLUMNS($C$2:P2)-1)</f>
        <v>45457</v>
      </c>
      <c r="Q2" s="9">
        <f>IF(COLUMNS($C$2:Q2)&gt;DAY($AP$4),"",$AP$3+COLUMNS($C$2:Q2)-1)</f>
        <v>45458</v>
      </c>
      <c r="R2" s="9">
        <f>IF(COLUMNS($C$2:R2)&gt;DAY($AP$4),"",$AP$3+COLUMNS($C$2:R2)-1)</f>
        <v>45459</v>
      </c>
      <c r="S2" s="9">
        <f>IF(COLUMNS($C$2:S2)&gt;DAY($AP$4),"",$AP$3+COLUMNS($C$2:S2)-1)</f>
        <v>45460</v>
      </c>
      <c r="T2" s="9">
        <f>IF(COLUMNS($C$2:T2)&gt;DAY($AP$4),"",$AP$3+COLUMNS($C$2:T2)-1)</f>
        <v>45461</v>
      </c>
      <c r="U2" s="9">
        <f>IF(COLUMNS($C$2:U2)&gt;DAY($AP$4),"",$AP$3+COLUMNS($C$2:U2)-1)</f>
        <v>45462</v>
      </c>
      <c r="V2" s="9">
        <f>IF(COLUMNS($C$2:V2)&gt;DAY($AP$4),"",$AP$3+COLUMNS($C$2:V2)-1)</f>
        <v>45463</v>
      </c>
      <c r="W2" s="9">
        <f>IF(COLUMNS($C$2:W2)&gt;DAY($AP$4),"",$AP$3+COLUMNS($C$2:W2)-1)</f>
        <v>45464</v>
      </c>
      <c r="X2" s="9">
        <f>IF(COLUMNS($C$2:X2)&gt;DAY($AP$4),"",$AP$3+COLUMNS($C$2:X2)-1)</f>
        <v>45465</v>
      </c>
      <c r="Y2" s="9">
        <f>IF(COLUMNS($C$2:Y2)&gt;DAY($AP$4),"",$AP$3+COLUMNS($C$2:Y2)-1)</f>
        <v>45466</v>
      </c>
      <c r="Z2" s="9">
        <f>IF(COLUMNS($C$2:Z2)&gt;DAY($AP$4),"",$AP$3+COLUMNS($C$2:Z2)-1)</f>
        <v>45467</v>
      </c>
      <c r="AA2" s="9">
        <f>IF(COLUMNS($C$2:AA2)&gt;DAY($AP$4),"",$AP$3+COLUMNS($C$2:AA2)-1)</f>
        <v>45468</v>
      </c>
      <c r="AB2" s="9">
        <f>IF(COLUMNS($C$2:AB2)&gt;DAY($AP$4),"",$AP$3+COLUMNS($C$2:AB2)-1)</f>
        <v>45469</v>
      </c>
      <c r="AC2" s="9">
        <f>IF(COLUMNS($C$2:AC2)&gt;DAY($AP$4),"",$AP$3+COLUMNS($C$2:AC2)-1)</f>
        <v>45470</v>
      </c>
      <c r="AD2" s="9">
        <f>IF(COLUMNS($C$2:AD2)&gt;DAY($AP$4),"",$AP$3+COLUMNS($C$2:AD2)-1)</f>
        <v>45471</v>
      </c>
      <c r="AE2" s="9">
        <f>IF(COLUMNS($C$2:AE2)&gt;DAY($AP$4),"",$AP$3+COLUMNS($C$2:AE2)-1)</f>
        <v>45472</v>
      </c>
      <c r="AF2" s="9">
        <f>IF(COLUMNS($C$2:AF2)&gt;DAY($AP$4),"",$AP$3+COLUMNS($C$2:AF2)-1)</f>
        <v>45473</v>
      </c>
      <c r="AG2" s="9" t="str">
        <f>IF(COLUMNS($C$2:AG2)&gt;DAY($AP$4),"",$AP$3+COLUMNS($C$2:AG2)-1)</f>
        <v/>
      </c>
      <c r="AH2" s="28"/>
      <c r="AI2" s="28"/>
      <c r="AJ2" s="30"/>
      <c r="AK2" s="28"/>
      <c r="AL2" s="29"/>
      <c r="AM2" s="29"/>
      <c r="AO2" s="6" t="s">
        <v>83</v>
      </c>
      <c r="AP2" s="11">
        <v>2024</v>
      </c>
    </row>
    <row r="3" spans="1:42">
      <c r="A3" s="27"/>
      <c r="B3" t="s">
        <v>18</v>
      </c>
      <c r="C3">
        <f ca="1">RANDBETWEEN(1,10)</f>
        <v>7</v>
      </c>
      <c r="D3">
        <f t="shared" ref="D3:AF12" ca="1" si="1">RANDBETWEEN(1,10)</f>
        <v>7</v>
      </c>
      <c r="E3">
        <f t="shared" ca="1" si="1"/>
        <v>3</v>
      </c>
      <c r="F3">
        <f t="shared" ca="1" si="1"/>
        <v>9</v>
      </c>
      <c r="G3">
        <f t="shared" ca="1" si="1"/>
        <v>6</v>
      </c>
      <c r="H3">
        <f t="shared" ca="1" si="1"/>
        <v>5</v>
      </c>
      <c r="I3">
        <f t="shared" ca="1" si="1"/>
        <v>7</v>
      </c>
      <c r="J3">
        <f t="shared" ca="1" si="1"/>
        <v>5</v>
      </c>
      <c r="K3">
        <f t="shared" ca="1" si="1"/>
        <v>1</v>
      </c>
      <c r="L3">
        <f t="shared" ca="1" si="1"/>
        <v>7</v>
      </c>
      <c r="M3">
        <f t="shared" ca="1" si="1"/>
        <v>3</v>
      </c>
      <c r="N3">
        <f t="shared" ca="1" si="1"/>
        <v>2</v>
      </c>
      <c r="O3">
        <f t="shared" ca="1" si="1"/>
        <v>8</v>
      </c>
      <c r="P3">
        <f t="shared" ca="1" si="1"/>
        <v>6</v>
      </c>
      <c r="Q3">
        <f t="shared" ca="1" si="1"/>
        <v>5</v>
      </c>
      <c r="R3">
        <f t="shared" ca="1" si="1"/>
        <v>5</v>
      </c>
      <c r="S3">
        <f t="shared" ca="1" si="1"/>
        <v>5</v>
      </c>
      <c r="T3">
        <f t="shared" ca="1" si="1"/>
        <v>10</v>
      </c>
      <c r="U3">
        <f t="shared" ca="1" si="1"/>
        <v>8</v>
      </c>
      <c r="V3">
        <f t="shared" ca="1" si="1"/>
        <v>6</v>
      </c>
      <c r="W3">
        <f t="shared" ca="1" si="1"/>
        <v>9</v>
      </c>
      <c r="X3">
        <f t="shared" ca="1" si="1"/>
        <v>6</v>
      </c>
      <c r="Y3">
        <f t="shared" ca="1" si="1"/>
        <v>7</v>
      </c>
      <c r="Z3">
        <f t="shared" ca="1" si="1"/>
        <v>7</v>
      </c>
      <c r="AA3">
        <f t="shared" ca="1" si="1"/>
        <v>3</v>
      </c>
      <c r="AB3">
        <f t="shared" ca="1" si="1"/>
        <v>8</v>
      </c>
      <c r="AC3">
        <f t="shared" ca="1" si="1"/>
        <v>1</v>
      </c>
      <c r="AD3">
        <f t="shared" ca="1" si="1"/>
        <v>1</v>
      </c>
      <c r="AE3">
        <f t="shared" ca="1" si="1"/>
        <v>1</v>
      </c>
      <c r="AF3">
        <f t="shared" ca="1" si="1"/>
        <v>7</v>
      </c>
      <c r="AH3" s="25">
        <f ca="1">IF(SUM($C3:$AG3)&gt;0,SUM($C3:$AG3),"")</f>
        <v>165</v>
      </c>
      <c r="AI3">
        <v>40</v>
      </c>
      <c r="AJ3">
        <v>80</v>
      </c>
      <c r="AK3">
        <f>AJ3-AI3</f>
        <v>40</v>
      </c>
      <c r="AL3" s="15">
        <f ca="1">AJ3*AH3</f>
        <v>13200</v>
      </c>
      <c r="AM3" s="15">
        <f ca="1">AK3*AH3</f>
        <v>6600</v>
      </c>
      <c r="AO3" s="7" t="s">
        <v>84</v>
      </c>
      <c r="AP3" s="4">
        <f>DATE(AP2,MONTH(AP1&amp;1),1)</f>
        <v>45444</v>
      </c>
    </row>
    <row r="4" spans="1:42">
      <c r="A4" s="27"/>
      <c r="B4" t="s">
        <v>20</v>
      </c>
      <c r="C4">
        <f t="shared" ref="C4:R19" ca="1" si="2">RANDBETWEEN(1,10)</f>
        <v>10</v>
      </c>
      <c r="D4">
        <f t="shared" ca="1" si="2"/>
        <v>3</v>
      </c>
      <c r="E4">
        <f t="shared" ca="1" si="2"/>
        <v>2</v>
      </c>
      <c r="F4">
        <f t="shared" ca="1" si="2"/>
        <v>5</v>
      </c>
      <c r="G4">
        <f t="shared" ca="1" si="2"/>
        <v>6</v>
      </c>
      <c r="H4">
        <f t="shared" ca="1" si="2"/>
        <v>9</v>
      </c>
      <c r="I4">
        <f t="shared" ca="1" si="2"/>
        <v>9</v>
      </c>
      <c r="J4">
        <f t="shared" ca="1" si="2"/>
        <v>9</v>
      </c>
      <c r="K4">
        <f t="shared" ca="1" si="2"/>
        <v>6</v>
      </c>
      <c r="L4">
        <f t="shared" ca="1" si="2"/>
        <v>10</v>
      </c>
      <c r="M4">
        <f t="shared" ca="1" si="2"/>
        <v>1</v>
      </c>
      <c r="N4">
        <f t="shared" ca="1" si="2"/>
        <v>8</v>
      </c>
      <c r="O4">
        <f t="shared" ca="1" si="2"/>
        <v>3</v>
      </c>
      <c r="P4">
        <f t="shared" ca="1" si="2"/>
        <v>5</v>
      </c>
      <c r="Q4">
        <f t="shared" ca="1" si="2"/>
        <v>1</v>
      </c>
      <c r="R4">
        <f t="shared" ca="1" si="2"/>
        <v>6</v>
      </c>
      <c r="S4">
        <f t="shared" ca="1" si="1"/>
        <v>4</v>
      </c>
      <c r="T4">
        <f t="shared" ca="1" si="1"/>
        <v>2</v>
      </c>
      <c r="U4">
        <f t="shared" ca="1" si="1"/>
        <v>1</v>
      </c>
      <c r="V4">
        <f t="shared" ca="1" si="1"/>
        <v>2</v>
      </c>
      <c r="W4">
        <f t="shared" ca="1" si="1"/>
        <v>5</v>
      </c>
      <c r="X4">
        <f t="shared" ca="1" si="1"/>
        <v>5</v>
      </c>
      <c r="Y4">
        <f t="shared" ca="1" si="1"/>
        <v>10</v>
      </c>
      <c r="Z4">
        <f t="shared" ca="1" si="1"/>
        <v>2</v>
      </c>
      <c r="AA4">
        <f t="shared" ca="1" si="1"/>
        <v>3</v>
      </c>
      <c r="AB4">
        <f t="shared" ca="1" si="1"/>
        <v>4</v>
      </c>
      <c r="AC4">
        <f t="shared" ca="1" si="1"/>
        <v>8</v>
      </c>
      <c r="AD4">
        <f t="shared" ca="1" si="1"/>
        <v>8</v>
      </c>
      <c r="AE4">
        <f t="shared" ca="1" si="1"/>
        <v>7</v>
      </c>
      <c r="AF4">
        <f t="shared" ca="1" si="1"/>
        <v>8</v>
      </c>
      <c r="AH4" s="25">
        <f ca="1">IF(SUM($C4:$AG4)&gt;0,SUM($C4:$AG4),"")</f>
        <v>162</v>
      </c>
      <c r="AI4">
        <v>7</v>
      </c>
      <c r="AJ4">
        <v>15</v>
      </c>
      <c r="AK4">
        <f t="shared" ref="AK4:AK57" si="3">AJ4-AI4</f>
        <v>8</v>
      </c>
      <c r="AL4" s="15">
        <f t="shared" ref="AL4:AL57" ca="1" si="4">AJ4*AH4</f>
        <v>2430</v>
      </c>
      <c r="AM4" s="15">
        <f t="shared" ref="AM4:AM57" ca="1" si="5">AK4*AH4</f>
        <v>1296</v>
      </c>
      <c r="AO4" s="7" t="s">
        <v>85</v>
      </c>
      <c r="AP4" s="4">
        <f>EOMONTH(AP3,0)</f>
        <v>45473</v>
      </c>
    </row>
    <row r="5" spans="1:42">
      <c r="A5" s="27"/>
      <c r="B5" t="s">
        <v>21</v>
      </c>
      <c r="C5">
        <f t="shared" ca="1" si="2"/>
        <v>1</v>
      </c>
      <c r="D5">
        <f t="shared" ca="1" si="1"/>
        <v>1</v>
      </c>
      <c r="E5">
        <f t="shared" ca="1" si="1"/>
        <v>6</v>
      </c>
      <c r="F5">
        <f t="shared" ca="1" si="1"/>
        <v>3</v>
      </c>
      <c r="G5">
        <f t="shared" ca="1" si="1"/>
        <v>6</v>
      </c>
      <c r="H5">
        <f t="shared" ca="1" si="1"/>
        <v>5</v>
      </c>
      <c r="I5">
        <f t="shared" ca="1" si="1"/>
        <v>4</v>
      </c>
      <c r="J5">
        <f t="shared" ca="1" si="1"/>
        <v>4</v>
      </c>
      <c r="K5">
        <f t="shared" ca="1" si="1"/>
        <v>6</v>
      </c>
      <c r="L5">
        <f t="shared" ca="1" si="1"/>
        <v>2</v>
      </c>
      <c r="M5">
        <f t="shared" ca="1" si="1"/>
        <v>8</v>
      </c>
      <c r="N5">
        <f t="shared" ca="1" si="1"/>
        <v>4</v>
      </c>
      <c r="O5">
        <f t="shared" ca="1" si="1"/>
        <v>7</v>
      </c>
      <c r="P5">
        <f t="shared" ca="1" si="1"/>
        <v>5</v>
      </c>
      <c r="Q5">
        <f t="shared" ca="1" si="1"/>
        <v>10</v>
      </c>
      <c r="R5">
        <f t="shared" ca="1" si="1"/>
        <v>8</v>
      </c>
      <c r="S5">
        <f t="shared" ca="1" si="1"/>
        <v>8</v>
      </c>
      <c r="T5">
        <f t="shared" ca="1" si="1"/>
        <v>5</v>
      </c>
      <c r="U5">
        <f t="shared" ca="1" si="1"/>
        <v>8</v>
      </c>
      <c r="V5">
        <f t="shared" ca="1" si="1"/>
        <v>5</v>
      </c>
      <c r="W5">
        <f t="shared" ca="1" si="1"/>
        <v>8</v>
      </c>
      <c r="X5">
        <f t="shared" ca="1" si="1"/>
        <v>1</v>
      </c>
      <c r="Y5">
        <f t="shared" ca="1" si="1"/>
        <v>9</v>
      </c>
      <c r="Z5">
        <f t="shared" ca="1" si="1"/>
        <v>10</v>
      </c>
      <c r="AA5">
        <f t="shared" ca="1" si="1"/>
        <v>7</v>
      </c>
      <c r="AB5">
        <f t="shared" ca="1" si="1"/>
        <v>6</v>
      </c>
      <c r="AC5">
        <f t="shared" ca="1" si="1"/>
        <v>7</v>
      </c>
      <c r="AD5">
        <f t="shared" ca="1" si="1"/>
        <v>4</v>
      </c>
      <c r="AE5">
        <f t="shared" ca="1" si="1"/>
        <v>6</v>
      </c>
      <c r="AF5">
        <f t="shared" ca="1" si="1"/>
        <v>1</v>
      </c>
      <c r="AH5" s="25">
        <f t="shared" ref="AH5:AH57" ca="1" si="6">IF(SUM($C5:$AG5)&gt;0,SUM($C5:$AG5),"")</f>
        <v>165</v>
      </c>
      <c r="AI5">
        <v>5</v>
      </c>
      <c r="AJ5">
        <v>10</v>
      </c>
      <c r="AK5">
        <f t="shared" si="3"/>
        <v>5</v>
      </c>
      <c r="AL5" s="15">
        <f t="shared" ca="1" si="4"/>
        <v>1650</v>
      </c>
      <c r="AM5" s="15">
        <f t="shared" ca="1" si="5"/>
        <v>825</v>
      </c>
    </row>
    <row r="6" spans="1:42">
      <c r="A6" s="27"/>
      <c r="B6" t="s">
        <v>23</v>
      </c>
      <c r="C6">
        <f t="shared" ca="1" si="2"/>
        <v>2</v>
      </c>
      <c r="D6">
        <f t="shared" ca="1" si="1"/>
        <v>7</v>
      </c>
      <c r="E6">
        <f t="shared" ca="1" si="1"/>
        <v>2</v>
      </c>
      <c r="F6">
        <f t="shared" ca="1" si="1"/>
        <v>7</v>
      </c>
      <c r="G6">
        <f t="shared" ca="1" si="1"/>
        <v>1</v>
      </c>
      <c r="H6">
        <f t="shared" ca="1" si="1"/>
        <v>8</v>
      </c>
      <c r="I6">
        <f t="shared" ca="1" si="1"/>
        <v>1</v>
      </c>
      <c r="J6">
        <f t="shared" ca="1" si="1"/>
        <v>6</v>
      </c>
      <c r="K6">
        <f t="shared" ca="1" si="1"/>
        <v>1</v>
      </c>
      <c r="L6">
        <f t="shared" ca="1" si="1"/>
        <v>9</v>
      </c>
      <c r="M6">
        <f t="shared" ca="1" si="1"/>
        <v>8</v>
      </c>
      <c r="N6">
        <f t="shared" ca="1" si="1"/>
        <v>5</v>
      </c>
      <c r="O6">
        <f t="shared" ca="1" si="1"/>
        <v>5</v>
      </c>
      <c r="P6">
        <f t="shared" ca="1" si="1"/>
        <v>1</v>
      </c>
      <c r="Q6">
        <f t="shared" ca="1" si="1"/>
        <v>5</v>
      </c>
      <c r="R6">
        <f t="shared" ca="1" si="1"/>
        <v>7</v>
      </c>
      <c r="S6">
        <f t="shared" ca="1" si="1"/>
        <v>3</v>
      </c>
      <c r="T6">
        <f t="shared" ca="1" si="1"/>
        <v>8</v>
      </c>
      <c r="U6">
        <f t="shared" ca="1" si="1"/>
        <v>9</v>
      </c>
      <c r="V6">
        <f t="shared" ca="1" si="1"/>
        <v>3</v>
      </c>
      <c r="W6">
        <f t="shared" ca="1" si="1"/>
        <v>10</v>
      </c>
      <c r="X6">
        <f t="shared" ca="1" si="1"/>
        <v>5</v>
      </c>
      <c r="Y6">
        <f t="shared" ca="1" si="1"/>
        <v>5</v>
      </c>
      <c r="Z6">
        <f t="shared" ca="1" si="1"/>
        <v>9</v>
      </c>
      <c r="AA6">
        <f t="shared" ca="1" si="1"/>
        <v>3</v>
      </c>
      <c r="AB6">
        <f t="shared" ca="1" si="1"/>
        <v>9</v>
      </c>
      <c r="AC6">
        <f t="shared" ca="1" si="1"/>
        <v>1</v>
      </c>
      <c r="AD6">
        <f t="shared" ca="1" si="1"/>
        <v>1</v>
      </c>
      <c r="AE6">
        <f t="shared" ca="1" si="1"/>
        <v>8</v>
      </c>
      <c r="AF6">
        <f t="shared" ca="1" si="1"/>
        <v>3</v>
      </c>
      <c r="AH6" s="25">
        <f t="shared" ca="1" si="6"/>
        <v>152</v>
      </c>
      <c r="AI6">
        <v>45</v>
      </c>
      <c r="AJ6">
        <v>80</v>
      </c>
      <c r="AK6">
        <f t="shared" si="3"/>
        <v>35</v>
      </c>
      <c r="AL6" s="15">
        <f t="shared" ca="1" si="4"/>
        <v>12160</v>
      </c>
      <c r="AM6" s="15">
        <f t="shared" ca="1" si="5"/>
        <v>5320</v>
      </c>
    </row>
    <row r="7" spans="1:42">
      <c r="A7" s="27"/>
      <c r="B7" t="s">
        <v>24</v>
      </c>
      <c r="C7">
        <f t="shared" ca="1" si="2"/>
        <v>7</v>
      </c>
      <c r="D7">
        <f t="shared" ca="1" si="1"/>
        <v>10</v>
      </c>
      <c r="E7">
        <f t="shared" ca="1" si="1"/>
        <v>5</v>
      </c>
      <c r="F7">
        <f t="shared" ca="1" si="1"/>
        <v>10</v>
      </c>
      <c r="G7">
        <f t="shared" ca="1" si="1"/>
        <v>6</v>
      </c>
      <c r="H7">
        <f t="shared" ca="1" si="1"/>
        <v>6</v>
      </c>
      <c r="I7">
        <f t="shared" ca="1" si="1"/>
        <v>10</v>
      </c>
      <c r="J7">
        <f t="shared" ca="1" si="1"/>
        <v>4</v>
      </c>
      <c r="K7">
        <f t="shared" ca="1" si="1"/>
        <v>9</v>
      </c>
      <c r="L7">
        <f t="shared" ca="1" si="1"/>
        <v>7</v>
      </c>
      <c r="M7">
        <f t="shared" ca="1" si="1"/>
        <v>1</v>
      </c>
      <c r="N7">
        <f t="shared" ca="1" si="1"/>
        <v>1</v>
      </c>
      <c r="O7">
        <f t="shared" ca="1" si="1"/>
        <v>10</v>
      </c>
      <c r="P7">
        <f t="shared" ca="1" si="1"/>
        <v>2</v>
      </c>
      <c r="Q7">
        <f t="shared" ca="1" si="1"/>
        <v>1</v>
      </c>
      <c r="R7">
        <f t="shared" ca="1" si="1"/>
        <v>5</v>
      </c>
      <c r="S7">
        <f t="shared" ca="1" si="1"/>
        <v>8</v>
      </c>
      <c r="T7">
        <f t="shared" ca="1" si="1"/>
        <v>4</v>
      </c>
      <c r="U7">
        <f t="shared" ca="1" si="1"/>
        <v>10</v>
      </c>
      <c r="V7">
        <f t="shared" ca="1" si="1"/>
        <v>1</v>
      </c>
      <c r="W7">
        <f t="shared" ca="1" si="1"/>
        <v>9</v>
      </c>
      <c r="X7">
        <f t="shared" ca="1" si="1"/>
        <v>6</v>
      </c>
      <c r="Y7">
        <f t="shared" ca="1" si="1"/>
        <v>3</v>
      </c>
      <c r="Z7">
        <f t="shared" ca="1" si="1"/>
        <v>4</v>
      </c>
      <c r="AA7">
        <f t="shared" ca="1" si="1"/>
        <v>10</v>
      </c>
      <c r="AB7">
        <f t="shared" ca="1" si="1"/>
        <v>3</v>
      </c>
      <c r="AC7">
        <f t="shared" ca="1" si="1"/>
        <v>6</v>
      </c>
      <c r="AD7">
        <f t="shared" ca="1" si="1"/>
        <v>4</v>
      </c>
      <c r="AE7">
        <f t="shared" ca="1" si="1"/>
        <v>3</v>
      </c>
      <c r="AF7">
        <f t="shared" ca="1" si="1"/>
        <v>9</v>
      </c>
      <c r="AH7" s="25">
        <f t="shared" ca="1" si="6"/>
        <v>174</v>
      </c>
      <c r="AI7">
        <v>392</v>
      </c>
      <c r="AJ7">
        <v>420</v>
      </c>
      <c r="AK7">
        <f t="shared" si="3"/>
        <v>28</v>
      </c>
      <c r="AL7" s="15">
        <f t="shared" ca="1" si="4"/>
        <v>73080</v>
      </c>
      <c r="AM7" s="15">
        <f t="shared" ca="1" si="5"/>
        <v>4872</v>
      </c>
      <c r="AO7" s="1" t="s">
        <v>86</v>
      </c>
    </row>
    <row r="8" spans="1:42">
      <c r="A8" s="27"/>
      <c r="B8" t="s">
        <v>25</v>
      </c>
      <c r="C8">
        <f t="shared" ca="1" si="2"/>
        <v>7</v>
      </c>
      <c r="D8">
        <f t="shared" ca="1" si="2"/>
        <v>8</v>
      </c>
      <c r="E8">
        <f t="shared" ca="1" si="2"/>
        <v>6</v>
      </c>
      <c r="F8">
        <f t="shared" ca="1" si="2"/>
        <v>1</v>
      </c>
      <c r="G8">
        <f t="shared" ca="1" si="2"/>
        <v>2</v>
      </c>
      <c r="H8">
        <f t="shared" ca="1" si="2"/>
        <v>8</v>
      </c>
      <c r="I8">
        <f t="shared" ca="1" si="2"/>
        <v>3</v>
      </c>
      <c r="J8">
        <f t="shared" ca="1" si="2"/>
        <v>3</v>
      </c>
      <c r="K8">
        <f t="shared" ca="1" si="2"/>
        <v>7</v>
      </c>
      <c r="L8">
        <f t="shared" ca="1" si="2"/>
        <v>4</v>
      </c>
      <c r="M8">
        <f t="shared" ca="1" si="2"/>
        <v>3</v>
      </c>
      <c r="N8">
        <f t="shared" ca="1" si="2"/>
        <v>1</v>
      </c>
      <c r="O8">
        <f t="shared" ca="1" si="2"/>
        <v>9</v>
      </c>
      <c r="P8">
        <f t="shared" ca="1" si="2"/>
        <v>3</v>
      </c>
      <c r="Q8">
        <f t="shared" ca="1" si="2"/>
        <v>3</v>
      </c>
      <c r="R8">
        <f t="shared" ca="1" si="2"/>
        <v>6</v>
      </c>
      <c r="S8">
        <f t="shared" ca="1" si="1"/>
        <v>1</v>
      </c>
      <c r="T8">
        <f t="shared" ca="1" si="1"/>
        <v>4</v>
      </c>
      <c r="U8">
        <f t="shared" ca="1" si="1"/>
        <v>3</v>
      </c>
      <c r="V8">
        <f t="shared" ca="1" si="1"/>
        <v>3</v>
      </c>
      <c r="W8">
        <f t="shared" ca="1" si="1"/>
        <v>6</v>
      </c>
      <c r="X8">
        <f t="shared" ca="1" si="1"/>
        <v>10</v>
      </c>
      <c r="Y8">
        <f t="shared" ca="1" si="1"/>
        <v>8</v>
      </c>
      <c r="Z8">
        <f t="shared" ca="1" si="1"/>
        <v>9</v>
      </c>
      <c r="AA8">
        <f t="shared" ca="1" si="1"/>
        <v>1</v>
      </c>
      <c r="AB8">
        <f t="shared" ca="1" si="1"/>
        <v>4</v>
      </c>
      <c r="AC8">
        <f t="shared" ca="1" si="1"/>
        <v>10</v>
      </c>
      <c r="AD8">
        <f t="shared" ca="1" si="1"/>
        <v>1</v>
      </c>
      <c r="AE8">
        <f t="shared" ca="1" si="1"/>
        <v>8</v>
      </c>
      <c r="AF8">
        <f t="shared" ca="1" si="1"/>
        <v>10</v>
      </c>
      <c r="AH8" s="25">
        <f t="shared" ca="1" si="6"/>
        <v>152</v>
      </c>
      <c r="AI8">
        <v>86</v>
      </c>
      <c r="AJ8">
        <v>100</v>
      </c>
      <c r="AK8">
        <f t="shared" si="3"/>
        <v>14</v>
      </c>
      <c r="AL8" s="15">
        <f t="shared" ca="1" si="4"/>
        <v>15200</v>
      </c>
      <c r="AM8" s="15">
        <f t="shared" ca="1" si="5"/>
        <v>2128</v>
      </c>
      <c r="AO8" t="s">
        <v>87</v>
      </c>
    </row>
    <row r="9" spans="1:42">
      <c r="A9" s="27"/>
      <c r="B9" t="s">
        <v>26</v>
      </c>
      <c r="C9">
        <f t="shared" ca="1" si="2"/>
        <v>10</v>
      </c>
      <c r="D9">
        <f t="shared" ca="1" si="1"/>
        <v>8</v>
      </c>
      <c r="E9">
        <f t="shared" ca="1" si="1"/>
        <v>7</v>
      </c>
      <c r="F9">
        <f t="shared" ca="1" si="1"/>
        <v>2</v>
      </c>
      <c r="G9">
        <f t="shared" ca="1" si="1"/>
        <v>5</v>
      </c>
      <c r="H9">
        <f t="shared" ca="1" si="1"/>
        <v>4</v>
      </c>
      <c r="I9">
        <f t="shared" ca="1" si="1"/>
        <v>4</v>
      </c>
      <c r="J9">
        <f t="shared" ca="1" si="1"/>
        <v>6</v>
      </c>
      <c r="K9">
        <f t="shared" ca="1" si="1"/>
        <v>6</v>
      </c>
      <c r="L9">
        <f t="shared" ca="1" si="1"/>
        <v>4</v>
      </c>
      <c r="M9">
        <f t="shared" ca="1" si="1"/>
        <v>1</v>
      </c>
      <c r="N9">
        <f t="shared" ca="1" si="1"/>
        <v>3</v>
      </c>
      <c r="O9">
        <f t="shared" ca="1" si="1"/>
        <v>5</v>
      </c>
      <c r="P9">
        <f t="shared" ca="1" si="1"/>
        <v>7</v>
      </c>
      <c r="Q9">
        <f t="shared" ca="1" si="1"/>
        <v>8</v>
      </c>
      <c r="R9">
        <f t="shared" ca="1" si="1"/>
        <v>3</v>
      </c>
      <c r="S9">
        <f t="shared" ca="1" si="1"/>
        <v>9</v>
      </c>
      <c r="T9">
        <f t="shared" ca="1" si="1"/>
        <v>4</v>
      </c>
      <c r="U9">
        <f t="shared" ca="1" si="1"/>
        <v>10</v>
      </c>
      <c r="V9">
        <f t="shared" ca="1" si="1"/>
        <v>7</v>
      </c>
      <c r="W9">
        <f t="shared" ca="1" si="1"/>
        <v>7</v>
      </c>
      <c r="X9">
        <f t="shared" ca="1" si="1"/>
        <v>7</v>
      </c>
      <c r="Y9">
        <f t="shared" ca="1" si="1"/>
        <v>2</v>
      </c>
      <c r="Z9">
        <f t="shared" ca="1" si="1"/>
        <v>10</v>
      </c>
      <c r="AA9">
        <f t="shared" ca="1" si="1"/>
        <v>5</v>
      </c>
      <c r="AB9">
        <f t="shared" ca="1" si="1"/>
        <v>8</v>
      </c>
      <c r="AC9">
        <f t="shared" ca="1" si="1"/>
        <v>4</v>
      </c>
      <c r="AD9">
        <f t="shared" ca="1" si="1"/>
        <v>1</v>
      </c>
      <c r="AE9">
        <f t="shared" ca="1" si="1"/>
        <v>1</v>
      </c>
      <c r="AF9">
        <f t="shared" ca="1" si="1"/>
        <v>6</v>
      </c>
      <c r="AH9" s="25">
        <f t="shared" ca="1" si="6"/>
        <v>164</v>
      </c>
      <c r="AI9">
        <v>271</v>
      </c>
      <c r="AJ9">
        <v>300</v>
      </c>
      <c r="AK9">
        <f t="shared" si="3"/>
        <v>29</v>
      </c>
      <c r="AL9" s="15">
        <f t="shared" ca="1" si="4"/>
        <v>49200</v>
      </c>
      <c r="AM9" s="15">
        <f t="shared" ca="1" si="5"/>
        <v>4756</v>
      </c>
      <c r="AO9" t="s">
        <v>88</v>
      </c>
      <c r="AP9" s="13">
        <f>'Attendence (June)'!AL3</f>
        <v>48333.333333333336</v>
      </c>
    </row>
    <row r="10" spans="1:42">
      <c r="A10" s="27"/>
      <c r="B10" t="s">
        <v>27</v>
      </c>
      <c r="C10">
        <f t="shared" ca="1" si="2"/>
        <v>1</v>
      </c>
      <c r="D10">
        <f t="shared" ca="1" si="1"/>
        <v>3</v>
      </c>
      <c r="E10">
        <f t="shared" ca="1" si="1"/>
        <v>5</v>
      </c>
      <c r="F10">
        <f t="shared" ca="1" si="1"/>
        <v>6</v>
      </c>
      <c r="G10">
        <f t="shared" ca="1" si="1"/>
        <v>8</v>
      </c>
      <c r="H10">
        <f t="shared" ca="1" si="1"/>
        <v>8</v>
      </c>
      <c r="I10">
        <f t="shared" ca="1" si="1"/>
        <v>4</v>
      </c>
      <c r="J10">
        <f t="shared" ca="1" si="1"/>
        <v>1</v>
      </c>
      <c r="K10">
        <f t="shared" ca="1" si="1"/>
        <v>5</v>
      </c>
      <c r="L10">
        <f t="shared" ca="1" si="1"/>
        <v>9</v>
      </c>
      <c r="M10">
        <f t="shared" ca="1" si="1"/>
        <v>4</v>
      </c>
      <c r="N10">
        <f t="shared" ca="1" si="1"/>
        <v>1</v>
      </c>
      <c r="O10">
        <f t="shared" ca="1" si="1"/>
        <v>10</v>
      </c>
      <c r="P10">
        <f t="shared" ca="1" si="1"/>
        <v>6</v>
      </c>
      <c r="Q10">
        <f t="shared" ca="1" si="1"/>
        <v>2</v>
      </c>
      <c r="R10">
        <f t="shared" ca="1" si="1"/>
        <v>3</v>
      </c>
      <c r="S10">
        <f t="shared" ca="1" si="1"/>
        <v>10</v>
      </c>
      <c r="T10">
        <f t="shared" ca="1" si="1"/>
        <v>10</v>
      </c>
      <c r="U10">
        <f t="shared" ca="1" si="1"/>
        <v>6</v>
      </c>
      <c r="V10">
        <f t="shared" ca="1" si="1"/>
        <v>4</v>
      </c>
      <c r="W10">
        <f t="shared" ca="1" si="1"/>
        <v>8</v>
      </c>
      <c r="X10">
        <f t="shared" ca="1" si="1"/>
        <v>8</v>
      </c>
      <c r="Y10">
        <f t="shared" ca="1" si="1"/>
        <v>8</v>
      </c>
      <c r="Z10">
        <f t="shared" ca="1" si="1"/>
        <v>6</v>
      </c>
      <c r="AA10">
        <f t="shared" ca="1" si="1"/>
        <v>4</v>
      </c>
      <c r="AB10">
        <f t="shared" ca="1" si="1"/>
        <v>4</v>
      </c>
      <c r="AC10">
        <f t="shared" ca="1" si="1"/>
        <v>7</v>
      </c>
      <c r="AD10">
        <f t="shared" ca="1" si="1"/>
        <v>3</v>
      </c>
      <c r="AE10">
        <f t="shared" ca="1" si="1"/>
        <v>4</v>
      </c>
      <c r="AF10">
        <f t="shared" ca="1" si="1"/>
        <v>9</v>
      </c>
      <c r="AH10" s="25">
        <f t="shared" ca="1" si="6"/>
        <v>167</v>
      </c>
      <c r="AI10">
        <v>226</v>
      </c>
      <c r="AJ10">
        <v>250</v>
      </c>
      <c r="AK10">
        <f t="shared" si="3"/>
        <v>24</v>
      </c>
      <c r="AL10" s="15">
        <f t="shared" ca="1" si="4"/>
        <v>41750</v>
      </c>
      <c r="AM10" s="15">
        <f t="shared" ca="1" si="5"/>
        <v>4008</v>
      </c>
      <c r="AO10" t="s">
        <v>89</v>
      </c>
      <c r="AP10" s="13">
        <f>'Attendence (June)'!AL4</f>
        <v>14000</v>
      </c>
    </row>
    <row r="11" spans="1:42">
      <c r="A11" s="27"/>
      <c r="B11" t="s">
        <v>28</v>
      </c>
      <c r="C11">
        <f t="shared" ca="1" si="2"/>
        <v>3</v>
      </c>
      <c r="D11">
        <f t="shared" ca="1" si="1"/>
        <v>6</v>
      </c>
      <c r="E11">
        <f t="shared" ca="1" si="1"/>
        <v>5</v>
      </c>
      <c r="F11">
        <f t="shared" ca="1" si="1"/>
        <v>2</v>
      </c>
      <c r="G11">
        <f t="shared" ca="1" si="1"/>
        <v>10</v>
      </c>
      <c r="H11">
        <f t="shared" ca="1" si="1"/>
        <v>8</v>
      </c>
      <c r="I11">
        <f t="shared" ca="1" si="1"/>
        <v>10</v>
      </c>
      <c r="J11">
        <f t="shared" ca="1" si="1"/>
        <v>10</v>
      </c>
      <c r="K11">
        <f t="shared" ca="1" si="1"/>
        <v>3</v>
      </c>
      <c r="L11">
        <f t="shared" ca="1" si="1"/>
        <v>3</v>
      </c>
      <c r="M11">
        <f t="shared" ca="1" si="1"/>
        <v>2</v>
      </c>
      <c r="N11">
        <f t="shared" ca="1" si="1"/>
        <v>5</v>
      </c>
      <c r="O11">
        <f t="shared" ca="1" si="1"/>
        <v>1</v>
      </c>
      <c r="P11">
        <f t="shared" ca="1" si="1"/>
        <v>8</v>
      </c>
      <c r="Q11">
        <f t="shared" ca="1" si="1"/>
        <v>4</v>
      </c>
      <c r="R11">
        <f t="shared" ca="1" si="1"/>
        <v>7</v>
      </c>
      <c r="S11">
        <f t="shared" ca="1" si="1"/>
        <v>6</v>
      </c>
      <c r="T11">
        <f t="shared" ca="1" si="1"/>
        <v>7</v>
      </c>
      <c r="U11">
        <f t="shared" ca="1" si="1"/>
        <v>8</v>
      </c>
      <c r="V11">
        <f t="shared" ca="1" si="1"/>
        <v>1</v>
      </c>
      <c r="W11">
        <f t="shared" ca="1" si="1"/>
        <v>4</v>
      </c>
      <c r="X11">
        <f t="shared" ca="1" si="1"/>
        <v>6</v>
      </c>
      <c r="Y11">
        <f t="shared" ca="1" si="1"/>
        <v>5</v>
      </c>
      <c r="Z11">
        <f t="shared" ca="1" si="1"/>
        <v>4</v>
      </c>
      <c r="AA11">
        <f t="shared" ca="1" si="1"/>
        <v>4</v>
      </c>
      <c r="AB11">
        <f t="shared" ca="1" si="1"/>
        <v>7</v>
      </c>
      <c r="AC11">
        <f t="shared" ca="1" si="1"/>
        <v>2</v>
      </c>
      <c r="AD11">
        <f t="shared" ca="1" si="1"/>
        <v>3</v>
      </c>
      <c r="AE11">
        <f t="shared" ca="1" si="1"/>
        <v>5</v>
      </c>
      <c r="AF11">
        <f t="shared" ca="1" si="1"/>
        <v>3</v>
      </c>
      <c r="AH11" s="25">
        <f t="shared" ca="1" si="6"/>
        <v>152</v>
      </c>
      <c r="AI11">
        <v>390</v>
      </c>
      <c r="AJ11">
        <v>450</v>
      </c>
      <c r="AK11">
        <f t="shared" si="3"/>
        <v>60</v>
      </c>
      <c r="AL11" s="15">
        <f t="shared" ca="1" si="4"/>
        <v>68400</v>
      </c>
      <c r="AM11" s="15">
        <f t="shared" ca="1" si="5"/>
        <v>9120</v>
      </c>
      <c r="AO11" t="s">
        <v>90</v>
      </c>
      <c r="AP11" s="13">
        <f>'Attendence (June)'!AL5</f>
        <v>17400</v>
      </c>
    </row>
    <row r="12" spans="1:42">
      <c r="A12" s="27"/>
      <c r="B12" t="s">
        <v>29</v>
      </c>
      <c r="C12">
        <f t="shared" ca="1" si="2"/>
        <v>7</v>
      </c>
      <c r="D12">
        <f t="shared" ca="1" si="1"/>
        <v>9</v>
      </c>
      <c r="E12">
        <f t="shared" ca="1" si="1"/>
        <v>6</v>
      </c>
      <c r="F12">
        <f t="shared" ca="1" si="1"/>
        <v>7</v>
      </c>
      <c r="G12">
        <f t="shared" ca="1" si="1"/>
        <v>2</v>
      </c>
      <c r="H12">
        <f t="shared" ca="1" si="1"/>
        <v>6</v>
      </c>
      <c r="I12">
        <f t="shared" ca="1" si="1"/>
        <v>4</v>
      </c>
      <c r="J12">
        <f t="shared" ca="1" si="1"/>
        <v>8</v>
      </c>
      <c r="K12">
        <f t="shared" ca="1" si="1"/>
        <v>2</v>
      </c>
      <c r="L12">
        <f t="shared" ca="1" si="1"/>
        <v>6</v>
      </c>
      <c r="M12">
        <f t="shared" ca="1" si="1"/>
        <v>1</v>
      </c>
      <c r="N12">
        <f t="shared" ca="1" si="1"/>
        <v>9</v>
      </c>
      <c r="O12">
        <f t="shared" ca="1" si="1"/>
        <v>6</v>
      </c>
      <c r="P12">
        <f t="shared" ca="1" si="1"/>
        <v>6</v>
      </c>
      <c r="Q12">
        <f t="shared" ca="1" si="1"/>
        <v>3</v>
      </c>
      <c r="R12">
        <f t="shared" ca="1" si="1"/>
        <v>8</v>
      </c>
      <c r="S12">
        <f t="shared" ref="S12:AF27" ca="1" si="7">RANDBETWEEN(1,10)</f>
        <v>8</v>
      </c>
      <c r="T12">
        <f t="shared" ca="1" si="7"/>
        <v>4</v>
      </c>
      <c r="U12">
        <f t="shared" ca="1" si="7"/>
        <v>3</v>
      </c>
      <c r="V12">
        <f t="shared" ca="1" si="7"/>
        <v>9</v>
      </c>
      <c r="W12">
        <f t="shared" ca="1" si="7"/>
        <v>10</v>
      </c>
      <c r="X12">
        <f t="shared" ca="1" si="7"/>
        <v>3</v>
      </c>
      <c r="Y12">
        <f t="shared" ca="1" si="7"/>
        <v>2</v>
      </c>
      <c r="Z12">
        <f t="shared" ca="1" si="7"/>
        <v>6</v>
      </c>
      <c r="AA12">
        <f t="shared" ca="1" si="7"/>
        <v>6</v>
      </c>
      <c r="AB12">
        <f t="shared" ca="1" si="7"/>
        <v>3</v>
      </c>
      <c r="AC12">
        <f t="shared" ca="1" si="7"/>
        <v>8</v>
      </c>
      <c r="AD12">
        <f t="shared" ca="1" si="7"/>
        <v>6</v>
      </c>
      <c r="AE12">
        <f t="shared" ca="1" si="7"/>
        <v>5</v>
      </c>
      <c r="AF12">
        <f t="shared" ca="1" si="7"/>
        <v>4</v>
      </c>
      <c r="AH12" s="25">
        <f t="shared" ca="1" si="6"/>
        <v>167</v>
      </c>
      <c r="AI12">
        <v>379</v>
      </c>
      <c r="AJ12">
        <v>430</v>
      </c>
      <c r="AK12">
        <f t="shared" si="3"/>
        <v>51</v>
      </c>
      <c r="AL12" s="15">
        <f t="shared" ca="1" si="4"/>
        <v>71810</v>
      </c>
      <c r="AM12" s="15">
        <f t="shared" ca="1" si="5"/>
        <v>8517</v>
      </c>
      <c r="AO12" t="s">
        <v>91</v>
      </c>
      <c r="AP12" s="13">
        <f>'Attendence (June)'!AL6</f>
        <v>9333.3333333333321</v>
      </c>
    </row>
    <row r="13" spans="1:42">
      <c r="A13" s="27"/>
      <c r="B13" t="s">
        <v>30</v>
      </c>
      <c r="C13">
        <f t="shared" ca="1" si="2"/>
        <v>5</v>
      </c>
      <c r="D13">
        <f t="shared" ca="1" si="2"/>
        <v>1</v>
      </c>
      <c r="E13">
        <f t="shared" ca="1" si="2"/>
        <v>7</v>
      </c>
      <c r="F13">
        <f t="shared" ca="1" si="2"/>
        <v>4</v>
      </c>
      <c r="G13">
        <f t="shared" ca="1" si="2"/>
        <v>4</v>
      </c>
      <c r="H13">
        <f t="shared" ca="1" si="2"/>
        <v>2</v>
      </c>
      <c r="I13">
        <f t="shared" ca="1" si="2"/>
        <v>6</v>
      </c>
      <c r="J13">
        <f t="shared" ca="1" si="2"/>
        <v>2</v>
      </c>
      <c r="K13">
        <f t="shared" ca="1" si="2"/>
        <v>10</v>
      </c>
      <c r="L13">
        <f t="shared" ca="1" si="2"/>
        <v>8</v>
      </c>
      <c r="M13">
        <f t="shared" ca="1" si="2"/>
        <v>9</v>
      </c>
      <c r="N13">
        <f t="shared" ca="1" si="2"/>
        <v>1</v>
      </c>
      <c r="O13">
        <f t="shared" ca="1" si="2"/>
        <v>7</v>
      </c>
      <c r="P13">
        <f t="shared" ca="1" si="2"/>
        <v>2</v>
      </c>
      <c r="Q13">
        <f t="shared" ca="1" si="2"/>
        <v>6</v>
      </c>
      <c r="R13">
        <f t="shared" ca="1" si="2"/>
        <v>9</v>
      </c>
      <c r="S13">
        <f t="shared" ca="1" si="7"/>
        <v>9</v>
      </c>
      <c r="T13">
        <f t="shared" ca="1" si="7"/>
        <v>8</v>
      </c>
      <c r="U13">
        <f t="shared" ca="1" si="7"/>
        <v>1</v>
      </c>
      <c r="V13">
        <f t="shared" ca="1" si="7"/>
        <v>2</v>
      </c>
      <c r="W13">
        <f t="shared" ca="1" si="7"/>
        <v>3</v>
      </c>
      <c r="X13">
        <f t="shared" ca="1" si="7"/>
        <v>5</v>
      </c>
      <c r="Y13">
        <f t="shared" ca="1" si="7"/>
        <v>10</v>
      </c>
      <c r="Z13">
        <f t="shared" ca="1" si="7"/>
        <v>9</v>
      </c>
      <c r="AA13">
        <f t="shared" ca="1" si="7"/>
        <v>9</v>
      </c>
      <c r="AB13">
        <f t="shared" ca="1" si="7"/>
        <v>2</v>
      </c>
      <c r="AC13">
        <f t="shared" ca="1" si="7"/>
        <v>4</v>
      </c>
      <c r="AD13">
        <f t="shared" ca="1" si="7"/>
        <v>5</v>
      </c>
      <c r="AE13">
        <f t="shared" ca="1" si="7"/>
        <v>6</v>
      </c>
      <c r="AF13">
        <f t="shared" ca="1" si="7"/>
        <v>7</v>
      </c>
      <c r="AH13" s="25">
        <f t="shared" ca="1" si="6"/>
        <v>163</v>
      </c>
      <c r="AI13">
        <v>368</v>
      </c>
      <c r="AJ13">
        <v>435</v>
      </c>
      <c r="AK13">
        <f t="shared" si="3"/>
        <v>67</v>
      </c>
      <c r="AL13" s="15">
        <f t="shared" ca="1" si="4"/>
        <v>70905</v>
      </c>
      <c r="AM13" s="15">
        <f t="shared" ca="1" si="5"/>
        <v>10921</v>
      </c>
      <c r="AO13" t="s">
        <v>92</v>
      </c>
      <c r="AP13" s="13">
        <v>10000</v>
      </c>
    </row>
    <row r="14" spans="1:42">
      <c r="A14" s="27"/>
      <c r="B14" t="s">
        <v>31</v>
      </c>
      <c r="C14">
        <f t="shared" ca="1" si="2"/>
        <v>5</v>
      </c>
      <c r="D14">
        <f t="shared" ca="1" si="2"/>
        <v>8</v>
      </c>
      <c r="E14">
        <f t="shared" ca="1" si="2"/>
        <v>5</v>
      </c>
      <c r="F14">
        <f t="shared" ca="1" si="2"/>
        <v>8</v>
      </c>
      <c r="G14">
        <f t="shared" ca="1" si="2"/>
        <v>2</v>
      </c>
      <c r="H14">
        <f t="shared" ca="1" si="2"/>
        <v>8</v>
      </c>
      <c r="I14">
        <f t="shared" ca="1" si="2"/>
        <v>10</v>
      </c>
      <c r="J14">
        <f t="shared" ca="1" si="2"/>
        <v>2</v>
      </c>
      <c r="K14">
        <f t="shared" ca="1" si="2"/>
        <v>2</v>
      </c>
      <c r="L14">
        <f t="shared" ca="1" si="2"/>
        <v>7</v>
      </c>
      <c r="M14">
        <f t="shared" ca="1" si="2"/>
        <v>3</v>
      </c>
      <c r="N14">
        <f t="shared" ca="1" si="2"/>
        <v>5</v>
      </c>
      <c r="O14">
        <f t="shared" ca="1" si="2"/>
        <v>2</v>
      </c>
      <c r="P14">
        <f t="shared" ca="1" si="2"/>
        <v>7</v>
      </c>
      <c r="Q14">
        <f t="shared" ca="1" si="2"/>
        <v>9</v>
      </c>
      <c r="R14">
        <f t="shared" ca="1" si="2"/>
        <v>9</v>
      </c>
      <c r="S14">
        <f t="shared" ca="1" si="7"/>
        <v>7</v>
      </c>
      <c r="T14">
        <f t="shared" ca="1" si="7"/>
        <v>8</v>
      </c>
      <c r="U14">
        <f t="shared" ca="1" si="7"/>
        <v>1</v>
      </c>
      <c r="V14">
        <f t="shared" ca="1" si="7"/>
        <v>6</v>
      </c>
      <c r="W14">
        <f t="shared" ca="1" si="7"/>
        <v>2</v>
      </c>
      <c r="X14">
        <f t="shared" ca="1" si="7"/>
        <v>9</v>
      </c>
      <c r="Y14">
        <f t="shared" ca="1" si="7"/>
        <v>1</v>
      </c>
      <c r="Z14">
        <f t="shared" ca="1" si="7"/>
        <v>4</v>
      </c>
      <c r="AA14">
        <f t="shared" ca="1" si="7"/>
        <v>6</v>
      </c>
      <c r="AB14">
        <f t="shared" ca="1" si="7"/>
        <v>2</v>
      </c>
      <c r="AC14">
        <f t="shared" ca="1" si="7"/>
        <v>6</v>
      </c>
      <c r="AD14">
        <f t="shared" ca="1" si="7"/>
        <v>3</v>
      </c>
      <c r="AE14">
        <f t="shared" ca="1" si="7"/>
        <v>7</v>
      </c>
      <c r="AF14">
        <f t="shared" ca="1" si="7"/>
        <v>9</v>
      </c>
      <c r="AH14" s="25">
        <f t="shared" ca="1" si="6"/>
        <v>163</v>
      </c>
      <c r="AI14">
        <v>88</v>
      </c>
      <c r="AJ14">
        <v>99</v>
      </c>
      <c r="AK14">
        <f t="shared" si="3"/>
        <v>11</v>
      </c>
      <c r="AL14" s="15">
        <f t="shared" ca="1" si="4"/>
        <v>16137</v>
      </c>
      <c r="AM14" s="15">
        <f t="shared" ca="1" si="5"/>
        <v>1793</v>
      </c>
      <c r="AO14" t="s">
        <v>93</v>
      </c>
      <c r="AP14" s="13">
        <v>2000</v>
      </c>
    </row>
    <row r="15" spans="1:42">
      <c r="A15" s="27"/>
      <c r="B15" t="s">
        <v>32</v>
      </c>
      <c r="C15">
        <f t="shared" ca="1" si="2"/>
        <v>7</v>
      </c>
      <c r="D15">
        <f t="shared" ca="1" si="2"/>
        <v>5</v>
      </c>
      <c r="E15">
        <f t="shared" ca="1" si="2"/>
        <v>7</v>
      </c>
      <c r="F15">
        <f t="shared" ca="1" si="2"/>
        <v>1</v>
      </c>
      <c r="G15">
        <f t="shared" ca="1" si="2"/>
        <v>5</v>
      </c>
      <c r="H15">
        <f t="shared" ca="1" si="2"/>
        <v>2</v>
      </c>
      <c r="I15">
        <f t="shared" ca="1" si="2"/>
        <v>5</v>
      </c>
      <c r="J15">
        <f t="shared" ca="1" si="2"/>
        <v>9</v>
      </c>
      <c r="K15">
        <f t="shared" ca="1" si="2"/>
        <v>6</v>
      </c>
      <c r="L15">
        <f t="shared" ca="1" si="2"/>
        <v>6</v>
      </c>
      <c r="M15">
        <f t="shared" ca="1" si="2"/>
        <v>2</v>
      </c>
      <c r="N15">
        <f t="shared" ca="1" si="2"/>
        <v>2</v>
      </c>
      <c r="O15">
        <f t="shared" ca="1" si="2"/>
        <v>2</v>
      </c>
      <c r="P15">
        <f t="shared" ca="1" si="2"/>
        <v>2</v>
      </c>
      <c r="Q15">
        <f t="shared" ca="1" si="2"/>
        <v>1</v>
      </c>
      <c r="R15">
        <f t="shared" ca="1" si="2"/>
        <v>10</v>
      </c>
      <c r="S15">
        <f t="shared" ca="1" si="7"/>
        <v>6</v>
      </c>
      <c r="T15">
        <f t="shared" ca="1" si="7"/>
        <v>10</v>
      </c>
      <c r="U15">
        <f t="shared" ca="1" si="7"/>
        <v>10</v>
      </c>
      <c r="V15">
        <f t="shared" ca="1" si="7"/>
        <v>1</v>
      </c>
      <c r="W15">
        <f t="shared" ca="1" si="7"/>
        <v>4</v>
      </c>
      <c r="X15">
        <f t="shared" ca="1" si="7"/>
        <v>3</v>
      </c>
      <c r="Y15">
        <f t="shared" ca="1" si="7"/>
        <v>4</v>
      </c>
      <c r="Z15">
        <f t="shared" ca="1" si="7"/>
        <v>3</v>
      </c>
      <c r="AA15">
        <f t="shared" ca="1" si="7"/>
        <v>1</v>
      </c>
      <c r="AB15">
        <f t="shared" ca="1" si="7"/>
        <v>8</v>
      </c>
      <c r="AC15">
        <f t="shared" ca="1" si="7"/>
        <v>1</v>
      </c>
      <c r="AD15">
        <f t="shared" ca="1" si="7"/>
        <v>3</v>
      </c>
      <c r="AE15">
        <f t="shared" ca="1" si="7"/>
        <v>9</v>
      </c>
      <c r="AF15">
        <f t="shared" ca="1" si="7"/>
        <v>10</v>
      </c>
      <c r="AH15" s="25">
        <f t="shared" ca="1" si="6"/>
        <v>145</v>
      </c>
      <c r="AI15">
        <v>391</v>
      </c>
      <c r="AJ15">
        <v>500</v>
      </c>
      <c r="AK15">
        <f t="shared" si="3"/>
        <v>109</v>
      </c>
      <c r="AL15" s="15">
        <f t="shared" ca="1" si="4"/>
        <v>72500</v>
      </c>
      <c r="AM15" s="15">
        <f t="shared" ca="1" si="5"/>
        <v>15805</v>
      </c>
      <c r="AO15" t="s">
        <v>80</v>
      </c>
      <c r="AP15" s="13">
        <f ca="1">SUM(AM3:AM57)</f>
        <v>285537</v>
      </c>
    </row>
    <row r="16" spans="1:42">
      <c r="A16" s="27"/>
      <c r="B16" t="s">
        <v>33</v>
      </c>
      <c r="C16">
        <f t="shared" ca="1" si="2"/>
        <v>7</v>
      </c>
      <c r="D16">
        <f t="shared" ca="1" si="2"/>
        <v>9</v>
      </c>
      <c r="E16">
        <f t="shared" ca="1" si="2"/>
        <v>5</v>
      </c>
      <c r="F16">
        <f t="shared" ca="1" si="2"/>
        <v>9</v>
      </c>
      <c r="G16">
        <f t="shared" ca="1" si="2"/>
        <v>10</v>
      </c>
      <c r="H16">
        <f t="shared" ca="1" si="2"/>
        <v>6</v>
      </c>
      <c r="I16">
        <f t="shared" ca="1" si="2"/>
        <v>9</v>
      </c>
      <c r="J16">
        <f t="shared" ca="1" si="2"/>
        <v>4</v>
      </c>
      <c r="K16">
        <f t="shared" ca="1" si="2"/>
        <v>2</v>
      </c>
      <c r="L16">
        <f t="shared" ca="1" si="2"/>
        <v>1</v>
      </c>
      <c r="M16">
        <f t="shared" ca="1" si="2"/>
        <v>3</v>
      </c>
      <c r="N16">
        <f t="shared" ca="1" si="2"/>
        <v>5</v>
      </c>
      <c r="O16">
        <f t="shared" ca="1" si="2"/>
        <v>4</v>
      </c>
      <c r="P16">
        <f t="shared" ca="1" si="2"/>
        <v>9</v>
      </c>
      <c r="Q16">
        <f t="shared" ca="1" si="2"/>
        <v>7</v>
      </c>
      <c r="R16">
        <f t="shared" ca="1" si="2"/>
        <v>4</v>
      </c>
      <c r="S16">
        <f t="shared" ca="1" si="7"/>
        <v>6</v>
      </c>
      <c r="T16">
        <f t="shared" ca="1" si="7"/>
        <v>6</v>
      </c>
      <c r="U16">
        <f t="shared" ca="1" si="7"/>
        <v>7</v>
      </c>
      <c r="V16">
        <f t="shared" ca="1" si="7"/>
        <v>8</v>
      </c>
      <c r="W16">
        <f t="shared" ca="1" si="7"/>
        <v>10</v>
      </c>
      <c r="X16">
        <f t="shared" ca="1" si="7"/>
        <v>1</v>
      </c>
      <c r="Y16">
        <f t="shared" ca="1" si="7"/>
        <v>2</v>
      </c>
      <c r="Z16">
        <f t="shared" ca="1" si="7"/>
        <v>3</v>
      </c>
      <c r="AA16">
        <f t="shared" ca="1" si="7"/>
        <v>10</v>
      </c>
      <c r="AB16">
        <f t="shared" ca="1" si="7"/>
        <v>1</v>
      </c>
      <c r="AC16">
        <f t="shared" ca="1" si="7"/>
        <v>8</v>
      </c>
      <c r="AD16">
        <f t="shared" ca="1" si="7"/>
        <v>3</v>
      </c>
      <c r="AE16">
        <f t="shared" ca="1" si="7"/>
        <v>5</v>
      </c>
      <c r="AF16">
        <f t="shared" ca="1" si="7"/>
        <v>2</v>
      </c>
      <c r="AH16" s="25">
        <f t="shared" ca="1" si="6"/>
        <v>166</v>
      </c>
      <c r="AI16">
        <v>261</v>
      </c>
      <c r="AJ16">
        <v>300</v>
      </c>
      <c r="AK16">
        <f t="shared" si="3"/>
        <v>39</v>
      </c>
      <c r="AL16" s="15">
        <f t="shared" ca="1" si="4"/>
        <v>49800</v>
      </c>
      <c r="AM16" s="15">
        <f t="shared" ca="1" si="5"/>
        <v>6474</v>
      </c>
      <c r="AO16" s="1" t="s">
        <v>94</v>
      </c>
      <c r="AP16" s="14">
        <f ca="1">AP15-(AP9+AP10+AP11+AP12+AP13+AP14)</f>
        <v>184470.33333333331</v>
      </c>
    </row>
    <row r="17" spans="1:39">
      <c r="A17" s="27"/>
      <c r="B17" t="s">
        <v>34</v>
      </c>
      <c r="C17">
        <f t="shared" ca="1" si="2"/>
        <v>7</v>
      </c>
      <c r="D17">
        <f t="shared" ca="1" si="2"/>
        <v>9</v>
      </c>
      <c r="E17">
        <f t="shared" ca="1" si="2"/>
        <v>9</v>
      </c>
      <c r="F17">
        <f t="shared" ca="1" si="2"/>
        <v>3</v>
      </c>
      <c r="G17">
        <f t="shared" ca="1" si="2"/>
        <v>6</v>
      </c>
      <c r="H17">
        <f t="shared" ca="1" si="2"/>
        <v>7</v>
      </c>
      <c r="I17">
        <f t="shared" ca="1" si="2"/>
        <v>5</v>
      </c>
      <c r="J17">
        <f t="shared" ca="1" si="2"/>
        <v>1</v>
      </c>
      <c r="K17">
        <f t="shared" ca="1" si="2"/>
        <v>1</v>
      </c>
      <c r="L17">
        <f t="shared" ca="1" si="2"/>
        <v>6</v>
      </c>
      <c r="M17">
        <f t="shared" ca="1" si="2"/>
        <v>2</v>
      </c>
      <c r="N17">
        <f t="shared" ca="1" si="2"/>
        <v>10</v>
      </c>
      <c r="O17">
        <f t="shared" ca="1" si="2"/>
        <v>10</v>
      </c>
      <c r="P17">
        <f t="shared" ca="1" si="2"/>
        <v>2</v>
      </c>
      <c r="Q17">
        <f t="shared" ca="1" si="2"/>
        <v>9</v>
      </c>
      <c r="R17">
        <f t="shared" ca="1" si="2"/>
        <v>9</v>
      </c>
      <c r="S17">
        <f t="shared" ca="1" si="7"/>
        <v>5</v>
      </c>
      <c r="T17">
        <f t="shared" ca="1" si="7"/>
        <v>1</v>
      </c>
      <c r="U17">
        <f t="shared" ca="1" si="7"/>
        <v>5</v>
      </c>
      <c r="V17">
        <f t="shared" ca="1" si="7"/>
        <v>5</v>
      </c>
      <c r="W17">
        <f t="shared" ca="1" si="7"/>
        <v>9</v>
      </c>
      <c r="X17">
        <f t="shared" ca="1" si="7"/>
        <v>8</v>
      </c>
      <c r="Y17">
        <f t="shared" ca="1" si="7"/>
        <v>4</v>
      </c>
      <c r="Z17">
        <f t="shared" ca="1" si="7"/>
        <v>8</v>
      </c>
      <c r="AA17">
        <f t="shared" ca="1" si="7"/>
        <v>2</v>
      </c>
      <c r="AB17">
        <f t="shared" ca="1" si="7"/>
        <v>10</v>
      </c>
      <c r="AC17">
        <f t="shared" ca="1" si="7"/>
        <v>6</v>
      </c>
      <c r="AD17">
        <f t="shared" ca="1" si="7"/>
        <v>9</v>
      </c>
      <c r="AE17">
        <f t="shared" ca="1" si="7"/>
        <v>9</v>
      </c>
      <c r="AF17">
        <f t="shared" ca="1" si="7"/>
        <v>5</v>
      </c>
      <c r="AH17" s="25">
        <f t="shared" ca="1" si="6"/>
        <v>182</v>
      </c>
      <c r="AI17">
        <v>67</v>
      </c>
      <c r="AJ17">
        <v>99</v>
      </c>
      <c r="AK17">
        <f t="shared" si="3"/>
        <v>32</v>
      </c>
      <c r="AL17" s="15">
        <f t="shared" ca="1" si="4"/>
        <v>18018</v>
      </c>
      <c r="AM17" s="15">
        <f t="shared" ca="1" si="5"/>
        <v>5824</v>
      </c>
    </row>
    <row r="18" spans="1:39">
      <c r="A18" s="27"/>
      <c r="B18" t="s">
        <v>35</v>
      </c>
      <c r="C18">
        <f t="shared" ca="1" si="2"/>
        <v>3</v>
      </c>
      <c r="D18">
        <f t="shared" ca="1" si="2"/>
        <v>6</v>
      </c>
      <c r="E18">
        <f t="shared" ca="1" si="2"/>
        <v>9</v>
      </c>
      <c r="F18">
        <f t="shared" ca="1" si="2"/>
        <v>8</v>
      </c>
      <c r="G18">
        <f t="shared" ca="1" si="2"/>
        <v>5</v>
      </c>
      <c r="H18">
        <f t="shared" ca="1" si="2"/>
        <v>4</v>
      </c>
      <c r="I18">
        <f t="shared" ca="1" si="2"/>
        <v>10</v>
      </c>
      <c r="J18">
        <f t="shared" ca="1" si="2"/>
        <v>9</v>
      </c>
      <c r="K18">
        <f t="shared" ca="1" si="2"/>
        <v>2</v>
      </c>
      <c r="L18">
        <f t="shared" ca="1" si="2"/>
        <v>6</v>
      </c>
      <c r="M18">
        <f t="shared" ca="1" si="2"/>
        <v>7</v>
      </c>
      <c r="N18">
        <f t="shared" ca="1" si="2"/>
        <v>1</v>
      </c>
      <c r="O18">
        <f t="shared" ca="1" si="2"/>
        <v>6</v>
      </c>
      <c r="P18">
        <f t="shared" ca="1" si="2"/>
        <v>6</v>
      </c>
      <c r="Q18">
        <f t="shared" ca="1" si="2"/>
        <v>10</v>
      </c>
      <c r="R18">
        <f t="shared" ca="1" si="2"/>
        <v>7</v>
      </c>
      <c r="S18">
        <f t="shared" ca="1" si="7"/>
        <v>8</v>
      </c>
      <c r="T18">
        <f t="shared" ca="1" si="7"/>
        <v>9</v>
      </c>
      <c r="U18">
        <f t="shared" ca="1" si="7"/>
        <v>3</v>
      </c>
      <c r="V18">
        <f t="shared" ca="1" si="7"/>
        <v>5</v>
      </c>
      <c r="W18">
        <f t="shared" ca="1" si="7"/>
        <v>10</v>
      </c>
      <c r="X18">
        <f t="shared" ca="1" si="7"/>
        <v>5</v>
      </c>
      <c r="Y18">
        <f t="shared" ca="1" si="7"/>
        <v>2</v>
      </c>
      <c r="Z18">
        <f t="shared" ca="1" si="7"/>
        <v>1</v>
      </c>
      <c r="AA18">
        <f t="shared" ca="1" si="7"/>
        <v>6</v>
      </c>
      <c r="AB18">
        <f t="shared" ca="1" si="7"/>
        <v>2</v>
      </c>
      <c r="AC18">
        <f t="shared" ca="1" si="7"/>
        <v>10</v>
      </c>
      <c r="AD18">
        <f t="shared" ca="1" si="7"/>
        <v>2</v>
      </c>
      <c r="AE18">
        <f t="shared" ca="1" si="7"/>
        <v>4</v>
      </c>
      <c r="AF18">
        <f t="shared" ca="1" si="7"/>
        <v>2</v>
      </c>
      <c r="AH18" s="25">
        <f t="shared" ca="1" si="6"/>
        <v>168</v>
      </c>
      <c r="AI18">
        <v>138</v>
      </c>
      <c r="AJ18">
        <v>150</v>
      </c>
      <c r="AK18">
        <f t="shared" si="3"/>
        <v>12</v>
      </c>
      <c r="AL18" s="15">
        <f t="shared" ca="1" si="4"/>
        <v>25200</v>
      </c>
      <c r="AM18" s="15">
        <f t="shared" ca="1" si="5"/>
        <v>2016</v>
      </c>
    </row>
    <row r="19" spans="1:39">
      <c r="A19" s="27"/>
      <c r="B19" t="s">
        <v>36</v>
      </c>
      <c r="C19">
        <f t="shared" ca="1" si="2"/>
        <v>7</v>
      </c>
      <c r="D19">
        <f t="shared" ca="1" si="2"/>
        <v>7</v>
      </c>
      <c r="E19">
        <f t="shared" ca="1" si="2"/>
        <v>2</v>
      </c>
      <c r="F19">
        <f t="shared" ca="1" si="2"/>
        <v>4</v>
      </c>
      <c r="G19">
        <f t="shared" ca="1" si="2"/>
        <v>5</v>
      </c>
      <c r="H19">
        <f t="shared" ca="1" si="2"/>
        <v>2</v>
      </c>
      <c r="I19">
        <f t="shared" ca="1" si="2"/>
        <v>4</v>
      </c>
      <c r="J19">
        <f t="shared" ca="1" si="2"/>
        <v>5</v>
      </c>
      <c r="K19">
        <f t="shared" ca="1" si="2"/>
        <v>3</v>
      </c>
      <c r="L19">
        <f t="shared" ca="1" si="2"/>
        <v>8</v>
      </c>
      <c r="M19">
        <f t="shared" ca="1" si="2"/>
        <v>6</v>
      </c>
      <c r="N19">
        <f t="shared" ca="1" si="2"/>
        <v>2</v>
      </c>
      <c r="O19">
        <f t="shared" ca="1" si="2"/>
        <v>10</v>
      </c>
      <c r="P19">
        <f t="shared" ca="1" si="2"/>
        <v>4</v>
      </c>
      <c r="Q19">
        <f t="shared" ca="1" si="2"/>
        <v>2</v>
      </c>
      <c r="R19">
        <f t="shared" ca="1" si="2"/>
        <v>2</v>
      </c>
      <c r="S19">
        <f t="shared" ca="1" si="7"/>
        <v>6</v>
      </c>
      <c r="T19">
        <f t="shared" ca="1" si="7"/>
        <v>7</v>
      </c>
      <c r="U19">
        <f t="shared" ca="1" si="7"/>
        <v>4</v>
      </c>
      <c r="V19">
        <f t="shared" ca="1" si="7"/>
        <v>10</v>
      </c>
      <c r="W19">
        <f t="shared" ca="1" si="7"/>
        <v>2</v>
      </c>
      <c r="X19">
        <f t="shared" ca="1" si="7"/>
        <v>4</v>
      </c>
      <c r="Y19">
        <f t="shared" ca="1" si="7"/>
        <v>8</v>
      </c>
      <c r="Z19">
        <f t="shared" ca="1" si="7"/>
        <v>6</v>
      </c>
      <c r="AA19">
        <f t="shared" ca="1" si="7"/>
        <v>2</v>
      </c>
      <c r="AB19">
        <f t="shared" ca="1" si="7"/>
        <v>6</v>
      </c>
      <c r="AC19">
        <f t="shared" ca="1" si="7"/>
        <v>9</v>
      </c>
      <c r="AD19">
        <f t="shared" ca="1" si="7"/>
        <v>8</v>
      </c>
      <c r="AE19">
        <f t="shared" ca="1" si="7"/>
        <v>8</v>
      </c>
      <c r="AF19">
        <f t="shared" ca="1" si="7"/>
        <v>3</v>
      </c>
      <c r="AH19" s="25">
        <f t="shared" ca="1" si="6"/>
        <v>156</v>
      </c>
      <c r="AI19">
        <v>60</v>
      </c>
      <c r="AJ19">
        <v>80</v>
      </c>
      <c r="AK19">
        <f t="shared" si="3"/>
        <v>20</v>
      </c>
      <c r="AL19" s="15">
        <f t="shared" ca="1" si="4"/>
        <v>12480</v>
      </c>
      <c r="AM19" s="15">
        <f t="shared" ca="1" si="5"/>
        <v>3120</v>
      </c>
    </row>
    <row r="20" spans="1:39">
      <c r="A20" s="27"/>
      <c r="B20" t="s">
        <v>37</v>
      </c>
      <c r="C20">
        <f t="shared" ref="C20:R35" ca="1" si="8">RANDBETWEEN(1,10)</f>
        <v>10</v>
      </c>
      <c r="D20">
        <f t="shared" ca="1" si="8"/>
        <v>5</v>
      </c>
      <c r="E20">
        <f t="shared" ca="1" si="8"/>
        <v>5</v>
      </c>
      <c r="F20">
        <f t="shared" ca="1" si="8"/>
        <v>6</v>
      </c>
      <c r="G20">
        <f t="shared" ca="1" si="8"/>
        <v>9</v>
      </c>
      <c r="H20">
        <f t="shared" ca="1" si="8"/>
        <v>6</v>
      </c>
      <c r="I20">
        <f t="shared" ca="1" si="8"/>
        <v>10</v>
      </c>
      <c r="J20">
        <f t="shared" ca="1" si="8"/>
        <v>5</v>
      </c>
      <c r="K20">
        <f t="shared" ca="1" si="8"/>
        <v>5</v>
      </c>
      <c r="L20">
        <f t="shared" ca="1" si="8"/>
        <v>1</v>
      </c>
      <c r="M20">
        <f t="shared" ca="1" si="8"/>
        <v>4</v>
      </c>
      <c r="N20">
        <f t="shared" ca="1" si="8"/>
        <v>2</v>
      </c>
      <c r="O20">
        <f t="shared" ca="1" si="8"/>
        <v>8</v>
      </c>
      <c r="P20">
        <f t="shared" ca="1" si="8"/>
        <v>9</v>
      </c>
      <c r="Q20">
        <f t="shared" ca="1" si="8"/>
        <v>2</v>
      </c>
      <c r="R20">
        <f t="shared" ca="1" si="8"/>
        <v>9</v>
      </c>
      <c r="S20">
        <f t="shared" ca="1" si="7"/>
        <v>2</v>
      </c>
      <c r="T20">
        <f t="shared" ca="1" si="7"/>
        <v>7</v>
      </c>
      <c r="U20">
        <f t="shared" ca="1" si="7"/>
        <v>5</v>
      </c>
      <c r="V20">
        <f t="shared" ca="1" si="7"/>
        <v>8</v>
      </c>
      <c r="W20">
        <f t="shared" ca="1" si="7"/>
        <v>5</v>
      </c>
      <c r="X20">
        <f t="shared" ca="1" si="7"/>
        <v>3</v>
      </c>
      <c r="Y20">
        <f t="shared" ca="1" si="7"/>
        <v>1</v>
      </c>
      <c r="Z20">
        <f t="shared" ca="1" si="7"/>
        <v>10</v>
      </c>
      <c r="AA20">
        <f t="shared" ca="1" si="7"/>
        <v>3</v>
      </c>
      <c r="AB20">
        <f t="shared" ca="1" si="7"/>
        <v>1</v>
      </c>
      <c r="AC20">
        <f t="shared" ca="1" si="7"/>
        <v>10</v>
      </c>
      <c r="AD20">
        <f t="shared" ca="1" si="7"/>
        <v>10</v>
      </c>
      <c r="AE20">
        <f t="shared" ca="1" si="7"/>
        <v>7</v>
      </c>
      <c r="AF20">
        <f t="shared" ca="1" si="7"/>
        <v>8</v>
      </c>
      <c r="AH20" s="25">
        <f t="shared" ca="1" si="6"/>
        <v>176</v>
      </c>
      <c r="AI20">
        <v>44</v>
      </c>
      <c r="AJ20">
        <v>50</v>
      </c>
      <c r="AK20">
        <f t="shared" si="3"/>
        <v>6</v>
      </c>
      <c r="AL20" s="15">
        <f t="shared" ca="1" si="4"/>
        <v>8800</v>
      </c>
      <c r="AM20" s="15">
        <f t="shared" ca="1" si="5"/>
        <v>1056</v>
      </c>
    </row>
    <row r="21" spans="1:39">
      <c r="A21" s="27"/>
      <c r="B21" t="s">
        <v>38</v>
      </c>
      <c r="C21">
        <f t="shared" ca="1" si="8"/>
        <v>3</v>
      </c>
      <c r="D21">
        <f t="shared" ca="1" si="8"/>
        <v>9</v>
      </c>
      <c r="E21">
        <f t="shared" ca="1" si="8"/>
        <v>4</v>
      </c>
      <c r="F21">
        <f t="shared" ca="1" si="8"/>
        <v>10</v>
      </c>
      <c r="G21">
        <f t="shared" ca="1" si="8"/>
        <v>3</v>
      </c>
      <c r="H21">
        <f t="shared" ca="1" si="8"/>
        <v>9</v>
      </c>
      <c r="I21">
        <f t="shared" ca="1" si="8"/>
        <v>2</v>
      </c>
      <c r="J21">
        <f t="shared" ca="1" si="8"/>
        <v>1</v>
      </c>
      <c r="K21">
        <f t="shared" ca="1" si="8"/>
        <v>5</v>
      </c>
      <c r="L21">
        <f t="shared" ca="1" si="8"/>
        <v>5</v>
      </c>
      <c r="M21">
        <f t="shared" ca="1" si="8"/>
        <v>10</v>
      </c>
      <c r="N21">
        <f t="shared" ca="1" si="8"/>
        <v>8</v>
      </c>
      <c r="O21">
        <f t="shared" ca="1" si="8"/>
        <v>2</v>
      </c>
      <c r="P21">
        <f t="shared" ca="1" si="8"/>
        <v>1</v>
      </c>
      <c r="Q21">
        <f t="shared" ca="1" si="8"/>
        <v>6</v>
      </c>
      <c r="R21">
        <f t="shared" ca="1" si="8"/>
        <v>10</v>
      </c>
      <c r="S21">
        <f t="shared" ca="1" si="7"/>
        <v>3</v>
      </c>
      <c r="T21">
        <f t="shared" ca="1" si="7"/>
        <v>7</v>
      </c>
      <c r="U21">
        <f t="shared" ca="1" si="7"/>
        <v>9</v>
      </c>
      <c r="V21">
        <f t="shared" ca="1" si="7"/>
        <v>10</v>
      </c>
      <c r="W21">
        <f t="shared" ca="1" si="7"/>
        <v>9</v>
      </c>
      <c r="X21">
        <f t="shared" ca="1" si="7"/>
        <v>8</v>
      </c>
      <c r="Y21">
        <f t="shared" ca="1" si="7"/>
        <v>9</v>
      </c>
      <c r="Z21">
        <f t="shared" ca="1" si="7"/>
        <v>9</v>
      </c>
      <c r="AA21">
        <f t="shared" ca="1" si="7"/>
        <v>8</v>
      </c>
      <c r="AB21">
        <f t="shared" ca="1" si="7"/>
        <v>5</v>
      </c>
      <c r="AC21">
        <f t="shared" ca="1" si="7"/>
        <v>5</v>
      </c>
      <c r="AD21">
        <f t="shared" ca="1" si="7"/>
        <v>1</v>
      </c>
      <c r="AE21">
        <f t="shared" ca="1" si="7"/>
        <v>8</v>
      </c>
      <c r="AF21">
        <f t="shared" ca="1" si="7"/>
        <v>3</v>
      </c>
      <c r="AH21" s="25">
        <f t="shared" ca="1" si="6"/>
        <v>182</v>
      </c>
      <c r="AI21">
        <v>308</v>
      </c>
      <c r="AJ21">
        <v>320</v>
      </c>
      <c r="AK21">
        <f t="shared" si="3"/>
        <v>12</v>
      </c>
      <c r="AL21" s="15">
        <f t="shared" ca="1" si="4"/>
        <v>58240</v>
      </c>
      <c r="AM21" s="15">
        <f t="shared" ca="1" si="5"/>
        <v>2184</v>
      </c>
    </row>
    <row r="22" spans="1:39">
      <c r="A22" s="27"/>
      <c r="B22" t="s">
        <v>39</v>
      </c>
      <c r="C22">
        <f t="shared" ca="1" si="8"/>
        <v>7</v>
      </c>
      <c r="D22">
        <f t="shared" ca="1" si="8"/>
        <v>3</v>
      </c>
      <c r="E22">
        <f t="shared" ca="1" si="8"/>
        <v>1</v>
      </c>
      <c r="F22">
        <f t="shared" ca="1" si="8"/>
        <v>10</v>
      </c>
      <c r="G22">
        <f t="shared" ca="1" si="8"/>
        <v>8</v>
      </c>
      <c r="H22">
        <f t="shared" ca="1" si="8"/>
        <v>8</v>
      </c>
      <c r="I22">
        <f t="shared" ca="1" si="8"/>
        <v>7</v>
      </c>
      <c r="J22">
        <f t="shared" ca="1" si="8"/>
        <v>4</v>
      </c>
      <c r="K22">
        <f t="shared" ca="1" si="8"/>
        <v>5</v>
      </c>
      <c r="L22">
        <f t="shared" ca="1" si="8"/>
        <v>7</v>
      </c>
      <c r="M22">
        <f t="shared" ca="1" si="8"/>
        <v>3</v>
      </c>
      <c r="N22">
        <f t="shared" ca="1" si="8"/>
        <v>9</v>
      </c>
      <c r="O22">
        <f t="shared" ca="1" si="8"/>
        <v>1</v>
      </c>
      <c r="P22">
        <f t="shared" ca="1" si="8"/>
        <v>8</v>
      </c>
      <c r="Q22">
        <f t="shared" ca="1" si="8"/>
        <v>7</v>
      </c>
      <c r="R22">
        <f t="shared" ca="1" si="8"/>
        <v>7</v>
      </c>
      <c r="S22">
        <f t="shared" ca="1" si="7"/>
        <v>9</v>
      </c>
      <c r="T22">
        <f t="shared" ca="1" si="7"/>
        <v>1</v>
      </c>
      <c r="U22">
        <f t="shared" ca="1" si="7"/>
        <v>6</v>
      </c>
      <c r="V22">
        <f t="shared" ca="1" si="7"/>
        <v>3</v>
      </c>
      <c r="W22">
        <f t="shared" ca="1" si="7"/>
        <v>7</v>
      </c>
      <c r="X22">
        <f t="shared" ca="1" si="7"/>
        <v>4</v>
      </c>
      <c r="Y22">
        <f t="shared" ca="1" si="7"/>
        <v>7</v>
      </c>
      <c r="Z22">
        <f t="shared" ca="1" si="7"/>
        <v>7</v>
      </c>
      <c r="AA22">
        <f t="shared" ca="1" si="7"/>
        <v>1</v>
      </c>
      <c r="AB22">
        <f t="shared" ca="1" si="7"/>
        <v>3</v>
      </c>
      <c r="AC22">
        <f t="shared" ca="1" si="7"/>
        <v>8</v>
      </c>
      <c r="AD22">
        <f t="shared" ca="1" si="7"/>
        <v>5</v>
      </c>
      <c r="AE22">
        <f t="shared" ca="1" si="7"/>
        <v>4</v>
      </c>
      <c r="AF22">
        <f t="shared" ca="1" si="7"/>
        <v>8</v>
      </c>
      <c r="AH22" s="25">
        <f t="shared" ca="1" si="6"/>
        <v>168</v>
      </c>
      <c r="AI22">
        <v>234</v>
      </c>
      <c r="AJ22">
        <v>250</v>
      </c>
      <c r="AK22">
        <f t="shared" si="3"/>
        <v>16</v>
      </c>
      <c r="AL22" s="15">
        <f t="shared" ca="1" si="4"/>
        <v>42000</v>
      </c>
      <c r="AM22" s="15">
        <f t="shared" ca="1" si="5"/>
        <v>2688</v>
      </c>
    </row>
    <row r="23" spans="1:39">
      <c r="A23" s="27"/>
      <c r="B23" t="s">
        <v>40</v>
      </c>
      <c r="C23">
        <f t="shared" ca="1" si="8"/>
        <v>9</v>
      </c>
      <c r="D23">
        <f t="shared" ca="1" si="8"/>
        <v>1</v>
      </c>
      <c r="E23">
        <f t="shared" ca="1" si="8"/>
        <v>3</v>
      </c>
      <c r="F23">
        <f t="shared" ca="1" si="8"/>
        <v>3</v>
      </c>
      <c r="G23">
        <f t="shared" ca="1" si="8"/>
        <v>9</v>
      </c>
      <c r="H23">
        <f t="shared" ca="1" si="8"/>
        <v>9</v>
      </c>
      <c r="I23">
        <f t="shared" ca="1" si="8"/>
        <v>6</v>
      </c>
      <c r="J23">
        <f t="shared" ca="1" si="8"/>
        <v>8</v>
      </c>
      <c r="K23">
        <f t="shared" ca="1" si="8"/>
        <v>1</v>
      </c>
      <c r="L23">
        <f t="shared" ca="1" si="8"/>
        <v>1</v>
      </c>
      <c r="M23">
        <f t="shared" ca="1" si="8"/>
        <v>10</v>
      </c>
      <c r="N23">
        <f t="shared" ca="1" si="8"/>
        <v>7</v>
      </c>
      <c r="O23">
        <f t="shared" ca="1" si="8"/>
        <v>5</v>
      </c>
      <c r="P23">
        <f t="shared" ca="1" si="8"/>
        <v>4</v>
      </c>
      <c r="Q23">
        <f t="shared" ca="1" si="8"/>
        <v>6</v>
      </c>
      <c r="R23">
        <f t="shared" ca="1" si="8"/>
        <v>4</v>
      </c>
      <c r="S23">
        <f t="shared" ca="1" si="7"/>
        <v>5</v>
      </c>
      <c r="T23">
        <f t="shared" ca="1" si="7"/>
        <v>10</v>
      </c>
      <c r="U23">
        <f t="shared" ca="1" si="7"/>
        <v>10</v>
      </c>
      <c r="V23">
        <f t="shared" ca="1" si="7"/>
        <v>6</v>
      </c>
      <c r="W23">
        <f t="shared" ca="1" si="7"/>
        <v>9</v>
      </c>
      <c r="X23">
        <f t="shared" ca="1" si="7"/>
        <v>7</v>
      </c>
      <c r="Y23">
        <f t="shared" ca="1" si="7"/>
        <v>2</v>
      </c>
      <c r="Z23">
        <f t="shared" ca="1" si="7"/>
        <v>5</v>
      </c>
      <c r="AA23">
        <f t="shared" ca="1" si="7"/>
        <v>2</v>
      </c>
      <c r="AB23">
        <f t="shared" ca="1" si="7"/>
        <v>7</v>
      </c>
      <c r="AC23">
        <f t="shared" ca="1" si="7"/>
        <v>5</v>
      </c>
      <c r="AD23">
        <f t="shared" ca="1" si="7"/>
        <v>7</v>
      </c>
      <c r="AE23">
        <f t="shared" ca="1" si="7"/>
        <v>7</v>
      </c>
      <c r="AF23">
        <f t="shared" ca="1" si="7"/>
        <v>5</v>
      </c>
      <c r="AH23" s="25">
        <f t="shared" ca="1" si="6"/>
        <v>173</v>
      </c>
      <c r="AI23">
        <v>121</v>
      </c>
      <c r="AJ23">
        <v>140</v>
      </c>
      <c r="AK23">
        <f t="shared" si="3"/>
        <v>19</v>
      </c>
      <c r="AL23" s="15">
        <f t="shared" ca="1" si="4"/>
        <v>24220</v>
      </c>
      <c r="AM23" s="15">
        <f t="shared" ca="1" si="5"/>
        <v>3287</v>
      </c>
    </row>
    <row r="24" spans="1:39">
      <c r="A24" s="27"/>
      <c r="B24" t="s">
        <v>41</v>
      </c>
      <c r="C24">
        <f t="shared" ca="1" si="8"/>
        <v>2</v>
      </c>
      <c r="D24">
        <f t="shared" ca="1" si="8"/>
        <v>1</v>
      </c>
      <c r="E24">
        <f t="shared" ca="1" si="8"/>
        <v>3</v>
      </c>
      <c r="F24">
        <f t="shared" ca="1" si="8"/>
        <v>8</v>
      </c>
      <c r="G24">
        <f t="shared" ca="1" si="8"/>
        <v>10</v>
      </c>
      <c r="H24">
        <f t="shared" ca="1" si="8"/>
        <v>7</v>
      </c>
      <c r="I24">
        <f t="shared" ca="1" si="8"/>
        <v>3</v>
      </c>
      <c r="J24">
        <f t="shared" ca="1" si="8"/>
        <v>5</v>
      </c>
      <c r="K24">
        <f t="shared" ca="1" si="8"/>
        <v>4</v>
      </c>
      <c r="L24">
        <f t="shared" ca="1" si="8"/>
        <v>6</v>
      </c>
      <c r="M24">
        <f t="shared" ca="1" si="8"/>
        <v>9</v>
      </c>
      <c r="N24">
        <f t="shared" ca="1" si="8"/>
        <v>6</v>
      </c>
      <c r="O24">
        <f t="shared" ca="1" si="8"/>
        <v>8</v>
      </c>
      <c r="P24">
        <f t="shared" ca="1" si="8"/>
        <v>8</v>
      </c>
      <c r="Q24">
        <f t="shared" ca="1" si="8"/>
        <v>2</v>
      </c>
      <c r="R24">
        <f t="shared" ca="1" si="8"/>
        <v>4</v>
      </c>
      <c r="S24">
        <f t="shared" ca="1" si="7"/>
        <v>4</v>
      </c>
      <c r="T24">
        <f t="shared" ca="1" si="7"/>
        <v>10</v>
      </c>
      <c r="U24">
        <f t="shared" ca="1" si="7"/>
        <v>10</v>
      </c>
      <c r="V24">
        <f t="shared" ca="1" si="7"/>
        <v>8</v>
      </c>
      <c r="W24">
        <f t="shared" ca="1" si="7"/>
        <v>1</v>
      </c>
      <c r="X24">
        <f t="shared" ca="1" si="7"/>
        <v>1</v>
      </c>
      <c r="Y24">
        <f t="shared" ca="1" si="7"/>
        <v>2</v>
      </c>
      <c r="Z24">
        <f t="shared" ca="1" si="7"/>
        <v>8</v>
      </c>
      <c r="AA24">
        <f t="shared" ca="1" si="7"/>
        <v>10</v>
      </c>
      <c r="AB24">
        <f t="shared" ca="1" si="7"/>
        <v>10</v>
      </c>
      <c r="AC24">
        <f t="shared" ca="1" si="7"/>
        <v>7</v>
      </c>
      <c r="AD24">
        <f t="shared" ca="1" si="7"/>
        <v>8</v>
      </c>
      <c r="AE24">
        <f t="shared" ca="1" si="7"/>
        <v>7</v>
      </c>
      <c r="AF24">
        <f t="shared" ca="1" si="7"/>
        <v>10</v>
      </c>
      <c r="AH24" s="25">
        <f t="shared" ca="1" si="6"/>
        <v>182</v>
      </c>
      <c r="AI24">
        <v>350</v>
      </c>
      <c r="AJ24">
        <v>390</v>
      </c>
      <c r="AK24">
        <f t="shared" si="3"/>
        <v>40</v>
      </c>
      <c r="AL24" s="15">
        <f t="shared" ca="1" si="4"/>
        <v>70980</v>
      </c>
      <c r="AM24" s="15">
        <f t="shared" ca="1" si="5"/>
        <v>7280</v>
      </c>
    </row>
    <row r="25" spans="1:39">
      <c r="A25" s="27"/>
      <c r="B25" t="s">
        <v>42</v>
      </c>
      <c r="C25">
        <f t="shared" ca="1" si="8"/>
        <v>2</v>
      </c>
      <c r="D25">
        <f t="shared" ca="1" si="8"/>
        <v>6</v>
      </c>
      <c r="E25">
        <f t="shared" ca="1" si="8"/>
        <v>8</v>
      </c>
      <c r="F25">
        <f t="shared" ca="1" si="8"/>
        <v>4</v>
      </c>
      <c r="G25">
        <f t="shared" ca="1" si="8"/>
        <v>1</v>
      </c>
      <c r="H25">
        <f t="shared" ca="1" si="8"/>
        <v>4</v>
      </c>
      <c r="I25">
        <f t="shared" ca="1" si="8"/>
        <v>8</v>
      </c>
      <c r="J25">
        <f t="shared" ca="1" si="8"/>
        <v>10</v>
      </c>
      <c r="K25">
        <f t="shared" ca="1" si="8"/>
        <v>3</v>
      </c>
      <c r="L25">
        <f t="shared" ca="1" si="8"/>
        <v>8</v>
      </c>
      <c r="M25">
        <f t="shared" ca="1" si="8"/>
        <v>6</v>
      </c>
      <c r="N25">
        <f t="shared" ca="1" si="8"/>
        <v>5</v>
      </c>
      <c r="O25">
        <f t="shared" ca="1" si="8"/>
        <v>8</v>
      </c>
      <c r="P25">
        <f t="shared" ca="1" si="8"/>
        <v>10</v>
      </c>
      <c r="Q25">
        <f t="shared" ca="1" si="8"/>
        <v>9</v>
      </c>
      <c r="R25">
        <f t="shared" ca="1" si="8"/>
        <v>1</v>
      </c>
      <c r="S25">
        <f t="shared" ca="1" si="7"/>
        <v>6</v>
      </c>
      <c r="T25">
        <f t="shared" ca="1" si="7"/>
        <v>7</v>
      </c>
      <c r="U25">
        <f t="shared" ca="1" si="7"/>
        <v>1</v>
      </c>
      <c r="V25">
        <f t="shared" ca="1" si="7"/>
        <v>8</v>
      </c>
      <c r="W25">
        <f t="shared" ca="1" si="7"/>
        <v>7</v>
      </c>
      <c r="X25">
        <f t="shared" ca="1" si="7"/>
        <v>2</v>
      </c>
      <c r="Y25">
        <f t="shared" ca="1" si="7"/>
        <v>1</v>
      </c>
      <c r="Z25">
        <f t="shared" ca="1" si="7"/>
        <v>4</v>
      </c>
      <c r="AA25">
        <f t="shared" ca="1" si="7"/>
        <v>1</v>
      </c>
      <c r="AB25">
        <f t="shared" ca="1" si="7"/>
        <v>5</v>
      </c>
      <c r="AC25">
        <f t="shared" ca="1" si="7"/>
        <v>1</v>
      </c>
      <c r="AD25">
        <f t="shared" ca="1" si="7"/>
        <v>6</v>
      </c>
      <c r="AE25">
        <f t="shared" ca="1" si="7"/>
        <v>7</v>
      </c>
      <c r="AF25">
        <f t="shared" ca="1" si="7"/>
        <v>10</v>
      </c>
      <c r="AH25" s="25">
        <f t="shared" ca="1" si="6"/>
        <v>159</v>
      </c>
      <c r="AI25">
        <v>211</v>
      </c>
      <c r="AJ25">
        <v>240</v>
      </c>
      <c r="AK25">
        <f t="shared" si="3"/>
        <v>29</v>
      </c>
      <c r="AL25" s="15">
        <f t="shared" ca="1" si="4"/>
        <v>38160</v>
      </c>
      <c r="AM25" s="15">
        <f t="shared" ca="1" si="5"/>
        <v>4611</v>
      </c>
    </row>
    <row r="26" spans="1:39">
      <c r="A26" s="27"/>
      <c r="B26" t="s">
        <v>43</v>
      </c>
      <c r="C26">
        <f t="shared" ca="1" si="8"/>
        <v>8</v>
      </c>
      <c r="D26">
        <f t="shared" ca="1" si="8"/>
        <v>5</v>
      </c>
      <c r="E26">
        <f t="shared" ca="1" si="8"/>
        <v>1</v>
      </c>
      <c r="F26">
        <f t="shared" ca="1" si="8"/>
        <v>9</v>
      </c>
      <c r="G26">
        <f t="shared" ca="1" si="8"/>
        <v>5</v>
      </c>
      <c r="H26">
        <f t="shared" ca="1" si="8"/>
        <v>2</v>
      </c>
      <c r="I26">
        <f t="shared" ca="1" si="8"/>
        <v>4</v>
      </c>
      <c r="J26">
        <f t="shared" ca="1" si="8"/>
        <v>8</v>
      </c>
      <c r="K26">
        <f t="shared" ca="1" si="8"/>
        <v>8</v>
      </c>
      <c r="L26">
        <f t="shared" ca="1" si="8"/>
        <v>5</v>
      </c>
      <c r="M26">
        <f t="shared" ca="1" si="8"/>
        <v>7</v>
      </c>
      <c r="N26">
        <f t="shared" ca="1" si="8"/>
        <v>2</v>
      </c>
      <c r="O26">
        <f t="shared" ca="1" si="8"/>
        <v>3</v>
      </c>
      <c r="P26">
        <f t="shared" ca="1" si="8"/>
        <v>7</v>
      </c>
      <c r="Q26">
        <f t="shared" ca="1" si="8"/>
        <v>4</v>
      </c>
      <c r="R26">
        <f t="shared" ca="1" si="8"/>
        <v>1</v>
      </c>
      <c r="S26">
        <f t="shared" ca="1" si="7"/>
        <v>10</v>
      </c>
      <c r="T26">
        <f t="shared" ca="1" si="7"/>
        <v>7</v>
      </c>
      <c r="U26">
        <f t="shared" ca="1" si="7"/>
        <v>3</v>
      </c>
      <c r="V26">
        <f t="shared" ca="1" si="7"/>
        <v>9</v>
      </c>
      <c r="W26">
        <f t="shared" ca="1" si="7"/>
        <v>8</v>
      </c>
      <c r="X26">
        <f t="shared" ca="1" si="7"/>
        <v>4</v>
      </c>
      <c r="Y26">
        <f t="shared" ca="1" si="7"/>
        <v>10</v>
      </c>
      <c r="Z26">
        <f t="shared" ca="1" si="7"/>
        <v>5</v>
      </c>
      <c r="AA26">
        <f t="shared" ca="1" si="7"/>
        <v>4</v>
      </c>
      <c r="AB26">
        <f t="shared" ca="1" si="7"/>
        <v>10</v>
      </c>
      <c r="AC26">
        <f t="shared" ca="1" si="7"/>
        <v>9</v>
      </c>
      <c r="AD26">
        <f t="shared" ca="1" si="7"/>
        <v>9</v>
      </c>
      <c r="AE26">
        <f t="shared" ca="1" si="7"/>
        <v>8</v>
      </c>
      <c r="AF26">
        <f t="shared" ca="1" si="7"/>
        <v>6</v>
      </c>
      <c r="AH26" s="25">
        <f t="shared" ca="1" si="6"/>
        <v>181</v>
      </c>
      <c r="AI26">
        <v>247</v>
      </c>
      <c r="AJ26">
        <v>280</v>
      </c>
      <c r="AK26">
        <f t="shared" si="3"/>
        <v>33</v>
      </c>
      <c r="AL26" s="15">
        <f t="shared" ca="1" si="4"/>
        <v>50680</v>
      </c>
      <c r="AM26" s="15">
        <f t="shared" ca="1" si="5"/>
        <v>5973</v>
      </c>
    </row>
    <row r="27" spans="1:39">
      <c r="A27" s="27"/>
      <c r="B27" t="s">
        <v>44</v>
      </c>
      <c r="C27">
        <f t="shared" ca="1" si="8"/>
        <v>2</v>
      </c>
      <c r="D27">
        <f t="shared" ca="1" si="8"/>
        <v>8</v>
      </c>
      <c r="E27">
        <f t="shared" ca="1" si="8"/>
        <v>3</v>
      </c>
      <c r="F27">
        <f t="shared" ca="1" si="8"/>
        <v>8</v>
      </c>
      <c r="G27">
        <f t="shared" ca="1" si="8"/>
        <v>2</v>
      </c>
      <c r="H27">
        <f t="shared" ca="1" si="8"/>
        <v>6</v>
      </c>
      <c r="I27">
        <f t="shared" ca="1" si="8"/>
        <v>2</v>
      </c>
      <c r="J27">
        <f t="shared" ca="1" si="8"/>
        <v>8</v>
      </c>
      <c r="K27">
        <f t="shared" ca="1" si="8"/>
        <v>6</v>
      </c>
      <c r="L27">
        <f t="shared" ca="1" si="8"/>
        <v>2</v>
      </c>
      <c r="M27">
        <f t="shared" ca="1" si="8"/>
        <v>7</v>
      </c>
      <c r="N27">
        <f t="shared" ca="1" si="8"/>
        <v>6</v>
      </c>
      <c r="O27">
        <f t="shared" ca="1" si="8"/>
        <v>1</v>
      </c>
      <c r="P27">
        <f t="shared" ca="1" si="8"/>
        <v>6</v>
      </c>
      <c r="Q27">
        <f t="shared" ca="1" si="8"/>
        <v>1</v>
      </c>
      <c r="R27">
        <f t="shared" ca="1" si="8"/>
        <v>2</v>
      </c>
      <c r="S27">
        <f t="shared" ca="1" si="7"/>
        <v>6</v>
      </c>
      <c r="T27">
        <f t="shared" ca="1" si="7"/>
        <v>10</v>
      </c>
      <c r="U27">
        <f t="shared" ca="1" si="7"/>
        <v>10</v>
      </c>
      <c r="V27">
        <f t="shared" ca="1" si="7"/>
        <v>8</v>
      </c>
      <c r="W27">
        <f t="shared" ca="1" si="7"/>
        <v>2</v>
      </c>
      <c r="X27">
        <f t="shared" ca="1" si="7"/>
        <v>3</v>
      </c>
      <c r="Y27">
        <f t="shared" ca="1" si="7"/>
        <v>5</v>
      </c>
      <c r="Z27">
        <f t="shared" ca="1" si="7"/>
        <v>3</v>
      </c>
      <c r="AA27">
        <f t="shared" ca="1" si="7"/>
        <v>7</v>
      </c>
      <c r="AB27">
        <f t="shared" ca="1" si="7"/>
        <v>3</v>
      </c>
      <c r="AC27">
        <f t="shared" ca="1" si="7"/>
        <v>6</v>
      </c>
      <c r="AD27">
        <f t="shared" ca="1" si="7"/>
        <v>6</v>
      </c>
      <c r="AE27">
        <f t="shared" ca="1" si="7"/>
        <v>1</v>
      </c>
      <c r="AF27">
        <f t="shared" ca="1" si="7"/>
        <v>4</v>
      </c>
      <c r="AH27" s="25">
        <f t="shared" ca="1" si="6"/>
        <v>144</v>
      </c>
      <c r="AI27">
        <v>286</v>
      </c>
      <c r="AJ27">
        <v>320</v>
      </c>
      <c r="AK27">
        <f t="shared" si="3"/>
        <v>34</v>
      </c>
      <c r="AL27" s="15">
        <f t="shared" ca="1" si="4"/>
        <v>46080</v>
      </c>
      <c r="AM27" s="15">
        <f t="shared" ca="1" si="5"/>
        <v>4896</v>
      </c>
    </row>
    <row r="28" spans="1:39">
      <c r="A28" s="27"/>
      <c r="B28" t="s">
        <v>45</v>
      </c>
      <c r="C28">
        <f t="shared" ca="1" si="8"/>
        <v>4</v>
      </c>
      <c r="D28">
        <f t="shared" ca="1" si="8"/>
        <v>1</v>
      </c>
      <c r="E28">
        <f t="shared" ca="1" si="8"/>
        <v>6</v>
      </c>
      <c r="F28">
        <f t="shared" ca="1" si="8"/>
        <v>2</v>
      </c>
      <c r="G28">
        <f t="shared" ca="1" si="8"/>
        <v>9</v>
      </c>
      <c r="H28">
        <f t="shared" ca="1" si="8"/>
        <v>5</v>
      </c>
      <c r="I28">
        <f t="shared" ca="1" si="8"/>
        <v>7</v>
      </c>
      <c r="J28">
        <f t="shared" ca="1" si="8"/>
        <v>10</v>
      </c>
      <c r="K28">
        <f t="shared" ca="1" si="8"/>
        <v>2</v>
      </c>
      <c r="L28">
        <f t="shared" ca="1" si="8"/>
        <v>8</v>
      </c>
      <c r="M28">
        <f t="shared" ca="1" si="8"/>
        <v>7</v>
      </c>
      <c r="N28">
        <f t="shared" ca="1" si="8"/>
        <v>1</v>
      </c>
      <c r="O28">
        <f t="shared" ca="1" si="8"/>
        <v>8</v>
      </c>
      <c r="P28">
        <f t="shared" ca="1" si="8"/>
        <v>5</v>
      </c>
      <c r="Q28">
        <f t="shared" ca="1" si="8"/>
        <v>4</v>
      </c>
      <c r="R28">
        <f t="shared" ca="1" si="8"/>
        <v>5</v>
      </c>
      <c r="S28">
        <f t="shared" ref="S28:AF34" ca="1" si="9">RANDBETWEEN(1,10)</f>
        <v>9</v>
      </c>
      <c r="T28">
        <f t="shared" ca="1" si="9"/>
        <v>2</v>
      </c>
      <c r="U28">
        <f t="shared" ca="1" si="9"/>
        <v>9</v>
      </c>
      <c r="V28">
        <f t="shared" ca="1" si="9"/>
        <v>6</v>
      </c>
      <c r="W28">
        <f t="shared" ca="1" si="9"/>
        <v>1</v>
      </c>
      <c r="X28">
        <f t="shared" ca="1" si="9"/>
        <v>8</v>
      </c>
      <c r="Y28">
        <f t="shared" ca="1" si="9"/>
        <v>7</v>
      </c>
      <c r="Z28">
        <f t="shared" ca="1" si="9"/>
        <v>1</v>
      </c>
      <c r="AA28">
        <f t="shared" ca="1" si="9"/>
        <v>7</v>
      </c>
      <c r="AB28">
        <f t="shared" ca="1" si="9"/>
        <v>10</v>
      </c>
      <c r="AC28">
        <f t="shared" ca="1" si="9"/>
        <v>5</v>
      </c>
      <c r="AD28">
        <f t="shared" ca="1" si="9"/>
        <v>1</v>
      </c>
      <c r="AE28">
        <f t="shared" ca="1" si="9"/>
        <v>8</v>
      </c>
      <c r="AF28">
        <f t="shared" ca="1" si="9"/>
        <v>3</v>
      </c>
      <c r="AH28" s="25">
        <f t="shared" ca="1" si="6"/>
        <v>161</v>
      </c>
      <c r="AI28">
        <v>67</v>
      </c>
      <c r="AJ28">
        <v>80</v>
      </c>
      <c r="AK28">
        <f t="shared" si="3"/>
        <v>13</v>
      </c>
      <c r="AL28" s="15">
        <f t="shared" ca="1" si="4"/>
        <v>12880</v>
      </c>
      <c r="AM28" s="15">
        <f t="shared" ca="1" si="5"/>
        <v>2093</v>
      </c>
    </row>
    <row r="29" spans="1:39">
      <c r="A29" s="27"/>
      <c r="B29" t="s">
        <v>46</v>
      </c>
      <c r="C29">
        <f t="shared" ca="1" si="8"/>
        <v>8</v>
      </c>
      <c r="D29">
        <f t="shared" ca="1" si="8"/>
        <v>2</v>
      </c>
      <c r="E29">
        <f t="shared" ca="1" si="8"/>
        <v>3</v>
      </c>
      <c r="F29">
        <f t="shared" ca="1" si="8"/>
        <v>8</v>
      </c>
      <c r="G29">
        <f t="shared" ca="1" si="8"/>
        <v>5</v>
      </c>
      <c r="H29">
        <f t="shared" ca="1" si="8"/>
        <v>5</v>
      </c>
      <c r="I29">
        <f t="shared" ca="1" si="8"/>
        <v>10</v>
      </c>
      <c r="J29">
        <f t="shared" ca="1" si="8"/>
        <v>9</v>
      </c>
      <c r="K29">
        <f t="shared" ca="1" si="8"/>
        <v>8</v>
      </c>
      <c r="L29">
        <f t="shared" ca="1" si="8"/>
        <v>1</v>
      </c>
      <c r="M29">
        <f t="shared" ca="1" si="8"/>
        <v>3</v>
      </c>
      <c r="N29">
        <f t="shared" ca="1" si="8"/>
        <v>1</v>
      </c>
      <c r="O29">
        <f t="shared" ca="1" si="8"/>
        <v>1</v>
      </c>
      <c r="P29">
        <f t="shared" ca="1" si="8"/>
        <v>10</v>
      </c>
      <c r="Q29">
        <f t="shared" ca="1" si="8"/>
        <v>8</v>
      </c>
      <c r="R29">
        <f t="shared" ca="1" si="8"/>
        <v>8</v>
      </c>
      <c r="S29">
        <f t="shared" ca="1" si="9"/>
        <v>3</v>
      </c>
      <c r="T29">
        <f t="shared" ca="1" si="9"/>
        <v>8</v>
      </c>
      <c r="U29">
        <f t="shared" ca="1" si="9"/>
        <v>4</v>
      </c>
      <c r="V29">
        <f t="shared" ca="1" si="9"/>
        <v>2</v>
      </c>
      <c r="W29">
        <f t="shared" ca="1" si="9"/>
        <v>3</v>
      </c>
      <c r="X29">
        <f t="shared" ca="1" si="9"/>
        <v>8</v>
      </c>
      <c r="Y29">
        <f t="shared" ca="1" si="9"/>
        <v>8</v>
      </c>
      <c r="Z29">
        <f t="shared" ca="1" si="9"/>
        <v>5</v>
      </c>
      <c r="AA29">
        <f t="shared" ca="1" si="9"/>
        <v>6</v>
      </c>
      <c r="AB29">
        <f t="shared" ca="1" si="9"/>
        <v>7</v>
      </c>
      <c r="AC29">
        <f t="shared" ca="1" si="9"/>
        <v>4</v>
      </c>
      <c r="AD29">
        <f t="shared" ca="1" si="9"/>
        <v>5</v>
      </c>
      <c r="AE29">
        <f t="shared" ca="1" si="9"/>
        <v>2</v>
      </c>
      <c r="AF29">
        <f t="shared" ca="1" si="9"/>
        <v>10</v>
      </c>
      <c r="AH29" s="25">
        <f t="shared" ca="1" si="6"/>
        <v>165</v>
      </c>
      <c r="AI29">
        <v>335</v>
      </c>
      <c r="AJ29">
        <v>350</v>
      </c>
      <c r="AK29">
        <f t="shared" si="3"/>
        <v>15</v>
      </c>
      <c r="AL29" s="15">
        <f t="shared" ca="1" si="4"/>
        <v>57750</v>
      </c>
      <c r="AM29" s="15">
        <f t="shared" ca="1" si="5"/>
        <v>2475</v>
      </c>
    </row>
    <row r="30" spans="1:39">
      <c r="A30" s="27"/>
      <c r="B30" t="s">
        <v>47</v>
      </c>
      <c r="C30">
        <f t="shared" ca="1" si="8"/>
        <v>1</v>
      </c>
      <c r="D30">
        <f t="shared" ca="1" si="8"/>
        <v>6</v>
      </c>
      <c r="E30">
        <f t="shared" ca="1" si="8"/>
        <v>10</v>
      </c>
      <c r="F30">
        <f t="shared" ca="1" si="8"/>
        <v>3</v>
      </c>
      <c r="G30">
        <f t="shared" ca="1" si="8"/>
        <v>8</v>
      </c>
      <c r="H30">
        <f t="shared" ca="1" si="8"/>
        <v>9</v>
      </c>
      <c r="I30">
        <f t="shared" ca="1" si="8"/>
        <v>10</v>
      </c>
      <c r="J30">
        <f t="shared" ca="1" si="8"/>
        <v>5</v>
      </c>
      <c r="K30">
        <f t="shared" ca="1" si="8"/>
        <v>5</v>
      </c>
      <c r="L30">
        <f t="shared" ca="1" si="8"/>
        <v>2</v>
      </c>
      <c r="M30">
        <f t="shared" ca="1" si="8"/>
        <v>7</v>
      </c>
      <c r="N30">
        <f t="shared" ca="1" si="8"/>
        <v>8</v>
      </c>
      <c r="O30">
        <f t="shared" ca="1" si="8"/>
        <v>5</v>
      </c>
      <c r="P30">
        <f t="shared" ca="1" si="8"/>
        <v>3</v>
      </c>
      <c r="Q30">
        <f t="shared" ca="1" si="8"/>
        <v>9</v>
      </c>
      <c r="R30">
        <f t="shared" ca="1" si="8"/>
        <v>3</v>
      </c>
      <c r="S30">
        <f t="shared" ca="1" si="9"/>
        <v>8</v>
      </c>
      <c r="T30">
        <f t="shared" ca="1" si="9"/>
        <v>3</v>
      </c>
      <c r="U30">
        <f t="shared" ca="1" si="9"/>
        <v>8</v>
      </c>
      <c r="V30">
        <f t="shared" ca="1" si="9"/>
        <v>1</v>
      </c>
      <c r="W30">
        <f t="shared" ca="1" si="9"/>
        <v>9</v>
      </c>
      <c r="X30">
        <f t="shared" ca="1" si="9"/>
        <v>7</v>
      </c>
      <c r="Y30">
        <f t="shared" ca="1" si="9"/>
        <v>10</v>
      </c>
      <c r="Z30">
        <f t="shared" ca="1" si="9"/>
        <v>9</v>
      </c>
      <c r="AA30">
        <f t="shared" ca="1" si="9"/>
        <v>5</v>
      </c>
      <c r="AB30">
        <f t="shared" ca="1" si="9"/>
        <v>2</v>
      </c>
      <c r="AC30">
        <f t="shared" ca="1" si="9"/>
        <v>5</v>
      </c>
      <c r="AD30">
        <f t="shared" ca="1" si="9"/>
        <v>7</v>
      </c>
      <c r="AE30">
        <f t="shared" ca="1" si="9"/>
        <v>7</v>
      </c>
      <c r="AF30">
        <f t="shared" ca="1" si="9"/>
        <v>5</v>
      </c>
      <c r="AH30" s="25">
        <f t="shared" ca="1" si="6"/>
        <v>180</v>
      </c>
      <c r="AI30">
        <v>366</v>
      </c>
      <c r="AJ30">
        <v>400</v>
      </c>
      <c r="AK30">
        <f t="shared" si="3"/>
        <v>34</v>
      </c>
      <c r="AL30" s="15">
        <f t="shared" ca="1" si="4"/>
        <v>72000</v>
      </c>
      <c r="AM30" s="15">
        <f t="shared" ca="1" si="5"/>
        <v>6120</v>
      </c>
    </row>
    <row r="31" spans="1:39">
      <c r="A31" s="27"/>
      <c r="B31" t="s">
        <v>48</v>
      </c>
      <c r="C31">
        <f t="shared" ca="1" si="8"/>
        <v>4</v>
      </c>
      <c r="D31">
        <f t="shared" ca="1" si="8"/>
        <v>1</v>
      </c>
      <c r="E31">
        <f t="shared" ca="1" si="8"/>
        <v>6</v>
      </c>
      <c r="F31">
        <f t="shared" ca="1" si="8"/>
        <v>5</v>
      </c>
      <c r="G31">
        <f t="shared" ca="1" si="8"/>
        <v>6</v>
      </c>
      <c r="H31">
        <f t="shared" ca="1" si="8"/>
        <v>6</v>
      </c>
      <c r="I31">
        <f t="shared" ca="1" si="8"/>
        <v>6</v>
      </c>
      <c r="J31">
        <f t="shared" ca="1" si="8"/>
        <v>2</v>
      </c>
      <c r="K31">
        <f t="shared" ca="1" si="8"/>
        <v>7</v>
      </c>
      <c r="L31">
        <f t="shared" ca="1" si="8"/>
        <v>8</v>
      </c>
      <c r="M31">
        <f t="shared" ca="1" si="8"/>
        <v>7</v>
      </c>
      <c r="N31">
        <f t="shared" ca="1" si="8"/>
        <v>5</v>
      </c>
      <c r="O31">
        <f t="shared" ca="1" si="8"/>
        <v>3</v>
      </c>
      <c r="P31">
        <f t="shared" ca="1" si="8"/>
        <v>1</v>
      </c>
      <c r="Q31">
        <f t="shared" ca="1" si="8"/>
        <v>2</v>
      </c>
      <c r="R31">
        <f t="shared" ca="1" si="8"/>
        <v>8</v>
      </c>
      <c r="S31">
        <f t="shared" ca="1" si="9"/>
        <v>3</v>
      </c>
      <c r="T31">
        <f t="shared" ca="1" si="9"/>
        <v>9</v>
      </c>
      <c r="U31">
        <f t="shared" ca="1" si="9"/>
        <v>2</v>
      </c>
      <c r="V31">
        <f t="shared" ca="1" si="9"/>
        <v>9</v>
      </c>
      <c r="W31">
        <f t="shared" ca="1" si="9"/>
        <v>7</v>
      </c>
      <c r="X31">
        <f t="shared" ca="1" si="9"/>
        <v>4</v>
      </c>
      <c r="Y31">
        <f t="shared" ca="1" si="9"/>
        <v>8</v>
      </c>
      <c r="Z31">
        <f t="shared" ca="1" si="9"/>
        <v>1</v>
      </c>
      <c r="AA31">
        <f t="shared" ca="1" si="9"/>
        <v>8</v>
      </c>
      <c r="AB31">
        <f t="shared" ca="1" si="9"/>
        <v>2</v>
      </c>
      <c r="AC31">
        <f t="shared" ca="1" si="9"/>
        <v>8</v>
      </c>
      <c r="AD31">
        <f t="shared" ca="1" si="9"/>
        <v>3</v>
      </c>
      <c r="AE31">
        <f t="shared" ca="1" si="9"/>
        <v>6</v>
      </c>
      <c r="AF31">
        <f t="shared" ca="1" si="9"/>
        <v>1</v>
      </c>
      <c r="AH31" s="25">
        <f t="shared" ca="1" si="6"/>
        <v>148</v>
      </c>
      <c r="AI31">
        <v>167</v>
      </c>
      <c r="AJ31">
        <v>200</v>
      </c>
      <c r="AK31">
        <f t="shared" si="3"/>
        <v>33</v>
      </c>
      <c r="AL31" s="15">
        <f t="shared" ca="1" si="4"/>
        <v>29600</v>
      </c>
      <c r="AM31" s="15">
        <f t="shared" ca="1" si="5"/>
        <v>4884</v>
      </c>
    </row>
    <row r="32" spans="1:39">
      <c r="A32" s="27"/>
      <c r="B32" t="s">
        <v>49</v>
      </c>
      <c r="C32">
        <f t="shared" ca="1" si="8"/>
        <v>5</v>
      </c>
      <c r="D32">
        <f t="shared" ca="1" si="8"/>
        <v>6</v>
      </c>
      <c r="E32">
        <f t="shared" ca="1" si="8"/>
        <v>4</v>
      </c>
      <c r="F32">
        <f t="shared" ca="1" si="8"/>
        <v>3</v>
      </c>
      <c r="G32">
        <f t="shared" ca="1" si="8"/>
        <v>6</v>
      </c>
      <c r="H32">
        <f t="shared" ca="1" si="8"/>
        <v>10</v>
      </c>
      <c r="I32">
        <f t="shared" ca="1" si="8"/>
        <v>8</v>
      </c>
      <c r="J32">
        <f t="shared" ca="1" si="8"/>
        <v>7</v>
      </c>
      <c r="K32">
        <f t="shared" ca="1" si="8"/>
        <v>5</v>
      </c>
      <c r="L32">
        <f t="shared" ca="1" si="8"/>
        <v>9</v>
      </c>
      <c r="M32">
        <f t="shared" ca="1" si="8"/>
        <v>3</v>
      </c>
      <c r="N32">
        <f t="shared" ca="1" si="8"/>
        <v>3</v>
      </c>
      <c r="O32">
        <f t="shared" ca="1" si="8"/>
        <v>10</v>
      </c>
      <c r="P32">
        <f t="shared" ca="1" si="8"/>
        <v>4</v>
      </c>
      <c r="Q32">
        <f t="shared" ca="1" si="8"/>
        <v>7</v>
      </c>
      <c r="R32">
        <f t="shared" ca="1" si="8"/>
        <v>6</v>
      </c>
      <c r="S32">
        <f t="shared" ca="1" si="9"/>
        <v>6</v>
      </c>
      <c r="T32">
        <f t="shared" ca="1" si="9"/>
        <v>8</v>
      </c>
      <c r="U32">
        <f t="shared" ca="1" si="9"/>
        <v>3</v>
      </c>
      <c r="V32">
        <f t="shared" ca="1" si="9"/>
        <v>8</v>
      </c>
      <c r="W32">
        <f t="shared" ca="1" si="9"/>
        <v>10</v>
      </c>
      <c r="X32">
        <f t="shared" ca="1" si="9"/>
        <v>10</v>
      </c>
      <c r="Y32">
        <f t="shared" ca="1" si="9"/>
        <v>9</v>
      </c>
      <c r="Z32">
        <f t="shared" ca="1" si="9"/>
        <v>2</v>
      </c>
      <c r="AA32">
        <f t="shared" ca="1" si="9"/>
        <v>1</v>
      </c>
      <c r="AB32">
        <f t="shared" ca="1" si="9"/>
        <v>7</v>
      </c>
      <c r="AC32">
        <f t="shared" ca="1" si="9"/>
        <v>9</v>
      </c>
      <c r="AD32">
        <f t="shared" ca="1" si="9"/>
        <v>3</v>
      </c>
      <c r="AE32">
        <f t="shared" ca="1" si="9"/>
        <v>1</v>
      </c>
      <c r="AF32">
        <f t="shared" ca="1" si="9"/>
        <v>6</v>
      </c>
      <c r="AH32" s="25">
        <f t="shared" ca="1" si="6"/>
        <v>179</v>
      </c>
      <c r="AI32">
        <v>73</v>
      </c>
      <c r="AJ32">
        <v>100</v>
      </c>
      <c r="AK32">
        <f t="shared" si="3"/>
        <v>27</v>
      </c>
      <c r="AL32" s="15">
        <f t="shared" ca="1" si="4"/>
        <v>17900</v>
      </c>
      <c r="AM32" s="15">
        <f t="shared" ca="1" si="5"/>
        <v>4833</v>
      </c>
    </row>
    <row r="33" spans="1:39">
      <c r="A33" s="27"/>
      <c r="B33" t="s">
        <v>50</v>
      </c>
      <c r="C33">
        <f t="shared" ca="1" si="8"/>
        <v>8</v>
      </c>
      <c r="D33">
        <f t="shared" ca="1" si="8"/>
        <v>8</v>
      </c>
      <c r="E33">
        <f t="shared" ca="1" si="8"/>
        <v>6</v>
      </c>
      <c r="F33">
        <f t="shared" ca="1" si="8"/>
        <v>1</v>
      </c>
      <c r="G33">
        <f t="shared" ca="1" si="8"/>
        <v>7</v>
      </c>
      <c r="H33">
        <f t="shared" ca="1" si="8"/>
        <v>9</v>
      </c>
      <c r="I33">
        <f t="shared" ca="1" si="8"/>
        <v>5</v>
      </c>
      <c r="J33">
        <f t="shared" ca="1" si="8"/>
        <v>3</v>
      </c>
      <c r="K33">
        <f t="shared" ca="1" si="8"/>
        <v>2</v>
      </c>
      <c r="L33">
        <f t="shared" ca="1" si="8"/>
        <v>7</v>
      </c>
      <c r="M33">
        <f t="shared" ca="1" si="8"/>
        <v>10</v>
      </c>
      <c r="N33">
        <f t="shared" ca="1" si="8"/>
        <v>7</v>
      </c>
      <c r="O33">
        <f t="shared" ca="1" si="8"/>
        <v>1</v>
      </c>
      <c r="P33">
        <f t="shared" ca="1" si="8"/>
        <v>10</v>
      </c>
      <c r="Q33">
        <f t="shared" ca="1" si="8"/>
        <v>8</v>
      </c>
      <c r="R33">
        <f t="shared" ca="1" si="8"/>
        <v>4</v>
      </c>
      <c r="S33">
        <f t="shared" ca="1" si="9"/>
        <v>3</v>
      </c>
      <c r="T33">
        <f t="shared" ca="1" si="9"/>
        <v>8</v>
      </c>
      <c r="U33">
        <f t="shared" ca="1" si="9"/>
        <v>5</v>
      </c>
      <c r="V33">
        <f t="shared" ca="1" si="9"/>
        <v>10</v>
      </c>
      <c r="W33">
        <f t="shared" ca="1" si="9"/>
        <v>1</v>
      </c>
      <c r="X33">
        <f t="shared" ca="1" si="9"/>
        <v>9</v>
      </c>
      <c r="Y33">
        <f t="shared" ca="1" si="9"/>
        <v>8</v>
      </c>
      <c r="Z33">
        <f t="shared" ca="1" si="9"/>
        <v>8</v>
      </c>
      <c r="AA33">
        <f t="shared" ca="1" si="9"/>
        <v>4</v>
      </c>
      <c r="AB33">
        <f t="shared" ca="1" si="9"/>
        <v>7</v>
      </c>
      <c r="AC33">
        <f t="shared" ca="1" si="9"/>
        <v>6</v>
      </c>
      <c r="AD33">
        <f t="shared" ca="1" si="9"/>
        <v>10</v>
      </c>
      <c r="AE33">
        <f t="shared" ca="1" si="9"/>
        <v>6</v>
      </c>
      <c r="AF33">
        <f t="shared" ca="1" si="9"/>
        <v>10</v>
      </c>
      <c r="AH33" s="25">
        <f t="shared" ca="1" si="6"/>
        <v>191</v>
      </c>
      <c r="AI33">
        <v>367</v>
      </c>
      <c r="AJ33">
        <v>450</v>
      </c>
      <c r="AK33">
        <f t="shared" si="3"/>
        <v>83</v>
      </c>
      <c r="AL33" s="15">
        <f t="shared" ca="1" si="4"/>
        <v>85950</v>
      </c>
      <c r="AM33" s="15">
        <f t="shared" ca="1" si="5"/>
        <v>15853</v>
      </c>
    </row>
    <row r="34" spans="1:39">
      <c r="A34" s="27"/>
      <c r="B34" t="s">
        <v>51</v>
      </c>
      <c r="C34">
        <f t="shared" ca="1" si="8"/>
        <v>2</v>
      </c>
      <c r="D34">
        <f t="shared" ca="1" si="8"/>
        <v>4</v>
      </c>
      <c r="E34">
        <f t="shared" ca="1" si="8"/>
        <v>1</v>
      </c>
      <c r="F34">
        <f t="shared" ca="1" si="8"/>
        <v>7</v>
      </c>
      <c r="G34">
        <f t="shared" ca="1" si="8"/>
        <v>9</v>
      </c>
      <c r="H34">
        <f t="shared" ca="1" si="8"/>
        <v>3</v>
      </c>
      <c r="I34">
        <f t="shared" ca="1" si="8"/>
        <v>4</v>
      </c>
      <c r="J34">
        <f t="shared" ca="1" si="8"/>
        <v>5</v>
      </c>
      <c r="K34">
        <f t="shared" ca="1" si="8"/>
        <v>2</v>
      </c>
      <c r="L34">
        <f t="shared" ca="1" si="8"/>
        <v>9</v>
      </c>
      <c r="M34">
        <f t="shared" ca="1" si="8"/>
        <v>9</v>
      </c>
      <c r="N34">
        <f t="shared" ca="1" si="8"/>
        <v>8</v>
      </c>
      <c r="O34">
        <f t="shared" ca="1" si="8"/>
        <v>3</v>
      </c>
      <c r="P34">
        <f t="shared" ca="1" si="8"/>
        <v>3</v>
      </c>
      <c r="Q34">
        <f t="shared" ca="1" si="8"/>
        <v>5</v>
      </c>
      <c r="R34">
        <f t="shared" ca="1" si="8"/>
        <v>1</v>
      </c>
      <c r="S34">
        <f t="shared" ca="1" si="9"/>
        <v>1</v>
      </c>
      <c r="T34">
        <f t="shared" ca="1" si="9"/>
        <v>10</v>
      </c>
      <c r="U34">
        <f t="shared" ca="1" si="9"/>
        <v>6</v>
      </c>
      <c r="V34">
        <f t="shared" ca="1" si="9"/>
        <v>3</v>
      </c>
      <c r="W34">
        <f t="shared" ca="1" si="9"/>
        <v>10</v>
      </c>
      <c r="X34">
        <f t="shared" ca="1" si="9"/>
        <v>6</v>
      </c>
      <c r="Y34">
        <f t="shared" ca="1" si="9"/>
        <v>5</v>
      </c>
      <c r="Z34">
        <f t="shared" ca="1" si="9"/>
        <v>6</v>
      </c>
      <c r="AA34">
        <f t="shared" ca="1" si="9"/>
        <v>3</v>
      </c>
      <c r="AB34">
        <f t="shared" ca="1" si="9"/>
        <v>10</v>
      </c>
      <c r="AC34">
        <f t="shared" ca="1" si="9"/>
        <v>1</v>
      </c>
      <c r="AD34">
        <f t="shared" ca="1" si="9"/>
        <v>10</v>
      </c>
      <c r="AE34">
        <f t="shared" ca="1" si="9"/>
        <v>2</v>
      </c>
      <c r="AF34">
        <f t="shared" ca="1" si="9"/>
        <v>10</v>
      </c>
      <c r="AH34" s="25">
        <f t="shared" ca="1" si="6"/>
        <v>158</v>
      </c>
      <c r="AI34">
        <v>342</v>
      </c>
      <c r="AJ34">
        <v>390</v>
      </c>
      <c r="AK34">
        <f t="shared" si="3"/>
        <v>48</v>
      </c>
      <c r="AL34" s="15">
        <f t="shared" ca="1" si="4"/>
        <v>61620</v>
      </c>
      <c r="AM34" s="15">
        <f t="shared" ca="1" si="5"/>
        <v>7584</v>
      </c>
    </row>
    <row r="35" spans="1:39">
      <c r="A35" s="27"/>
      <c r="B35" t="s">
        <v>52</v>
      </c>
      <c r="C35">
        <f t="shared" ca="1" si="8"/>
        <v>4</v>
      </c>
      <c r="D35">
        <f t="shared" ca="1" si="8"/>
        <v>9</v>
      </c>
      <c r="E35">
        <f t="shared" ca="1" si="8"/>
        <v>5</v>
      </c>
      <c r="F35">
        <f t="shared" ca="1" si="8"/>
        <v>3</v>
      </c>
      <c r="G35">
        <f t="shared" ca="1" si="8"/>
        <v>4</v>
      </c>
      <c r="H35">
        <f t="shared" ca="1" si="8"/>
        <v>5</v>
      </c>
      <c r="I35">
        <f t="shared" ca="1" si="8"/>
        <v>8</v>
      </c>
      <c r="J35">
        <f t="shared" ca="1" si="8"/>
        <v>8</v>
      </c>
      <c r="K35">
        <f t="shared" ca="1" si="8"/>
        <v>5</v>
      </c>
      <c r="L35">
        <f t="shared" ca="1" si="8"/>
        <v>7</v>
      </c>
      <c r="M35">
        <f t="shared" ca="1" si="8"/>
        <v>7</v>
      </c>
      <c r="N35">
        <f t="shared" ca="1" si="8"/>
        <v>2</v>
      </c>
      <c r="O35">
        <f t="shared" ca="1" si="8"/>
        <v>2</v>
      </c>
      <c r="P35">
        <f t="shared" ca="1" si="8"/>
        <v>9</v>
      </c>
      <c r="Q35">
        <f t="shared" ca="1" si="8"/>
        <v>1</v>
      </c>
      <c r="R35">
        <f t="shared" ref="R35:AF50" ca="1" si="10">RANDBETWEEN(1,10)</f>
        <v>4</v>
      </c>
      <c r="S35">
        <f t="shared" ca="1" si="10"/>
        <v>4</v>
      </c>
      <c r="T35">
        <f t="shared" ca="1" si="10"/>
        <v>2</v>
      </c>
      <c r="U35">
        <f t="shared" ca="1" si="10"/>
        <v>7</v>
      </c>
      <c r="V35">
        <f t="shared" ca="1" si="10"/>
        <v>6</v>
      </c>
      <c r="W35">
        <f t="shared" ca="1" si="10"/>
        <v>10</v>
      </c>
      <c r="X35">
        <f t="shared" ca="1" si="10"/>
        <v>10</v>
      </c>
      <c r="Y35">
        <f t="shared" ca="1" si="10"/>
        <v>9</v>
      </c>
      <c r="Z35">
        <f t="shared" ca="1" si="10"/>
        <v>9</v>
      </c>
      <c r="AA35">
        <f t="shared" ca="1" si="10"/>
        <v>8</v>
      </c>
      <c r="AB35">
        <f t="shared" ca="1" si="10"/>
        <v>6</v>
      </c>
      <c r="AC35">
        <f t="shared" ca="1" si="10"/>
        <v>1</v>
      </c>
      <c r="AD35">
        <f t="shared" ca="1" si="10"/>
        <v>7</v>
      </c>
      <c r="AE35">
        <f t="shared" ca="1" si="10"/>
        <v>1</v>
      </c>
      <c r="AF35">
        <f t="shared" ca="1" si="10"/>
        <v>10</v>
      </c>
      <c r="AH35" s="25">
        <f t="shared" ca="1" si="6"/>
        <v>173</v>
      </c>
      <c r="AI35">
        <v>363</v>
      </c>
      <c r="AJ35">
        <v>420</v>
      </c>
      <c r="AK35">
        <f t="shared" si="3"/>
        <v>57</v>
      </c>
      <c r="AL35" s="15">
        <f t="shared" ca="1" si="4"/>
        <v>72660</v>
      </c>
      <c r="AM35" s="15">
        <f t="shared" ca="1" si="5"/>
        <v>9861</v>
      </c>
    </row>
    <row r="36" spans="1:39">
      <c r="A36" s="27"/>
      <c r="B36" t="s">
        <v>53</v>
      </c>
      <c r="C36">
        <f t="shared" ref="C36:R51" ca="1" si="11">RANDBETWEEN(1,10)</f>
        <v>10</v>
      </c>
      <c r="D36">
        <f t="shared" ca="1" si="11"/>
        <v>4</v>
      </c>
      <c r="E36">
        <f t="shared" ca="1" si="11"/>
        <v>7</v>
      </c>
      <c r="F36">
        <f t="shared" ca="1" si="11"/>
        <v>6</v>
      </c>
      <c r="G36">
        <f t="shared" ca="1" si="11"/>
        <v>5</v>
      </c>
      <c r="H36">
        <f t="shared" ca="1" si="11"/>
        <v>10</v>
      </c>
      <c r="I36">
        <f t="shared" ca="1" si="11"/>
        <v>3</v>
      </c>
      <c r="J36">
        <f t="shared" ca="1" si="11"/>
        <v>8</v>
      </c>
      <c r="K36">
        <f t="shared" ca="1" si="11"/>
        <v>7</v>
      </c>
      <c r="L36">
        <f t="shared" ca="1" si="11"/>
        <v>3</v>
      </c>
      <c r="M36">
        <f t="shared" ca="1" si="11"/>
        <v>6</v>
      </c>
      <c r="N36">
        <f t="shared" ca="1" si="11"/>
        <v>9</v>
      </c>
      <c r="O36">
        <f t="shared" ca="1" si="11"/>
        <v>9</v>
      </c>
      <c r="P36">
        <f t="shared" ca="1" si="11"/>
        <v>5</v>
      </c>
      <c r="Q36">
        <f t="shared" ca="1" si="11"/>
        <v>5</v>
      </c>
      <c r="R36">
        <f t="shared" ca="1" si="11"/>
        <v>2</v>
      </c>
      <c r="S36">
        <f t="shared" ca="1" si="10"/>
        <v>1</v>
      </c>
      <c r="T36">
        <f t="shared" ca="1" si="10"/>
        <v>4</v>
      </c>
      <c r="U36">
        <f t="shared" ca="1" si="10"/>
        <v>7</v>
      </c>
      <c r="V36">
        <f t="shared" ca="1" si="10"/>
        <v>8</v>
      </c>
      <c r="W36">
        <f t="shared" ca="1" si="10"/>
        <v>1</v>
      </c>
      <c r="X36">
        <f t="shared" ca="1" si="10"/>
        <v>3</v>
      </c>
      <c r="Y36">
        <f t="shared" ca="1" si="10"/>
        <v>7</v>
      </c>
      <c r="Z36">
        <f t="shared" ca="1" si="10"/>
        <v>2</v>
      </c>
      <c r="AA36">
        <f t="shared" ca="1" si="10"/>
        <v>5</v>
      </c>
      <c r="AB36">
        <f t="shared" ca="1" si="10"/>
        <v>9</v>
      </c>
      <c r="AC36">
        <f t="shared" ca="1" si="10"/>
        <v>2</v>
      </c>
      <c r="AD36">
        <f t="shared" ca="1" si="10"/>
        <v>5</v>
      </c>
      <c r="AE36">
        <f t="shared" ca="1" si="10"/>
        <v>4</v>
      </c>
      <c r="AF36">
        <f t="shared" ca="1" si="10"/>
        <v>4</v>
      </c>
      <c r="AH36" s="25">
        <f t="shared" ca="1" si="6"/>
        <v>161</v>
      </c>
      <c r="AI36">
        <v>263</v>
      </c>
      <c r="AJ36">
        <v>300</v>
      </c>
      <c r="AK36">
        <f t="shared" si="3"/>
        <v>37</v>
      </c>
      <c r="AL36" s="15">
        <f t="shared" ca="1" si="4"/>
        <v>48300</v>
      </c>
      <c r="AM36" s="15">
        <f t="shared" ca="1" si="5"/>
        <v>5957</v>
      </c>
    </row>
    <row r="37" spans="1:39">
      <c r="A37" s="27"/>
      <c r="B37" t="s">
        <v>54</v>
      </c>
      <c r="C37">
        <f t="shared" ca="1" si="11"/>
        <v>1</v>
      </c>
      <c r="D37">
        <f t="shared" ca="1" si="11"/>
        <v>4</v>
      </c>
      <c r="E37">
        <f t="shared" ca="1" si="11"/>
        <v>5</v>
      </c>
      <c r="F37">
        <f t="shared" ca="1" si="11"/>
        <v>7</v>
      </c>
      <c r="G37">
        <f t="shared" ca="1" si="11"/>
        <v>9</v>
      </c>
      <c r="H37">
        <f t="shared" ca="1" si="11"/>
        <v>7</v>
      </c>
      <c r="I37">
        <f t="shared" ca="1" si="11"/>
        <v>7</v>
      </c>
      <c r="J37">
        <f t="shared" ca="1" si="11"/>
        <v>8</v>
      </c>
      <c r="K37">
        <f t="shared" ca="1" si="11"/>
        <v>4</v>
      </c>
      <c r="L37">
        <f t="shared" ca="1" si="11"/>
        <v>3</v>
      </c>
      <c r="M37">
        <f t="shared" ca="1" si="11"/>
        <v>4</v>
      </c>
      <c r="N37">
        <f t="shared" ca="1" si="11"/>
        <v>3</v>
      </c>
      <c r="O37">
        <f t="shared" ca="1" si="11"/>
        <v>3</v>
      </c>
      <c r="P37">
        <f t="shared" ca="1" si="11"/>
        <v>7</v>
      </c>
      <c r="Q37">
        <f t="shared" ca="1" si="11"/>
        <v>3</v>
      </c>
      <c r="R37">
        <f t="shared" ca="1" si="11"/>
        <v>10</v>
      </c>
      <c r="S37">
        <f t="shared" ca="1" si="10"/>
        <v>8</v>
      </c>
      <c r="T37">
        <f t="shared" ca="1" si="10"/>
        <v>8</v>
      </c>
      <c r="U37">
        <f t="shared" ca="1" si="10"/>
        <v>1</v>
      </c>
      <c r="V37">
        <f t="shared" ca="1" si="10"/>
        <v>5</v>
      </c>
      <c r="W37">
        <f t="shared" ca="1" si="10"/>
        <v>2</v>
      </c>
      <c r="X37">
        <f t="shared" ca="1" si="10"/>
        <v>2</v>
      </c>
      <c r="Y37">
        <f t="shared" ca="1" si="10"/>
        <v>8</v>
      </c>
      <c r="Z37">
        <f t="shared" ca="1" si="10"/>
        <v>1</v>
      </c>
      <c r="AA37">
        <f t="shared" ca="1" si="10"/>
        <v>1</v>
      </c>
      <c r="AB37">
        <f t="shared" ca="1" si="10"/>
        <v>2</v>
      </c>
      <c r="AC37">
        <f t="shared" ca="1" si="10"/>
        <v>10</v>
      </c>
      <c r="AD37">
        <f t="shared" ca="1" si="10"/>
        <v>8</v>
      </c>
      <c r="AE37">
        <f t="shared" ca="1" si="10"/>
        <v>4</v>
      </c>
      <c r="AF37">
        <f t="shared" ca="1" si="10"/>
        <v>6</v>
      </c>
      <c r="AH37" s="25">
        <f t="shared" ca="1" si="6"/>
        <v>151</v>
      </c>
      <c r="AI37">
        <v>96</v>
      </c>
      <c r="AJ37">
        <v>120</v>
      </c>
      <c r="AK37">
        <f t="shared" si="3"/>
        <v>24</v>
      </c>
      <c r="AL37" s="15">
        <f t="shared" ca="1" si="4"/>
        <v>18120</v>
      </c>
      <c r="AM37" s="15">
        <f t="shared" ca="1" si="5"/>
        <v>3624</v>
      </c>
    </row>
    <row r="38" spans="1:39">
      <c r="A38" s="27"/>
      <c r="B38" t="s">
        <v>55</v>
      </c>
      <c r="C38">
        <f t="shared" ca="1" si="11"/>
        <v>9</v>
      </c>
      <c r="D38">
        <f t="shared" ca="1" si="11"/>
        <v>2</v>
      </c>
      <c r="E38">
        <f t="shared" ca="1" si="11"/>
        <v>7</v>
      </c>
      <c r="F38">
        <f t="shared" ca="1" si="11"/>
        <v>5</v>
      </c>
      <c r="G38">
        <f t="shared" ca="1" si="11"/>
        <v>3</v>
      </c>
      <c r="H38">
        <f t="shared" ca="1" si="11"/>
        <v>8</v>
      </c>
      <c r="I38">
        <f t="shared" ca="1" si="11"/>
        <v>7</v>
      </c>
      <c r="J38">
        <f t="shared" ca="1" si="11"/>
        <v>5</v>
      </c>
      <c r="K38">
        <f t="shared" ca="1" si="11"/>
        <v>5</v>
      </c>
      <c r="L38">
        <f t="shared" ca="1" si="11"/>
        <v>1</v>
      </c>
      <c r="M38">
        <f t="shared" ca="1" si="11"/>
        <v>4</v>
      </c>
      <c r="N38">
        <f t="shared" ca="1" si="11"/>
        <v>5</v>
      </c>
      <c r="O38">
        <f t="shared" ca="1" si="11"/>
        <v>1</v>
      </c>
      <c r="P38">
        <f t="shared" ca="1" si="11"/>
        <v>5</v>
      </c>
      <c r="Q38">
        <f t="shared" ca="1" si="11"/>
        <v>7</v>
      </c>
      <c r="R38">
        <f t="shared" ca="1" si="11"/>
        <v>2</v>
      </c>
      <c r="S38">
        <f t="shared" ca="1" si="10"/>
        <v>6</v>
      </c>
      <c r="T38">
        <f t="shared" ca="1" si="10"/>
        <v>10</v>
      </c>
      <c r="U38">
        <f t="shared" ca="1" si="10"/>
        <v>3</v>
      </c>
      <c r="V38">
        <f t="shared" ca="1" si="10"/>
        <v>9</v>
      </c>
      <c r="W38">
        <f t="shared" ca="1" si="10"/>
        <v>10</v>
      </c>
      <c r="X38">
        <f t="shared" ca="1" si="10"/>
        <v>9</v>
      </c>
      <c r="Y38">
        <f t="shared" ca="1" si="10"/>
        <v>4</v>
      </c>
      <c r="Z38">
        <f t="shared" ca="1" si="10"/>
        <v>7</v>
      </c>
      <c r="AA38">
        <f t="shared" ca="1" si="10"/>
        <v>7</v>
      </c>
      <c r="AB38">
        <f t="shared" ca="1" si="10"/>
        <v>8</v>
      </c>
      <c r="AC38">
        <f t="shared" ca="1" si="10"/>
        <v>4</v>
      </c>
      <c r="AD38">
        <f t="shared" ca="1" si="10"/>
        <v>6</v>
      </c>
      <c r="AE38">
        <f t="shared" ca="1" si="10"/>
        <v>6</v>
      </c>
      <c r="AF38">
        <f t="shared" ca="1" si="10"/>
        <v>8</v>
      </c>
      <c r="AH38" s="25">
        <f t="shared" ca="1" si="6"/>
        <v>173</v>
      </c>
      <c r="AI38">
        <v>196</v>
      </c>
      <c r="AJ38">
        <v>230</v>
      </c>
      <c r="AK38">
        <f t="shared" si="3"/>
        <v>34</v>
      </c>
      <c r="AL38" s="15">
        <f t="shared" ca="1" si="4"/>
        <v>39790</v>
      </c>
      <c r="AM38" s="15">
        <f t="shared" ca="1" si="5"/>
        <v>5882</v>
      </c>
    </row>
    <row r="39" spans="1:39">
      <c r="A39" s="27"/>
      <c r="B39" t="s">
        <v>56</v>
      </c>
      <c r="C39">
        <f t="shared" ca="1" si="11"/>
        <v>5</v>
      </c>
      <c r="D39">
        <f t="shared" ca="1" si="11"/>
        <v>2</v>
      </c>
      <c r="E39">
        <f t="shared" ca="1" si="11"/>
        <v>5</v>
      </c>
      <c r="F39">
        <f t="shared" ca="1" si="11"/>
        <v>7</v>
      </c>
      <c r="G39">
        <f t="shared" ca="1" si="11"/>
        <v>3</v>
      </c>
      <c r="H39">
        <f t="shared" ca="1" si="11"/>
        <v>7</v>
      </c>
      <c r="I39">
        <f t="shared" ca="1" si="11"/>
        <v>9</v>
      </c>
      <c r="J39">
        <f t="shared" ca="1" si="11"/>
        <v>7</v>
      </c>
      <c r="K39">
        <f t="shared" ca="1" si="11"/>
        <v>7</v>
      </c>
      <c r="L39">
        <f t="shared" ca="1" si="11"/>
        <v>6</v>
      </c>
      <c r="M39">
        <f t="shared" ca="1" si="11"/>
        <v>1</v>
      </c>
      <c r="N39">
        <f t="shared" ca="1" si="11"/>
        <v>1</v>
      </c>
      <c r="O39">
        <f t="shared" ca="1" si="11"/>
        <v>4</v>
      </c>
      <c r="P39">
        <f t="shared" ca="1" si="11"/>
        <v>4</v>
      </c>
      <c r="Q39">
        <f t="shared" ca="1" si="11"/>
        <v>2</v>
      </c>
      <c r="R39">
        <f t="shared" ca="1" si="11"/>
        <v>9</v>
      </c>
      <c r="S39">
        <f t="shared" ca="1" si="10"/>
        <v>5</v>
      </c>
      <c r="T39">
        <f t="shared" ca="1" si="10"/>
        <v>6</v>
      </c>
      <c r="U39">
        <f t="shared" ca="1" si="10"/>
        <v>3</v>
      </c>
      <c r="V39">
        <f t="shared" ca="1" si="10"/>
        <v>2</v>
      </c>
      <c r="W39">
        <f t="shared" ca="1" si="10"/>
        <v>10</v>
      </c>
      <c r="X39">
        <f t="shared" ca="1" si="10"/>
        <v>5</v>
      </c>
      <c r="Y39">
        <f t="shared" ca="1" si="10"/>
        <v>9</v>
      </c>
      <c r="Z39">
        <f t="shared" ca="1" si="10"/>
        <v>2</v>
      </c>
      <c r="AA39">
        <f t="shared" ca="1" si="10"/>
        <v>4</v>
      </c>
      <c r="AB39">
        <f t="shared" ca="1" si="10"/>
        <v>5</v>
      </c>
      <c r="AC39">
        <f t="shared" ca="1" si="10"/>
        <v>10</v>
      </c>
      <c r="AD39">
        <f t="shared" ca="1" si="10"/>
        <v>5</v>
      </c>
      <c r="AE39">
        <f t="shared" ca="1" si="10"/>
        <v>2</v>
      </c>
      <c r="AF39">
        <f t="shared" ca="1" si="10"/>
        <v>3</v>
      </c>
      <c r="AH39" s="25">
        <f t="shared" ca="1" si="6"/>
        <v>150</v>
      </c>
      <c r="AI39">
        <v>98</v>
      </c>
      <c r="AJ39">
        <v>115</v>
      </c>
      <c r="AK39">
        <f t="shared" si="3"/>
        <v>17</v>
      </c>
      <c r="AL39" s="15">
        <f t="shared" ca="1" si="4"/>
        <v>17250</v>
      </c>
      <c r="AM39" s="15">
        <f t="shared" ca="1" si="5"/>
        <v>2550</v>
      </c>
    </row>
    <row r="40" spans="1:39">
      <c r="A40" s="27"/>
      <c r="B40" t="s">
        <v>57</v>
      </c>
      <c r="C40">
        <f t="shared" ca="1" si="11"/>
        <v>9</v>
      </c>
      <c r="D40">
        <f t="shared" ca="1" si="11"/>
        <v>6</v>
      </c>
      <c r="E40">
        <f t="shared" ca="1" si="11"/>
        <v>8</v>
      </c>
      <c r="F40">
        <f t="shared" ca="1" si="11"/>
        <v>1</v>
      </c>
      <c r="G40">
        <f t="shared" ca="1" si="11"/>
        <v>9</v>
      </c>
      <c r="H40">
        <f t="shared" ca="1" si="11"/>
        <v>1</v>
      </c>
      <c r="I40">
        <f t="shared" ca="1" si="11"/>
        <v>1</v>
      </c>
      <c r="J40">
        <f t="shared" ca="1" si="11"/>
        <v>3</v>
      </c>
      <c r="K40">
        <f t="shared" ca="1" si="11"/>
        <v>6</v>
      </c>
      <c r="L40">
        <f t="shared" ca="1" si="11"/>
        <v>6</v>
      </c>
      <c r="M40">
        <f t="shared" ca="1" si="11"/>
        <v>3</v>
      </c>
      <c r="N40">
        <f t="shared" ca="1" si="11"/>
        <v>7</v>
      </c>
      <c r="O40">
        <f t="shared" ca="1" si="11"/>
        <v>7</v>
      </c>
      <c r="P40">
        <f t="shared" ca="1" si="11"/>
        <v>3</v>
      </c>
      <c r="Q40">
        <f t="shared" ca="1" si="11"/>
        <v>6</v>
      </c>
      <c r="R40">
        <f t="shared" ca="1" si="11"/>
        <v>7</v>
      </c>
      <c r="S40">
        <f t="shared" ca="1" si="10"/>
        <v>4</v>
      </c>
      <c r="T40">
        <f t="shared" ca="1" si="10"/>
        <v>9</v>
      </c>
      <c r="U40">
        <f t="shared" ca="1" si="10"/>
        <v>10</v>
      </c>
      <c r="V40">
        <f t="shared" ca="1" si="10"/>
        <v>9</v>
      </c>
      <c r="W40">
        <f t="shared" ca="1" si="10"/>
        <v>5</v>
      </c>
      <c r="X40">
        <f t="shared" ca="1" si="10"/>
        <v>3</v>
      </c>
      <c r="Y40">
        <f t="shared" ca="1" si="10"/>
        <v>9</v>
      </c>
      <c r="Z40">
        <f t="shared" ca="1" si="10"/>
        <v>7</v>
      </c>
      <c r="AA40">
        <f t="shared" ca="1" si="10"/>
        <v>6</v>
      </c>
      <c r="AB40">
        <f t="shared" ca="1" si="10"/>
        <v>1</v>
      </c>
      <c r="AC40">
        <f t="shared" ca="1" si="10"/>
        <v>8</v>
      </c>
      <c r="AD40">
        <f t="shared" ca="1" si="10"/>
        <v>2</v>
      </c>
      <c r="AE40">
        <f t="shared" ca="1" si="10"/>
        <v>5</v>
      </c>
      <c r="AF40">
        <f t="shared" ca="1" si="10"/>
        <v>4</v>
      </c>
      <c r="AH40" s="25">
        <f t="shared" ca="1" si="6"/>
        <v>165</v>
      </c>
      <c r="AI40">
        <v>75</v>
      </c>
      <c r="AJ40">
        <v>99</v>
      </c>
      <c r="AK40">
        <f t="shared" si="3"/>
        <v>24</v>
      </c>
      <c r="AL40" s="15">
        <f t="shared" ca="1" si="4"/>
        <v>16335</v>
      </c>
      <c r="AM40" s="15">
        <f t="shared" ca="1" si="5"/>
        <v>3960</v>
      </c>
    </row>
    <row r="41" spans="1:39">
      <c r="A41" s="27"/>
      <c r="B41" t="s">
        <v>58</v>
      </c>
      <c r="C41">
        <f t="shared" ca="1" si="11"/>
        <v>9</v>
      </c>
      <c r="D41">
        <f t="shared" ca="1" si="11"/>
        <v>9</v>
      </c>
      <c r="E41">
        <f t="shared" ca="1" si="11"/>
        <v>5</v>
      </c>
      <c r="F41">
        <f t="shared" ca="1" si="11"/>
        <v>9</v>
      </c>
      <c r="G41">
        <f t="shared" ca="1" si="11"/>
        <v>8</v>
      </c>
      <c r="H41">
        <f t="shared" ca="1" si="11"/>
        <v>8</v>
      </c>
      <c r="I41">
        <f t="shared" ca="1" si="11"/>
        <v>6</v>
      </c>
      <c r="J41">
        <f t="shared" ca="1" si="11"/>
        <v>1</v>
      </c>
      <c r="K41">
        <f t="shared" ca="1" si="11"/>
        <v>9</v>
      </c>
      <c r="L41">
        <f t="shared" ca="1" si="11"/>
        <v>4</v>
      </c>
      <c r="M41">
        <f t="shared" ca="1" si="11"/>
        <v>3</v>
      </c>
      <c r="N41">
        <f t="shared" ca="1" si="11"/>
        <v>5</v>
      </c>
      <c r="O41">
        <f t="shared" ca="1" si="11"/>
        <v>5</v>
      </c>
      <c r="P41">
        <f t="shared" ca="1" si="11"/>
        <v>7</v>
      </c>
      <c r="Q41">
        <f t="shared" ca="1" si="11"/>
        <v>10</v>
      </c>
      <c r="R41">
        <f t="shared" ca="1" si="11"/>
        <v>10</v>
      </c>
      <c r="S41">
        <f t="shared" ca="1" si="10"/>
        <v>6</v>
      </c>
      <c r="T41">
        <f t="shared" ca="1" si="10"/>
        <v>3</v>
      </c>
      <c r="U41">
        <f t="shared" ca="1" si="10"/>
        <v>6</v>
      </c>
      <c r="V41">
        <f t="shared" ca="1" si="10"/>
        <v>5</v>
      </c>
      <c r="W41">
        <f t="shared" ca="1" si="10"/>
        <v>1</v>
      </c>
      <c r="X41">
        <f t="shared" ca="1" si="10"/>
        <v>8</v>
      </c>
      <c r="Y41">
        <f t="shared" ca="1" si="10"/>
        <v>9</v>
      </c>
      <c r="Z41">
        <f t="shared" ca="1" si="10"/>
        <v>2</v>
      </c>
      <c r="AA41">
        <f t="shared" ca="1" si="10"/>
        <v>7</v>
      </c>
      <c r="AB41">
        <f t="shared" ca="1" si="10"/>
        <v>8</v>
      </c>
      <c r="AC41">
        <f t="shared" ca="1" si="10"/>
        <v>2</v>
      </c>
      <c r="AD41">
        <f t="shared" ca="1" si="10"/>
        <v>7</v>
      </c>
      <c r="AE41">
        <f t="shared" ca="1" si="10"/>
        <v>8</v>
      </c>
      <c r="AF41">
        <f t="shared" ca="1" si="10"/>
        <v>6</v>
      </c>
      <c r="AH41" s="25">
        <f t="shared" ca="1" si="6"/>
        <v>186</v>
      </c>
      <c r="AI41">
        <v>105</v>
      </c>
      <c r="AJ41">
        <v>140</v>
      </c>
      <c r="AK41">
        <f t="shared" si="3"/>
        <v>35</v>
      </c>
      <c r="AL41" s="15">
        <f t="shared" ca="1" si="4"/>
        <v>26040</v>
      </c>
      <c r="AM41" s="15">
        <f t="shared" ca="1" si="5"/>
        <v>6510</v>
      </c>
    </row>
    <row r="42" spans="1:39">
      <c r="A42" s="27"/>
      <c r="B42" t="s">
        <v>59</v>
      </c>
      <c r="C42">
        <f t="shared" ca="1" si="11"/>
        <v>10</v>
      </c>
      <c r="D42">
        <f t="shared" ca="1" si="11"/>
        <v>9</v>
      </c>
      <c r="E42">
        <f t="shared" ca="1" si="11"/>
        <v>2</v>
      </c>
      <c r="F42">
        <f t="shared" ca="1" si="11"/>
        <v>10</v>
      </c>
      <c r="G42">
        <f t="shared" ca="1" si="11"/>
        <v>2</v>
      </c>
      <c r="H42">
        <f t="shared" ca="1" si="11"/>
        <v>6</v>
      </c>
      <c r="I42">
        <f t="shared" ca="1" si="11"/>
        <v>8</v>
      </c>
      <c r="J42">
        <f t="shared" ca="1" si="11"/>
        <v>1</v>
      </c>
      <c r="K42">
        <f t="shared" ca="1" si="11"/>
        <v>2</v>
      </c>
      <c r="L42">
        <f t="shared" ca="1" si="11"/>
        <v>4</v>
      </c>
      <c r="M42">
        <f t="shared" ca="1" si="11"/>
        <v>2</v>
      </c>
      <c r="N42">
        <f t="shared" ca="1" si="11"/>
        <v>9</v>
      </c>
      <c r="O42">
        <f t="shared" ca="1" si="11"/>
        <v>8</v>
      </c>
      <c r="P42">
        <f t="shared" ca="1" si="11"/>
        <v>3</v>
      </c>
      <c r="Q42">
        <f t="shared" ca="1" si="11"/>
        <v>5</v>
      </c>
      <c r="R42">
        <f t="shared" ca="1" si="11"/>
        <v>7</v>
      </c>
      <c r="S42">
        <f t="shared" ca="1" si="10"/>
        <v>5</v>
      </c>
      <c r="T42">
        <f t="shared" ca="1" si="10"/>
        <v>10</v>
      </c>
      <c r="U42">
        <f t="shared" ca="1" si="10"/>
        <v>2</v>
      </c>
      <c r="V42">
        <f t="shared" ca="1" si="10"/>
        <v>9</v>
      </c>
      <c r="W42">
        <f t="shared" ca="1" si="10"/>
        <v>2</v>
      </c>
      <c r="X42">
        <f t="shared" ca="1" si="10"/>
        <v>10</v>
      </c>
      <c r="Y42">
        <f t="shared" ca="1" si="10"/>
        <v>4</v>
      </c>
      <c r="Z42">
        <f t="shared" ca="1" si="10"/>
        <v>8</v>
      </c>
      <c r="AA42">
        <f t="shared" ca="1" si="10"/>
        <v>9</v>
      </c>
      <c r="AB42">
        <f t="shared" ca="1" si="10"/>
        <v>3</v>
      </c>
      <c r="AC42">
        <f t="shared" ca="1" si="10"/>
        <v>5</v>
      </c>
      <c r="AD42">
        <f t="shared" ca="1" si="10"/>
        <v>3</v>
      </c>
      <c r="AE42">
        <f t="shared" ca="1" si="10"/>
        <v>7</v>
      </c>
      <c r="AF42">
        <f t="shared" ca="1" si="10"/>
        <v>3</v>
      </c>
      <c r="AH42" s="25">
        <f t="shared" ca="1" si="6"/>
        <v>168</v>
      </c>
      <c r="AI42">
        <v>37</v>
      </c>
      <c r="AJ42">
        <v>50</v>
      </c>
      <c r="AK42">
        <f t="shared" si="3"/>
        <v>13</v>
      </c>
      <c r="AL42" s="15">
        <f t="shared" ca="1" si="4"/>
        <v>8400</v>
      </c>
      <c r="AM42" s="15">
        <f t="shared" ca="1" si="5"/>
        <v>2184</v>
      </c>
    </row>
    <row r="43" spans="1:39">
      <c r="A43" s="27"/>
      <c r="B43" t="s">
        <v>60</v>
      </c>
      <c r="C43">
        <f t="shared" ca="1" si="11"/>
        <v>6</v>
      </c>
      <c r="D43">
        <f t="shared" ca="1" si="11"/>
        <v>10</v>
      </c>
      <c r="E43">
        <f t="shared" ca="1" si="11"/>
        <v>7</v>
      </c>
      <c r="F43">
        <f t="shared" ca="1" si="11"/>
        <v>8</v>
      </c>
      <c r="G43">
        <f t="shared" ca="1" si="11"/>
        <v>5</v>
      </c>
      <c r="H43">
        <f t="shared" ca="1" si="11"/>
        <v>6</v>
      </c>
      <c r="I43">
        <f t="shared" ca="1" si="11"/>
        <v>4</v>
      </c>
      <c r="J43">
        <f t="shared" ca="1" si="11"/>
        <v>5</v>
      </c>
      <c r="K43">
        <f t="shared" ca="1" si="11"/>
        <v>8</v>
      </c>
      <c r="L43">
        <f t="shared" ca="1" si="11"/>
        <v>5</v>
      </c>
      <c r="M43">
        <f t="shared" ca="1" si="11"/>
        <v>3</v>
      </c>
      <c r="N43">
        <f t="shared" ca="1" si="11"/>
        <v>4</v>
      </c>
      <c r="O43">
        <f t="shared" ca="1" si="11"/>
        <v>7</v>
      </c>
      <c r="P43">
        <f t="shared" ca="1" si="11"/>
        <v>8</v>
      </c>
      <c r="Q43">
        <f t="shared" ca="1" si="11"/>
        <v>5</v>
      </c>
      <c r="R43">
        <f t="shared" ca="1" si="11"/>
        <v>4</v>
      </c>
      <c r="S43">
        <f t="shared" ca="1" si="10"/>
        <v>8</v>
      </c>
      <c r="T43">
        <f t="shared" ca="1" si="10"/>
        <v>3</v>
      </c>
      <c r="U43">
        <f t="shared" ca="1" si="10"/>
        <v>8</v>
      </c>
      <c r="V43">
        <f t="shared" ca="1" si="10"/>
        <v>3</v>
      </c>
      <c r="W43">
        <f t="shared" ca="1" si="10"/>
        <v>5</v>
      </c>
      <c r="X43">
        <f t="shared" ca="1" si="10"/>
        <v>4</v>
      </c>
      <c r="Y43">
        <f t="shared" ca="1" si="10"/>
        <v>10</v>
      </c>
      <c r="Z43">
        <f t="shared" ca="1" si="10"/>
        <v>1</v>
      </c>
      <c r="AA43">
        <f t="shared" ca="1" si="10"/>
        <v>6</v>
      </c>
      <c r="AB43">
        <f t="shared" ca="1" si="10"/>
        <v>4</v>
      </c>
      <c r="AC43">
        <f t="shared" ca="1" si="10"/>
        <v>1</v>
      </c>
      <c r="AD43">
        <f t="shared" ca="1" si="10"/>
        <v>10</v>
      </c>
      <c r="AE43">
        <f t="shared" ca="1" si="10"/>
        <v>2</v>
      </c>
      <c r="AF43">
        <f t="shared" ca="1" si="10"/>
        <v>8</v>
      </c>
      <c r="AH43" s="25">
        <f t="shared" ca="1" si="6"/>
        <v>168</v>
      </c>
      <c r="AI43">
        <v>221</v>
      </c>
      <c r="AJ43">
        <v>250</v>
      </c>
      <c r="AK43">
        <f t="shared" si="3"/>
        <v>29</v>
      </c>
      <c r="AL43" s="15">
        <f t="shared" ca="1" si="4"/>
        <v>42000</v>
      </c>
      <c r="AM43" s="15">
        <f t="shared" ca="1" si="5"/>
        <v>4872</v>
      </c>
    </row>
    <row r="44" spans="1:39">
      <c r="A44" s="27"/>
      <c r="B44" t="s">
        <v>61</v>
      </c>
      <c r="C44">
        <f t="shared" ca="1" si="11"/>
        <v>2</v>
      </c>
      <c r="D44">
        <f t="shared" ca="1" si="11"/>
        <v>1</v>
      </c>
      <c r="E44">
        <f t="shared" ca="1" si="11"/>
        <v>3</v>
      </c>
      <c r="F44">
        <f t="shared" ca="1" si="11"/>
        <v>7</v>
      </c>
      <c r="G44">
        <f t="shared" ca="1" si="11"/>
        <v>8</v>
      </c>
      <c r="H44">
        <f t="shared" ca="1" si="11"/>
        <v>2</v>
      </c>
      <c r="I44">
        <f t="shared" ca="1" si="11"/>
        <v>7</v>
      </c>
      <c r="J44">
        <f t="shared" ca="1" si="11"/>
        <v>2</v>
      </c>
      <c r="K44">
        <f t="shared" ca="1" si="11"/>
        <v>9</v>
      </c>
      <c r="L44">
        <f t="shared" ca="1" si="11"/>
        <v>9</v>
      </c>
      <c r="M44">
        <f t="shared" ca="1" si="11"/>
        <v>6</v>
      </c>
      <c r="N44">
        <f t="shared" ca="1" si="11"/>
        <v>7</v>
      </c>
      <c r="O44">
        <f t="shared" ca="1" si="11"/>
        <v>6</v>
      </c>
      <c r="P44">
        <f t="shared" ca="1" si="11"/>
        <v>6</v>
      </c>
      <c r="Q44">
        <f t="shared" ca="1" si="11"/>
        <v>2</v>
      </c>
      <c r="R44">
        <f t="shared" ca="1" si="11"/>
        <v>5</v>
      </c>
      <c r="S44">
        <f t="shared" ca="1" si="10"/>
        <v>10</v>
      </c>
      <c r="T44">
        <f t="shared" ca="1" si="10"/>
        <v>5</v>
      </c>
      <c r="U44">
        <f t="shared" ca="1" si="10"/>
        <v>9</v>
      </c>
      <c r="V44">
        <f t="shared" ca="1" si="10"/>
        <v>4</v>
      </c>
      <c r="W44">
        <f t="shared" ca="1" si="10"/>
        <v>8</v>
      </c>
      <c r="X44">
        <f t="shared" ca="1" si="10"/>
        <v>6</v>
      </c>
      <c r="Y44">
        <f t="shared" ca="1" si="10"/>
        <v>3</v>
      </c>
      <c r="Z44">
        <f t="shared" ca="1" si="10"/>
        <v>8</v>
      </c>
      <c r="AA44">
        <f t="shared" ca="1" si="10"/>
        <v>3</v>
      </c>
      <c r="AB44">
        <f t="shared" ca="1" si="10"/>
        <v>8</v>
      </c>
      <c r="AC44">
        <f t="shared" ca="1" si="10"/>
        <v>2</v>
      </c>
      <c r="AD44">
        <f t="shared" ca="1" si="10"/>
        <v>9</v>
      </c>
      <c r="AE44">
        <f t="shared" ca="1" si="10"/>
        <v>7</v>
      </c>
      <c r="AF44">
        <f t="shared" ca="1" si="10"/>
        <v>9</v>
      </c>
      <c r="AH44" s="25">
        <f t="shared" ca="1" si="6"/>
        <v>173</v>
      </c>
      <c r="AI44">
        <v>140</v>
      </c>
      <c r="AJ44">
        <v>150</v>
      </c>
      <c r="AK44">
        <f t="shared" si="3"/>
        <v>10</v>
      </c>
      <c r="AL44" s="15">
        <f t="shared" ca="1" si="4"/>
        <v>25950</v>
      </c>
      <c r="AM44" s="15">
        <f t="shared" ca="1" si="5"/>
        <v>1730</v>
      </c>
    </row>
    <row r="45" spans="1:39">
      <c r="A45" s="27"/>
      <c r="B45" t="s">
        <v>62</v>
      </c>
      <c r="C45">
        <f t="shared" ca="1" si="11"/>
        <v>5</v>
      </c>
      <c r="D45">
        <f t="shared" ca="1" si="11"/>
        <v>10</v>
      </c>
      <c r="E45">
        <f t="shared" ca="1" si="11"/>
        <v>3</v>
      </c>
      <c r="F45">
        <f t="shared" ca="1" si="11"/>
        <v>3</v>
      </c>
      <c r="G45">
        <f t="shared" ca="1" si="11"/>
        <v>9</v>
      </c>
      <c r="H45">
        <f t="shared" ca="1" si="11"/>
        <v>7</v>
      </c>
      <c r="I45">
        <f t="shared" ca="1" si="11"/>
        <v>10</v>
      </c>
      <c r="J45">
        <f t="shared" ca="1" si="11"/>
        <v>3</v>
      </c>
      <c r="K45">
        <f t="shared" ca="1" si="11"/>
        <v>4</v>
      </c>
      <c r="L45">
        <f t="shared" ca="1" si="11"/>
        <v>8</v>
      </c>
      <c r="M45">
        <f t="shared" ca="1" si="11"/>
        <v>10</v>
      </c>
      <c r="N45">
        <f t="shared" ca="1" si="11"/>
        <v>3</v>
      </c>
      <c r="O45">
        <f t="shared" ca="1" si="11"/>
        <v>1</v>
      </c>
      <c r="P45">
        <f t="shared" ca="1" si="11"/>
        <v>2</v>
      </c>
      <c r="Q45">
        <f t="shared" ca="1" si="11"/>
        <v>10</v>
      </c>
      <c r="R45">
        <f t="shared" ca="1" si="11"/>
        <v>4</v>
      </c>
      <c r="S45">
        <f t="shared" ca="1" si="10"/>
        <v>9</v>
      </c>
      <c r="T45">
        <f t="shared" ca="1" si="10"/>
        <v>4</v>
      </c>
      <c r="U45">
        <f t="shared" ca="1" si="10"/>
        <v>1</v>
      </c>
      <c r="V45">
        <f t="shared" ca="1" si="10"/>
        <v>3</v>
      </c>
      <c r="W45">
        <f t="shared" ca="1" si="10"/>
        <v>9</v>
      </c>
      <c r="X45">
        <f t="shared" ca="1" si="10"/>
        <v>5</v>
      </c>
      <c r="Y45">
        <f t="shared" ca="1" si="10"/>
        <v>9</v>
      </c>
      <c r="Z45">
        <f t="shared" ca="1" si="10"/>
        <v>7</v>
      </c>
      <c r="AA45">
        <f t="shared" ca="1" si="10"/>
        <v>5</v>
      </c>
      <c r="AB45">
        <f t="shared" ca="1" si="10"/>
        <v>4</v>
      </c>
      <c r="AC45">
        <f t="shared" ca="1" si="10"/>
        <v>3</v>
      </c>
      <c r="AD45">
        <f t="shared" ca="1" si="10"/>
        <v>6</v>
      </c>
      <c r="AE45">
        <f t="shared" ca="1" si="10"/>
        <v>9</v>
      </c>
      <c r="AF45">
        <f t="shared" ca="1" si="10"/>
        <v>3</v>
      </c>
      <c r="AH45" s="25">
        <f t="shared" ca="1" si="6"/>
        <v>169</v>
      </c>
      <c r="AI45">
        <v>154</v>
      </c>
      <c r="AJ45">
        <v>170</v>
      </c>
      <c r="AK45">
        <f t="shared" si="3"/>
        <v>16</v>
      </c>
      <c r="AL45" s="15">
        <f t="shared" ca="1" si="4"/>
        <v>28730</v>
      </c>
      <c r="AM45" s="15">
        <f t="shared" ca="1" si="5"/>
        <v>2704</v>
      </c>
    </row>
    <row r="46" spans="1:39">
      <c r="A46" s="27"/>
      <c r="B46" t="s">
        <v>63</v>
      </c>
      <c r="C46">
        <f t="shared" ca="1" si="11"/>
        <v>2</v>
      </c>
      <c r="D46">
        <f t="shared" ca="1" si="11"/>
        <v>10</v>
      </c>
      <c r="E46">
        <f t="shared" ca="1" si="11"/>
        <v>10</v>
      </c>
      <c r="F46">
        <f t="shared" ca="1" si="11"/>
        <v>1</v>
      </c>
      <c r="G46">
        <f t="shared" ca="1" si="11"/>
        <v>1</v>
      </c>
      <c r="H46">
        <f t="shared" ca="1" si="11"/>
        <v>10</v>
      </c>
      <c r="I46">
        <f t="shared" ca="1" si="11"/>
        <v>5</v>
      </c>
      <c r="J46">
        <f t="shared" ca="1" si="11"/>
        <v>7</v>
      </c>
      <c r="K46">
        <f t="shared" ca="1" si="11"/>
        <v>2</v>
      </c>
      <c r="L46">
        <f t="shared" ca="1" si="11"/>
        <v>1</v>
      </c>
      <c r="M46">
        <f t="shared" ca="1" si="11"/>
        <v>3</v>
      </c>
      <c r="N46">
        <f t="shared" ca="1" si="11"/>
        <v>9</v>
      </c>
      <c r="O46">
        <f t="shared" ca="1" si="11"/>
        <v>1</v>
      </c>
      <c r="P46">
        <f t="shared" ca="1" si="11"/>
        <v>4</v>
      </c>
      <c r="Q46">
        <f t="shared" ca="1" si="11"/>
        <v>10</v>
      </c>
      <c r="R46">
        <f t="shared" ca="1" si="11"/>
        <v>5</v>
      </c>
      <c r="S46">
        <f t="shared" ca="1" si="10"/>
        <v>4</v>
      </c>
      <c r="T46">
        <f t="shared" ca="1" si="10"/>
        <v>2</v>
      </c>
      <c r="U46">
        <f t="shared" ca="1" si="10"/>
        <v>5</v>
      </c>
      <c r="V46">
        <f t="shared" ca="1" si="10"/>
        <v>2</v>
      </c>
      <c r="W46">
        <f t="shared" ca="1" si="10"/>
        <v>1</v>
      </c>
      <c r="X46">
        <f t="shared" ca="1" si="10"/>
        <v>8</v>
      </c>
      <c r="Y46">
        <f t="shared" ca="1" si="10"/>
        <v>10</v>
      </c>
      <c r="Z46">
        <f t="shared" ca="1" si="10"/>
        <v>5</v>
      </c>
      <c r="AA46">
        <f t="shared" ca="1" si="10"/>
        <v>7</v>
      </c>
      <c r="AB46">
        <f t="shared" ca="1" si="10"/>
        <v>6</v>
      </c>
      <c r="AC46">
        <f t="shared" ca="1" si="10"/>
        <v>10</v>
      </c>
      <c r="AD46">
        <f t="shared" ca="1" si="10"/>
        <v>5</v>
      </c>
      <c r="AE46">
        <f t="shared" ca="1" si="10"/>
        <v>6</v>
      </c>
      <c r="AF46">
        <f t="shared" ca="1" si="10"/>
        <v>8</v>
      </c>
      <c r="AH46" s="25">
        <f t="shared" ca="1" si="6"/>
        <v>160</v>
      </c>
      <c r="AI46">
        <v>322</v>
      </c>
      <c r="AJ46">
        <v>345</v>
      </c>
      <c r="AK46">
        <f t="shared" si="3"/>
        <v>23</v>
      </c>
      <c r="AL46" s="15">
        <f t="shared" ca="1" si="4"/>
        <v>55200</v>
      </c>
      <c r="AM46" s="15">
        <f t="shared" ca="1" si="5"/>
        <v>3680</v>
      </c>
    </row>
    <row r="47" spans="1:39">
      <c r="A47" s="27"/>
      <c r="B47" t="s">
        <v>64</v>
      </c>
      <c r="C47">
        <f t="shared" ca="1" si="11"/>
        <v>10</v>
      </c>
      <c r="D47">
        <f t="shared" ca="1" si="11"/>
        <v>2</v>
      </c>
      <c r="E47">
        <f t="shared" ca="1" si="11"/>
        <v>3</v>
      </c>
      <c r="F47">
        <f t="shared" ca="1" si="11"/>
        <v>3</v>
      </c>
      <c r="G47">
        <f t="shared" ca="1" si="11"/>
        <v>8</v>
      </c>
      <c r="H47">
        <f t="shared" ca="1" si="11"/>
        <v>7</v>
      </c>
      <c r="I47">
        <f t="shared" ca="1" si="11"/>
        <v>6</v>
      </c>
      <c r="J47">
        <f t="shared" ca="1" si="11"/>
        <v>2</v>
      </c>
      <c r="K47">
        <f t="shared" ca="1" si="11"/>
        <v>10</v>
      </c>
      <c r="L47">
        <f t="shared" ca="1" si="11"/>
        <v>10</v>
      </c>
      <c r="M47">
        <f t="shared" ca="1" si="11"/>
        <v>8</v>
      </c>
      <c r="N47">
        <f t="shared" ca="1" si="11"/>
        <v>8</v>
      </c>
      <c r="O47">
        <f t="shared" ca="1" si="11"/>
        <v>9</v>
      </c>
      <c r="P47">
        <f t="shared" ca="1" si="11"/>
        <v>10</v>
      </c>
      <c r="Q47">
        <f t="shared" ca="1" si="11"/>
        <v>5</v>
      </c>
      <c r="R47">
        <f t="shared" ca="1" si="11"/>
        <v>3</v>
      </c>
      <c r="S47">
        <f t="shared" ca="1" si="10"/>
        <v>1</v>
      </c>
      <c r="T47">
        <f t="shared" ca="1" si="10"/>
        <v>5</v>
      </c>
      <c r="U47">
        <f t="shared" ca="1" si="10"/>
        <v>8</v>
      </c>
      <c r="V47">
        <f t="shared" ca="1" si="10"/>
        <v>2</v>
      </c>
      <c r="W47">
        <f t="shared" ca="1" si="10"/>
        <v>1</v>
      </c>
      <c r="X47">
        <f t="shared" ca="1" si="10"/>
        <v>9</v>
      </c>
      <c r="Y47">
        <f t="shared" ca="1" si="10"/>
        <v>3</v>
      </c>
      <c r="Z47">
        <f t="shared" ca="1" si="10"/>
        <v>7</v>
      </c>
      <c r="AA47">
        <f t="shared" ca="1" si="10"/>
        <v>9</v>
      </c>
      <c r="AB47">
        <f t="shared" ca="1" si="10"/>
        <v>8</v>
      </c>
      <c r="AC47">
        <f t="shared" ca="1" si="10"/>
        <v>5</v>
      </c>
      <c r="AD47">
        <f t="shared" ca="1" si="10"/>
        <v>4</v>
      </c>
      <c r="AE47">
        <f t="shared" ca="1" si="10"/>
        <v>7</v>
      </c>
      <c r="AF47">
        <f t="shared" ca="1" si="10"/>
        <v>3</v>
      </c>
      <c r="AH47" s="25">
        <f t="shared" ca="1" si="6"/>
        <v>176</v>
      </c>
      <c r="AI47">
        <v>380</v>
      </c>
      <c r="AJ47">
        <v>456</v>
      </c>
      <c r="AK47">
        <f t="shared" si="3"/>
        <v>76</v>
      </c>
      <c r="AL47" s="15">
        <f t="shared" ca="1" si="4"/>
        <v>80256</v>
      </c>
      <c r="AM47" s="15">
        <f t="shared" ca="1" si="5"/>
        <v>13376</v>
      </c>
    </row>
    <row r="48" spans="1:39">
      <c r="A48" s="27"/>
      <c r="B48" t="s">
        <v>65</v>
      </c>
      <c r="C48">
        <f t="shared" ca="1" si="11"/>
        <v>6</v>
      </c>
      <c r="D48">
        <f t="shared" ca="1" si="11"/>
        <v>6</v>
      </c>
      <c r="E48">
        <f t="shared" ca="1" si="11"/>
        <v>9</v>
      </c>
      <c r="F48">
        <f t="shared" ca="1" si="11"/>
        <v>10</v>
      </c>
      <c r="G48">
        <f t="shared" ca="1" si="11"/>
        <v>5</v>
      </c>
      <c r="H48">
        <f t="shared" ca="1" si="11"/>
        <v>3</v>
      </c>
      <c r="I48">
        <f t="shared" ca="1" si="11"/>
        <v>9</v>
      </c>
      <c r="J48">
        <f t="shared" ca="1" si="11"/>
        <v>8</v>
      </c>
      <c r="K48">
        <f t="shared" ca="1" si="11"/>
        <v>3</v>
      </c>
      <c r="L48">
        <f t="shared" ca="1" si="11"/>
        <v>5</v>
      </c>
      <c r="M48">
        <f t="shared" ca="1" si="11"/>
        <v>8</v>
      </c>
      <c r="N48">
        <f t="shared" ca="1" si="11"/>
        <v>4</v>
      </c>
      <c r="O48">
        <f t="shared" ca="1" si="11"/>
        <v>7</v>
      </c>
      <c r="P48">
        <f t="shared" ca="1" si="11"/>
        <v>2</v>
      </c>
      <c r="Q48">
        <f t="shared" ca="1" si="11"/>
        <v>3</v>
      </c>
      <c r="R48">
        <f t="shared" ca="1" si="11"/>
        <v>10</v>
      </c>
      <c r="S48">
        <f t="shared" ca="1" si="10"/>
        <v>3</v>
      </c>
      <c r="T48">
        <f t="shared" ca="1" si="10"/>
        <v>5</v>
      </c>
      <c r="U48">
        <f t="shared" ca="1" si="10"/>
        <v>6</v>
      </c>
      <c r="V48">
        <f t="shared" ca="1" si="10"/>
        <v>1</v>
      </c>
      <c r="W48">
        <f t="shared" ca="1" si="10"/>
        <v>7</v>
      </c>
      <c r="X48">
        <f t="shared" ca="1" si="10"/>
        <v>8</v>
      </c>
      <c r="Y48">
        <f t="shared" ca="1" si="10"/>
        <v>1</v>
      </c>
      <c r="Z48">
        <f t="shared" ca="1" si="10"/>
        <v>2</v>
      </c>
      <c r="AA48">
        <f t="shared" ca="1" si="10"/>
        <v>5</v>
      </c>
      <c r="AB48">
        <f t="shared" ca="1" si="10"/>
        <v>5</v>
      </c>
      <c r="AC48">
        <f t="shared" ca="1" si="10"/>
        <v>7</v>
      </c>
      <c r="AD48">
        <f t="shared" ca="1" si="10"/>
        <v>10</v>
      </c>
      <c r="AE48">
        <f t="shared" ca="1" si="10"/>
        <v>10</v>
      </c>
      <c r="AF48">
        <f t="shared" ca="1" si="10"/>
        <v>1</v>
      </c>
      <c r="AH48" s="25">
        <f t="shared" ca="1" si="6"/>
        <v>169</v>
      </c>
      <c r="AI48">
        <v>133</v>
      </c>
      <c r="AJ48">
        <v>158</v>
      </c>
      <c r="AK48">
        <f t="shared" si="3"/>
        <v>25</v>
      </c>
      <c r="AL48" s="15">
        <f t="shared" ca="1" si="4"/>
        <v>26702</v>
      </c>
      <c r="AM48" s="15">
        <f t="shared" ca="1" si="5"/>
        <v>4225</v>
      </c>
    </row>
    <row r="49" spans="1:39">
      <c r="A49" s="27"/>
      <c r="B49" t="s">
        <v>66</v>
      </c>
      <c r="C49">
        <f t="shared" ca="1" si="11"/>
        <v>9</v>
      </c>
      <c r="D49">
        <f t="shared" ca="1" si="11"/>
        <v>1</v>
      </c>
      <c r="E49">
        <f t="shared" ca="1" si="11"/>
        <v>10</v>
      </c>
      <c r="F49">
        <f t="shared" ca="1" si="11"/>
        <v>5</v>
      </c>
      <c r="G49">
        <f t="shared" ca="1" si="11"/>
        <v>10</v>
      </c>
      <c r="H49">
        <f t="shared" ca="1" si="11"/>
        <v>1</v>
      </c>
      <c r="I49">
        <f t="shared" ca="1" si="11"/>
        <v>6</v>
      </c>
      <c r="J49">
        <f t="shared" ca="1" si="11"/>
        <v>10</v>
      </c>
      <c r="K49">
        <f t="shared" ca="1" si="11"/>
        <v>5</v>
      </c>
      <c r="L49">
        <f t="shared" ca="1" si="11"/>
        <v>7</v>
      </c>
      <c r="M49">
        <f t="shared" ca="1" si="11"/>
        <v>5</v>
      </c>
      <c r="N49">
        <f t="shared" ca="1" si="11"/>
        <v>10</v>
      </c>
      <c r="O49">
        <f t="shared" ca="1" si="11"/>
        <v>9</v>
      </c>
      <c r="P49">
        <f t="shared" ca="1" si="11"/>
        <v>8</v>
      </c>
      <c r="Q49">
        <f t="shared" ca="1" si="11"/>
        <v>10</v>
      </c>
      <c r="R49">
        <f t="shared" ca="1" si="11"/>
        <v>10</v>
      </c>
      <c r="S49">
        <f t="shared" ca="1" si="10"/>
        <v>9</v>
      </c>
      <c r="T49">
        <f t="shared" ca="1" si="10"/>
        <v>5</v>
      </c>
      <c r="U49">
        <f t="shared" ca="1" si="10"/>
        <v>1</v>
      </c>
      <c r="V49">
        <f t="shared" ca="1" si="10"/>
        <v>6</v>
      </c>
      <c r="W49">
        <f t="shared" ca="1" si="10"/>
        <v>2</v>
      </c>
      <c r="X49">
        <f t="shared" ca="1" si="10"/>
        <v>3</v>
      </c>
      <c r="Y49">
        <f t="shared" ca="1" si="10"/>
        <v>10</v>
      </c>
      <c r="Z49">
        <f t="shared" ca="1" si="10"/>
        <v>8</v>
      </c>
      <c r="AA49">
        <f t="shared" ca="1" si="10"/>
        <v>5</v>
      </c>
      <c r="AB49">
        <f t="shared" ca="1" si="10"/>
        <v>5</v>
      </c>
      <c r="AC49">
        <f t="shared" ca="1" si="10"/>
        <v>2</v>
      </c>
      <c r="AD49">
        <f t="shared" ca="1" si="10"/>
        <v>1</v>
      </c>
      <c r="AE49">
        <f t="shared" ca="1" si="10"/>
        <v>10</v>
      </c>
      <c r="AF49">
        <f t="shared" ca="1" si="10"/>
        <v>1</v>
      </c>
      <c r="AH49" s="25">
        <f t="shared" ca="1" si="6"/>
        <v>184</v>
      </c>
      <c r="AI49">
        <v>40</v>
      </c>
      <c r="AJ49">
        <v>65</v>
      </c>
      <c r="AK49">
        <f t="shared" si="3"/>
        <v>25</v>
      </c>
      <c r="AL49" s="15">
        <f t="shared" ca="1" si="4"/>
        <v>11960</v>
      </c>
      <c r="AM49" s="15">
        <f t="shared" ca="1" si="5"/>
        <v>4600</v>
      </c>
    </row>
    <row r="50" spans="1:39">
      <c r="A50" s="27"/>
      <c r="B50" t="s">
        <v>67</v>
      </c>
      <c r="C50">
        <f t="shared" ca="1" si="11"/>
        <v>9</v>
      </c>
      <c r="D50">
        <f t="shared" ca="1" si="11"/>
        <v>2</v>
      </c>
      <c r="E50">
        <f t="shared" ca="1" si="11"/>
        <v>8</v>
      </c>
      <c r="F50">
        <f t="shared" ca="1" si="11"/>
        <v>1</v>
      </c>
      <c r="G50">
        <f t="shared" ca="1" si="11"/>
        <v>8</v>
      </c>
      <c r="H50">
        <f t="shared" ca="1" si="11"/>
        <v>8</v>
      </c>
      <c r="I50">
        <f t="shared" ca="1" si="11"/>
        <v>6</v>
      </c>
      <c r="J50">
        <f t="shared" ca="1" si="11"/>
        <v>3</v>
      </c>
      <c r="K50">
        <f t="shared" ca="1" si="11"/>
        <v>5</v>
      </c>
      <c r="L50">
        <f t="shared" ca="1" si="11"/>
        <v>5</v>
      </c>
      <c r="M50">
        <f t="shared" ca="1" si="11"/>
        <v>3</v>
      </c>
      <c r="N50">
        <f t="shared" ca="1" si="11"/>
        <v>1</v>
      </c>
      <c r="O50">
        <f t="shared" ca="1" si="11"/>
        <v>6</v>
      </c>
      <c r="P50">
        <f t="shared" ca="1" si="11"/>
        <v>5</v>
      </c>
      <c r="Q50">
        <f t="shared" ca="1" si="11"/>
        <v>7</v>
      </c>
      <c r="R50">
        <f t="shared" ca="1" si="11"/>
        <v>7</v>
      </c>
      <c r="S50">
        <f t="shared" ca="1" si="10"/>
        <v>1</v>
      </c>
      <c r="T50">
        <f t="shared" ca="1" si="10"/>
        <v>4</v>
      </c>
      <c r="U50">
        <f t="shared" ca="1" si="10"/>
        <v>2</v>
      </c>
      <c r="V50">
        <f t="shared" ca="1" si="10"/>
        <v>10</v>
      </c>
      <c r="W50">
        <f t="shared" ca="1" si="10"/>
        <v>3</v>
      </c>
      <c r="X50">
        <f t="shared" ca="1" si="10"/>
        <v>5</v>
      </c>
      <c r="Y50">
        <f t="shared" ca="1" si="10"/>
        <v>3</v>
      </c>
      <c r="Z50">
        <f t="shared" ca="1" si="10"/>
        <v>6</v>
      </c>
      <c r="AA50">
        <f t="shared" ca="1" si="10"/>
        <v>6</v>
      </c>
      <c r="AB50">
        <f t="shared" ca="1" si="10"/>
        <v>3</v>
      </c>
      <c r="AC50">
        <f t="shared" ca="1" si="10"/>
        <v>10</v>
      </c>
      <c r="AD50">
        <f t="shared" ca="1" si="10"/>
        <v>3</v>
      </c>
      <c r="AE50">
        <f t="shared" ca="1" si="10"/>
        <v>2</v>
      </c>
      <c r="AF50">
        <f t="shared" ca="1" si="10"/>
        <v>8</v>
      </c>
      <c r="AH50" s="25">
        <f t="shared" ca="1" si="6"/>
        <v>150</v>
      </c>
      <c r="AI50">
        <v>72</v>
      </c>
      <c r="AJ50">
        <v>89</v>
      </c>
      <c r="AK50">
        <f t="shared" si="3"/>
        <v>17</v>
      </c>
      <c r="AL50" s="15">
        <f t="shared" ca="1" si="4"/>
        <v>13350</v>
      </c>
      <c r="AM50" s="15">
        <f t="shared" ca="1" si="5"/>
        <v>2550</v>
      </c>
    </row>
    <row r="51" spans="1:39">
      <c r="A51" s="27"/>
      <c r="B51" t="s">
        <v>68</v>
      </c>
      <c r="C51">
        <f t="shared" ca="1" si="11"/>
        <v>2</v>
      </c>
      <c r="D51">
        <f t="shared" ca="1" si="11"/>
        <v>7</v>
      </c>
      <c r="E51">
        <f t="shared" ca="1" si="11"/>
        <v>4</v>
      </c>
      <c r="F51">
        <f t="shared" ca="1" si="11"/>
        <v>5</v>
      </c>
      <c r="G51">
        <f t="shared" ca="1" si="11"/>
        <v>9</v>
      </c>
      <c r="H51">
        <f t="shared" ca="1" si="11"/>
        <v>2</v>
      </c>
      <c r="I51">
        <f t="shared" ca="1" si="11"/>
        <v>7</v>
      </c>
      <c r="J51">
        <f t="shared" ca="1" si="11"/>
        <v>6</v>
      </c>
      <c r="K51">
        <f t="shared" ca="1" si="11"/>
        <v>3</v>
      </c>
      <c r="L51">
        <f t="shared" ca="1" si="11"/>
        <v>1</v>
      </c>
      <c r="M51">
        <f t="shared" ca="1" si="11"/>
        <v>6</v>
      </c>
      <c r="N51">
        <f t="shared" ca="1" si="11"/>
        <v>10</v>
      </c>
      <c r="O51">
        <f t="shared" ca="1" si="11"/>
        <v>2</v>
      </c>
      <c r="P51">
        <f t="shared" ca="1" si="11"/>
        <v>7</v>
      </c>
      <c r="Q51">
        <f t="shared" ca="1" si="11"/>
        <v>3</v>
      </c>
      <c r="R51">
        <f t="shared" ref="R51:AF57" ca="1" si="12">RANDBETWEEN(1,10)</f>
        <v>9</v>
      </c>
      <c r="S51">
        <f t="shared" ca="1" si="12"/>
        <v>5</v>
      </c>
      <c r="T51">
        <f t="shared" ca="1" si="12"/>
        <v>9</v>
      </c>
      <c r="U51">
        <f t="shared" ca="1" si="12"/>
        <v>8</v>
      </c>
      <c r="V51">
        <f t="shared" ca="1" si="12"/>
        <v>7</v>
      </c>
      <c r="W51">
        <f t="shared" ca="1" si="12"/>
        <v>1</v>
      </c>
      <c r="X51">
        <f t="shared" ca="1" si="12"/>
        <v>5</v>
      </c>
      <c r="Y51">
        <f t="shared" ca="1" si="12"/>
        <v>9</v>
      </c>
      <c r="Z51">
        <f t="shared" ca="1" si="12"/>
        <v>3</v>
      </c>
      <c r="AA51">
        <f t="shared" ca="1" si="12"/>
        <v>2</v>
      </c>
      <c r="AB51">
        <f t="shared" ca="1" si="12"/>
        <v>5</v>
      </c>
      <c r="AC51">
        <f t="shared" ca="1" si="12"/>
        <v>4</v>
      </c>
      <c r="AD51">
        <f t="shared" ca="1" si="12"/>
        <v>6</v>
      </c>
      <c r="AE51">
        <f t="shared" ca="1" si="12"/>
        <v>5</v>
      </c>
      <c r="AF51">
        <f t="shared" ca="1" si="12"/>
        <v>1</v>
      </c>
      <c r="AH51" s="25">
        <f t="shared" ca="1" si="6"/>
        <v>153</v>
      </c>
      <c r="AI51">
        <v>236</v>
      </c>
      <c r="AJ51">
        <v>268</v>
      </c>
      <c r="AK51">
        <f t="shared" si="3"/>
        <v>32</v>
      </c>
      <c r="AL51" s="15">
        <f t="shared" ca="1" si="4"/>
        <v>41004</v>
      </c>
      <c r="AM51" s="15">
        <f t="shared" ca="1" si="5"/>
        <v>4896</v>
      </c>
    </row>
    <row r="52" spans="1:39">
      <c r="A52" s="27"/>
      <c r="B52" t="s">
        <v>69</v>
      </c>
      <c r="C52">
        <f t="shared" ref="C52:R57" ca="1" si="13">RANDBETWEEN(1,10)</f>
        <v>9</v>
      </c>
      <c r="D52">
        <f t="shared" ca="1" si="13"/>
        <v>2</v>
      </c>
      <c r="E52">
        <f t="shared" ca="1" si="13"/>
        <v>8</v>
      </c>
      <c r="F52">
        <f t="shared" ca="1" si="13"/>
        <v>6</v>
      </c>
      <c r="G52">
        <f t="shared" ca="1" si="13"/>
        <v>6</v>
      </c>
      <c r="H52">
        <f t="shared" ca="1" si="13"/>
        <v>2</v>
      </c>
      <c r="I52">
        <f t="shared" ca="1" si="13"/>
        <v>6</v>
      </c>
      <c r="J52">
        <f t="shared" ca="1" si="13"/>
        <v>9</v>
      </c>
      <c r="K52">
        <f t="shared" ca="1" si="13"/>
        <v>5</v>
      </c>
      <c r="L52">
        <f t="shared" ca="1" si="13"/>
        <v>2</v>
      </c>
      <c r="M52">
        <f t="shared" ca="1" si="13"/>
        <v>4</v>
      </c>
      <c r="N52">
        <f t="shared" ca="1" si="13"/>
        <v>4</v>
      </c>
      <c r="O52">
        <f t="shared" ca="1" si="13"/>
        <v>9</v>
      </c>
      <c r="P52">
        <f t="shared" ca="1" si="13"/>
        <v>9</v>
      </c>
      <c r="Q52">
        <f t="shared" ca="1" si="13"/>
        <v>3</v>
      </c>
      <c r="R52">
        <f t="shared" ca="1" si="13"/>
        <v>1</v>
      </c>
      <c r="S52">
        <f t="shared" ca="1" si="12"/>
        <v>2</v>
      </c>
      <c r="T52">
        <f t="shared" ca="1" si="12"/>
        <v>3</v>
      </c>
      <c r="U52">
        <f t="shared" ca="1" si="12"/>
        <v>3</v>
      </c>
      <c r="V52">
        <f t="shared" ca="1" si="12"/>
        <v>1</v>
      </c>
      <c r="W52">
        <f t="shared" ca="1" si="12"/>
        <v>2</v>
      </c>
      <c r="X52">
        <f t="shared" ca="1" si="12"/>
        <v>10</v>
      </c>
      <c r="Y52">
        <f t="shared" ca="1" si="12"/>
        <v>2</v>
      </c>
      <c r="Z52">
        <f t="shared" ca="1" si="12"/>
        <v>1</v>
      </c>
      <c r="AA52">
        <f t="shared" ca="1" si="12"/>
        <v>5</v>
      </c>
      <c r="AB52">
        <f t="shared" ca="1" si="12"/>
        <v>4</v>
      </c>
      <c r="AC52">
        <f t="shared" ca="1" si="12"/>
        <v>3</v>
      </c>
      <c r="AD52">
        <f t="shared" ca="1" si="12"/>
        <v>3</v>
      </c>
      <c r="AE52">
        <f t="shared" ca="1" si="12"/>
        <v>3</v>
      </c>
      <c r="AF52">
        <f t="shared" ca="1" si="12"/>
        <v>10</v>
      </c>
      <c r="AH52" s="25">
        <f t="shared" ca="1" si="6"/>
        <v>137</v>
      </c>
      <c r="AI52">
        <v>156</v>
      </c>
      <c r="AJ52">
        <v>178</v>
      </c>
      <c r="AK52">
        <f t="shared" si="3"/>
        <v>22</v>
      </c>
      <c r="AL52" s="15">
        <f t="shared" ca="1" si="4"/>
        <v>24386</v>
      </c>
      <c r="AM52" s="15">
        <f t="shared" ca="1" si="5"/>
        <v>3014</v>
      </c>
    </row>
    <row r="53" spans="1:39">
      <c r="A53" s="27"/>
      <c r="B53" t="s">
        <v>70</v>
      </c>
      <c r="C53">
        <f t="shared" ca="1" si="13"/>
        <v>10</v>
      </c>
      <c r="D53">
        <f t="shared" ca="1" si="13"/>
        <v>10</v>
      </c>
      <c r="E53">
        <f t="shared" ca="1" si="13"/>
        <v>6</v>
      </c>
      <c r="F53">
        <f t="shared" ca="1" si="13"/>
        <v>2</v>
      </c>
      <c r="G53">
        <f t="shared" ca="1" si="13"/>
        <v>8</v>
      </c>
      <c r="H53">
        <f t="shared" ca="1" si="13"/>
        <v>3</v>
      </c>
      <c r="I53">
        <f t="shared" ca="1" si="13"/>
        <v>5</v>
      </c>
      <c r="J53">
        <f t="shared" ca="1" si="13"/>
        <v>7</v>
      </c>
      <c r="K53">
        <f t="shared" ca="1" si="13"/>
        <v>7</v>
      </c>
      <c r="L53">
        <f t="shared" ca="1" si="13"/>
        <v>4</v>
      </c>
      <c r="M53">
        <f t="shared" ca="1" si="13"/>
        <v>8</v>
      </c>
      <c r="N53">
        <f t="shared" ca="1" si="13"/>
        <v>4</v>
      </c>
      <c r="O53">
        <f t="shared" ca="1" si="13"/>
        <v>8</v>
      </c>
      <c r="P53">
        <f t="shared" ca="1" si="13"/>
        <v>4</v>
      </c>
      <c r="Q53">
        <f t="shared" ca="1" si="13"/>
        <v>6</v>
      </c>
      <c r="R53">
        <f t="shared" ca="1" si="13"/>
        <v>10</v>
      </c>
      <c r="S53">
        <f t="shared" ca="1" si="12"/>
        <v>3</v>
      </c>
      <c r="T53">
        <f t="shared" ca="1" si="12"/>
        <v>6</v>
      </c>
      <c r="U53">
        <f t="shared" ca="1" si="12"/>
        <v>8</v>
      </c>
      <c r="V53">
        <f t="shared" ca="1" si="12"/>
        <v>3</v>
      </c>
      <c r="W53">
        <f t="shared" ca="1" si="12"/>
        <v>5</v>
      </c>
      <c r="X53">
        <f t="shared" ca="1" si="12"/>
        <v>9</v>
      </c>
      <c r="Y53">
        <f t="shared" ca="1" si="12"/>
        <v>3</v>
      </c>
      <c r="Z53">
        <f t="shared" ca="1" si="12"/>
        <v>4</v>
      </c>
      <c r="AA53">
        <f t="shared" ca="1" si="12"/>
        <v>1</v>
      </c>
      <c r="AB53">
        <f t="shared" ca="1" si="12"/>
        <v>9</v>
      </c>
      <c r="AC53">
        <f t="shared" ca="1" si="12"/>
        <v>4</v>
      </c>
      <c r="AD53">
        <f t="shared" ca="1" si="12"/>
        <v>6</v>
      </c>
      <c r="AE53">
        <f t="shared" ca="1" si="12"/>
        <v>7</v>
      </c>
      <c r="AF53">
        <f t="shared" ca="1" si="12"/>
        <v>4</v>
      </c>
      <c r="AH53" s="25">
        <f t="shared" ca="1" si="6"/>
        <v>174</v>
      </c>
      <c r="AI53">
        <v>182</v>
      </c>
      <c r="AJ53">
        <v>225</v>
      </c>
      <c r="AK53">
        <f t="shared" si="3"/>
        <v>43</v>
      </c>
      <c r="AL53" s="15">
        <f t="shared" ca="1" si="4"/>
        <v>39150</v>
      </c>
      <c r="AM53" s="15">
        <f t="shared" ca="1" si="5"/>
        <v>7482</v>
      </c>
    </row>
    <row r="54" spans="1:39">
      <c r="A54" s="27"/>
      <c r="B54" t="s">
        <v>71</v>
      </c>
      <c r="C54">
        <f t="shared" ca="1" si="13"/>
        <v>4</v>
      </c>
      <c r="D54">
        <f t="shared" ca="1" si="13"/>
        <v>4</v>
      </c>
      <c r="E54">
        <f t="shared" ca="1" si="13"/>
        <v>5</v>
      </c>
      <c r="F54">
        <f t="shared" ca="1" si="13"/>
        <v>3</v>
      </c>
      <c r="G54">
        <f t="shared" ca="1" si="13"/>
        <v>7</v>
      </c>
      <c r="H54">
        <f t="shared" ca="1" si="13"/>
        <v>10</v>
      </c>
      <c r="I54">
        <f t="shared" ca="1" si="13"/>
        <v>4</v>
      </c>
      <c r="J54">
        <f t="shared" ca="1" si="13"/>
        <v>2</v>
      </c>
      <c r="K54">
        <f t="shared" ca="1" si="13"/>
        <v>5</v>
      </c>
      <c r="L54">
        <f t="shared" ca="1" si="13"/>
        <v>7</v>
      </c>
      <c r="M54">
        <f t="shared" ca="1" si="13"/>
        <v>3</v>
      </c>
      <c r="N54">
        <f t="shared" ca="1" si="13"/>
        <v>1</v>
      </c>
      <c r="O54">
        <f t="shared" ca="1" si="13"/>
        <v>5</v>
      </c>
      <c r="P54">
        <f t="shared" ca="1" si="13"/>
        <v>5</v>
      </c>
      <c r="Q54">
        <f t="shared" ca="1" si="13"/>
        <v>10</v>
      </c>
      <c r="R54">
        <f t="shared" ca="1" si="13"/>
        <v>8</v>
      </c>
      <c r="S54">
        <f t="shared" ca="1" si="12"/>
        <v>7</v>
      </c>
      <c r="T54">
        <f t="shared" ca="1" si="12"/>
        <v>3</v>
      </c>
      <c r="U54">
        <f t="shared" ca="1" si="12"/>
        <v>9</v>
      </c>
      <c r="V54">
        <f t="shared" ca="1" si="12"/>
        <v>8</v>
      </c>
      <c r="W54">
        <f t="shared" ca="1" si="12"/>
        <v>6</v>
      </c>
      <c r="X54">
        <f t="shared" ca="1" si="12"/>
        <v>10</v>
      </c>
      <c r="Y54">
        <f t="shared" ca="1" si="12"/>
        <v>3</v>
      </c>
      <c r="Z54">
        <f t="shared" ca="1" si="12"/>
        <v>8</v>
      </c>
      <c r="AA54">
        <f t="shared" ca="1" si="12"/>
        <v>4</v>
      </c>
      <c r="AB54">
        <f t="shared" ca="1" si="12"/>
        <v>3</v>
      </c>
      <c r="AC54">
        <f t="shared" ca="1" si="12"/>
        <v>7</v>
      </c>
      <c r="AD54">
        <f t="shared" ca="1" si="12"/>
        <v>5</v>
      </c>
      <c r="AE54">
        <f t="shared" ca="1" si="12"/>
        <v>5</v>
      </c>
      <c r="AF54">
        <f t="shared" ca="1" si="12"/>
        <v>10</v>
      </c>
      <c r="AH54" s="25">
        <f t="shared" ca="1" si="6"/>
        <v>171</v>
      </c>
      <c r="AI54">
        <v>23</v>
      </c>
      <c r="AJ54">
        <v>35</v>
      </c>
      <c r="AK54">
        <f t="shared" si="3"/>
        <v>12</v>
      </c>
      <c r="AL54" s="15">
        <f t="shared" ca="1" si="4"/>
        <v>5985</v>
      </c>
      <c r="AM54" s="15">
        <f t="shared" ca="1" si="5"/>
        <v>2052</v>
      </c>
    </row>
    <row r="55" spans="1:39">
      <c r="A55" s="27"/>
      <c r="B55" t="s">
        <v>72</v>
      </c>
      <c r="C55">
        <f t="shared" ca="1" si="13"/>
        <v>2</v>
      </c>
      <c r="D55">
        <f t="shared" ca="1" si="13"/>
        <v>1</v>
      </c>
      <c r="E55">
        <f t="shared" ca="1" si="13"/>
        <v>6</v>
      </c>
      <c r="F55">
        <f t="shared" ca="1" si="13"/>
        <v>6</v>
      </c>
      <c r="G55">
        <f t="shared" ca="1" si="13"/>
        <v>8</v>
      </c>
      <c r="H55">
        <f t="shared" ca="1" si="13"/>
        <v>10</v>
      </c>
      <c r="I55">
        <f t="shared" ca="1" si="13"/>
        <v>2</v>
      </c>
      <c r="J55">
        <f t="shared" ca="1" si="13"/>
        <v>8</v>
      </c>
      <c r="K55">
        <f t="shared" ca="1" si="13"/>
        <v>10</v>
      </c>
      <c r="L55">
        <f t="shared" ca="1" si="13"/>
        <v>3</v>
      </c>
      <c r="M55">
        <f t="shared" ca="1" si="13"/>
        <v>10</v>
      </c>
      <c r="N55">
        <f t="shared" ca="1" si="13"/>
        <v>9</v>
      </c>
      <c r="O55">
        <f t="shared" ca="1" si="13"/>
        <v>1</v>
      </c>
      <c r="P55">
        <f t="shared" ca="1" si="13"/>
        <v>6</v>
      </c>
      <c r="Q55">
        <f t="shared" ca="1" si="13"/>
        <v>4</v>
      </c>
      <c r="R55">
        <f t="shared" ca="1" si="13"/>
        <v>9</v>
      </c>
      <c r="S55">
        <f t="shared" ca="1" si="12"/>
        <v>10</v>
      </c>
      <c r="T55">
        <f t="shared" ca="1" si="12"/>
        <v>10</v>
      </c>
      <c r="U55">
        <f t="shared" ca="1" si="12"/>
        <v>6</v>
      </c>
      <c r="V55">
        <f t="shared" ca="1" si="12"/>
        <v>7</v>
      </c>
      <c r="W55">
        <f t="shared" ca="1" si="12"/>
        <v>4</v>
      </c>
      <c r="X55">
        <f t="shared" ca="1" si="12"/>
        <v>6</v>
      </c>
      <c r="Y55">
        <f t="shared" ca="1" si="12"/>
        <v>2</v>
      </c>
      <c r="Z55">
        <f t="shared" ca="1" si="12"/>
        <v>1</v>
      </c>
      <c r="AA55">
        <f t="shared" ca="1" si="12"/>
        <v>8</v>
      </c>
      <c r="AB55">
        <f t="shared" ca="1" si="12"/>
        <v>7</v>
      </c>
      <c r="AC55">
        <f t="shared" ca="1" si="12"/>
        <v>6</v>
      </c>
      <c r="AD55">
        <f t="shared" ca="1" si="12"/>
        <v>7</v>
      </c>
      <c r="AE55">
        <f t="shared" ca="1" si="12"/>
        <v>10</v>
      </c>
      <c r="AF55">
        <f t="shared" ca="1" si="12"/>
        <v>2</v>
      </c>
      <c r="AH55" s="25">
        <f t="shared" ca="1" si="6"/>
        <v>181</v>
      </c>
      <c r="AI55">
        <v>205</v>
      </c>
      <c r="AJ55">
        <v>260</v>
      </c>
      <c r="AK55">
        <f t="shared" si="3"/>
        <v>55</v>
      </c>
      <c r="AL55" s="15">
        <f t="shared" ca="1" si="4"/>
        <v>47060</v>
      </c>
      <c r="AM55" s="15">
        <f t="shared" ca="1" si="5"/>
        <v>9955</v>
      </c>
    </row>
    <row r="56" spans="1:39">
      <c r="A56" s="27"/>
      <c r="B56" t="s">
        <v>73</v>
      </c>
      <c r="C56">
        <f t="shared" ca="1" si="13"/>
        <v>1</v>
      </c>
      <c r="D56">
        <f t="shared" ca="1" si="13"/>
        <v>5</v>
      </c>
      <c r="E56">
        <f t="shared" ca="1" si="13"/>
        <v>6</v>
      </c>
      <c r="F56">
        <f t="shared" ca="1" si="13"/>
        <v>2</v>
      </c>
      <c r="G56">
        <f t="shared" ca="1" si="13"/>
        <v>3</v>
      </c>
      <c r="H56">
        <f t="shared" ca="1" si="13"/>
        <v>6</v>
      </c>
      <c r="I56">
        <f t="shared" ca="1" si="13"/>
        <v>7</v>
      </c>
      <c r="J56">
        <f t="shared" ca="1" si="13"/>
        <v>3</v>
      </c>
      <c r="K56">
        <f t="shared" ca="1" si="13"/>
        <v>9</v>
      </c>
      <c r="L56">
        <f t="shared" ca="1" si="13"/>
        <v>6</v>
      </c>
      <c r="M56">
        <f t="shared" ca="1" si="13"/>
        <v>9</v>
      </c>
      <c r="N56">
        <f t="shared" ca="1" si="13"/>
        <v>4</v>
      </c>
      <c r="O56">
        <f t="shared" ca="1" si="13"/>
        <v>4</v>
      </c>
      <c r="P56">
        <f t="shared" ca="1" si="13"/>
        <v>7</v>
      </c>
      <c r="Q56">
        <f t="shared" ca="1" si="13"/>
        <v>2</v>
      </c>
      <c r="R56">
        <f t="shared" ca="1" si="13"/>
        <v>3</v>
      </c>
      <c r="S56">
        <f t="shared" ca="1" si="12"/>
        <v>8</v>
      </c>
      <c r="T56">
        <f t="shared" ca="1" si="12"/>
        <v>1</v>
      </c>
      <c r="U56">
        <f t="shared" ca="1" si="12"/>
        <v>6</v>
      </c>
      <c r="V56">
        <f t="shared" ca="1" si="12"/>
        <v>9</v>
      </c>
      <c r="W56">
        <f t="shared" ca="1" si="12"/>
        <v>9</v>
      </c>
      <c r="X56">
        <f t="shared" ca="1" si="12"/>
        <v>2</v>
      </c>
      <c r="Y56">
        <f t="shared" ca="1" si="12"/>
        <v>6</v>
      </c>
      <c r="Z56">
        <f t="shared" ca="1" si="12"/>
        <v>9</v>
      </c>
      <c r="AA56">
        <f t="shared" ca="1" si="12"/>
        <v>1</v>
      </c>
      <c r="AB56">
        <f t="shared" ca="1" si="12"/>
        <v>4</v>
      </c>
      <c r="AC56">
        <f t="shared" ca="1" si="12"/>
        <v>7</v>
      </c>
      <c r="AD56">
        <f t="shared" ca="1" si="12"/>
        <v>7</v>
      </c>
      <c r="AE56">
        <f t="shared" ca="1" si="12"/>
        <v>8</v>
      </c>
      <c r="AF56">
        <f t="shared" ca="1" si="12"/>
        <v>3</v>
      </c>
      <c r="AH56" s="25">
        <f t="shared" ca="1" si="6"/>
        <v>157</v>
      </c>
      <c r="AI56">
        <v>325</v>
      </c>
      <c r="AJ56">
        <v>358</v>
      </c>
      <c r="AK56">
        <f t="shared" si="3"/>
        <v>33</v>
      </c>
      <c r="AL56" s="15">
        <f t="shared" ca="1" si="4"/>
        <v>56206</v>
      </c>
      <c r="AM56" s="15">
        <f t="shared" ca="1" si="5"/>
        <v>5181</v>
      </c>
    </row>
    <row r="57" spans="1:39">
      <c r="A57" s="27"/>
      <c r="B57" t="s">
        <v>74</v>
      </c>
      <c r="C57">
        <f t="shared" ca="1" si="13"/>
        <v>5</v>
      </c>
      <c r="D57">
        <f t="shared" ca="1" si="13"/>
        <v>6</v>
      </c>
      <c r="E57">
        <f t="shared" ca="1" si="13"/>
        <v>2</v>
      </c>
      <c r="F57">
        <f t="shared" ca="1" si="13"/>
        <v>8</v>
      </c>
      <c r="G57">
        <f t="shared" ca="1" si="13"/>
        <v>6</v>
      </c>
      <c r="H57">
        <f t="shared" ca="1" si="13"/>
        <v>1</v>
      </c>
      <c r="I57">
        <f t="shared" ca="1" si="13"/>
        <v>3</v>
      </c>
      <c r="J57">
        <f t="shared" ca="1" si="13"/>
        <v>4</v>
      </c>
      <c r="K57">
        <f t="shared" ca="1" si="13"/>
        <v>1</v>
      </c>
      <c r="L57">
        <f t="shared" ca="1" si="13"/>
        <v>7</v>
      </c>
      <c r="M57">
        <f t="shared" ca="1" si="13"/>
        <v>5</v>
      </c>
      <c r="N57">
        <f t="shared" ca="1" si="13"/>
        <v>10</v>
      </c>
      <c r="O57">
        <f t="shared" ca="1" si="13"/>
        <v>1</v>
      </c>
      <c r="P57">
        <f t="shared" ca="1" si="13"/>
        <v>7</v>
      </c>
      <c r="Q57">
        <f t="shared" ca="1" si="13"/>
        <v>3</v>
      </c>
      <c r="R57">
        <f t="shared" ca="1" si="13"/>
        <v>1</v>
      </c>
      <c r="S57">
        <f t="shared" ca="1" si="12"/>
        <v>1</v>
      </c>
      <c r="T57">
        <f t="shared" ca="1" si="12"/>
        <v>9</v>
      </c>
      <c r="U57">
        <f t="shared" ca="1" si="12"/>
        <v>3</v>
      </c>
      <c r="V57">
        <f t="shared" ca="1" si="12"/>
        <v>3</v>
      </c>
      <c r="W57">
        <f t="shared" ca="1" si="12"/>
        <v>8</v>
      </c>
      <c r="X57">
        <f t="shared" ca="1" si="12"/>
        <v>2</v>
      </c>
      <c r="Y57">
        <f t="shared" ca="1" si="12"/>
        <v>4</v>
      </c>
      <c r="Z57">
        <f t="shared" ca="1" si="12"/>
        <v>2</v>
      </c>
      <c r="AA57">
        <f t="shared" ca="1" si="12"/>
        <v>3</v>
      </c>
      <c r="AB57">
        <f t="shared" ca="1" si="12"/>
        <v>10</v>
      </c>
      <c r="AC57">
        <f t="shared" ca="1" si="12"/>
        <v>5</v>
      </c>
      <c r="AD57">
        <f t="shared" ca="1" si="12"/>
        <v>1</v>
      </c>
      <c r="AE57">
        <f t="shared" ca="1" si="12"/>
        <v>10</v>
      </c>
      <c r="AF57">
        <f t="shared" ca="1" si="12"/>
        <v>6</v>
      </c>
      <c r="AH57" s="25">
        <f t="shared" ca="1" si="6"/>
        <v>137</v>
      </c>
      <c r="AI57">
        <v>340</v>
      </c>
      <c r="AJ57">
        <v>380</v>
      </c>
      <c r="AK57">
        <f t="shared" si="3"/>
        <v>40</v>
      </c>
      <c r="AL57" s="15">
        <f t="shared" ca="1" si="4"/>
        <v>52060</v>
      </c>
      <c r="AM57" s="15">
        <f t="shared" ca="1" si="5"/>
        <v>5480</v>
      </c>
    </row>
    <row r="58" spans="1:39">
      <c r="A58" s="27"/>
    </row>
    <row r="59" spans="1:39">
      <c r="A59" s="27"/>
    </row>
    <row r="60" spans="1:39">
      <c r="A60" s="27"/>
    </row>
    <row r="61" spans="1:39">
      <c r="A61" s="27"/>
    </row>
    <row r="62" spans="1:39">
      <c r="A62" s="27"/>
    </row>
    <row r="63" spans="1:39">
      <c r="A63" s="27"/>
    </row>
    <row r="64" spans="1:39">
      <c r="A64" s="27"/>
    </row>
    <row r="65" spans="1:1">
      <c r="A65" s="27"/>
    </row>
    <row r="66" spans="1:1">
      <c r="A66" s="27"/>
    </row>
    <row r="67" spans="1:1">
      <c r="A67" s="27"/>
    </row>
    <row r="68" spans="1:1">
      <c r="A68" s="27"/>
    </row>
    <row r="69" spans="1:1">
      <c r="A69" s="27"/>
    </row>
    <row r="70" spans="1:1">
      <c r="A70" s="27"/>
    </row>
    <row r="71" spans="1:1">
      <c r="A71" s="27"/>
    </row>
    <row r="72" spans="1:1">
      <c r="A72" s="27"/>
    </row>
    <row r="73" spans="1:1">
      <c r="A73" s="27"/>
    </row>
    <row r="74" spans="1:1">
      <c r="A74" s="27"/>
    </row>
    <row r="75" spans="1:1">
      <c r="A75" s="27"/>
    </row>
    <row r="76" spans="1:1">
      <c r="A76" s="27"/>
    </row>
    <row r="77" spans="1:1">
      <c r="A77" s="27"/>
    </row>
    <row r="78" spans="1:1">
      <c r="A78" s="27"/>
    </row>
    <row r="79" spans="1:1">
      <c r="A79" s="27"/>
    </row>
    <row r="80" spans="1:1">
      <c r="A80" s="27"/>
    </row>
    <row r="81" spans="1:1">
      <c r="A81" s="27"/>
    </row>
    <row r="82" spans="1:1">
      <c r="A82" s="27"/>
    </row>
    <row r="83" spans="1:1">
      <c r="A83" s="27"/>
    </row>
    <row r="84" spans="1:1">
      <c r="A84" s="27"/>
    </row>
    <row r="85" spans="1:1">
      <c r="A85" s="27"/>
    </row>
    <row r="86" spans="1:1">
      <c r="A86" s="27"/>
    </row>
    <row r="87" spans="1:1">
      <c r="A87" s="27"/>
    </row>
  </sheetData>
  <mergeCells count="9">
    <mergeCell ref="A1:A29"/>
    <mergeCell ref="A30:A58"/>
    <mergeCell ref="A59:A87"/>
    <mergeCell ref="AM1:AM2"/>
    <mergeCell ref="AH1:AH2"/>
    <mergeCell ref="AI1:AI2"/>
    <mergeCell ref="AJ1:AJ2"/>
    <mergeCell ref="AK1:AK2"/>
    <mergeCell ref="AL1:AL2"/>
  </mergeCells>
  <dataValidations count="2">
    <dataValidation type="list" allowBlank="1" showInputMessage="1" showErrorMessage="1" sqref="AP2" xr:uid="{00000000-0002-0000-0700-000000000000}">
      <formula1>"2020,2021,2022,2023,2024,2025,2026,2027,2028,2029,2030"</formula1>
    </dataValidation>
    <dataValidation type="list" allowBlank="1" showInputMessage="1" showErrorMessage="1" sqref="AP1" xr:uid="{00000000-0002-0000-0700-000001000000}">
      <formula1>"January,February,March,Aprail,May,June,July,August,September,October,November,December"</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AP87"/>
  <sheetViews>
    <sheetView workbookViewId="0">
      <pane xSplit="1" topLeftCell="Q1" activePane="topRight" state="frozenSplit"/>
      <selection pane="topRight" activeCell="AP17" sqref="AP17"/>
    </sheetView>
  </sheetViews>
  <sheetFormatPr defaultRowHeight="15"/>
  <cols>
    <col min="1" max="1" width="16.85546875" bestFit="1" customWidth="1"/>
    <col min="2" max="2" width="13.7109375" customWidth="1"/>
    <col min="3" max="3" width="5.140625" customWidth="1"/>
    <col min="4" max="4" width="4.28515625" customWidth="1"/>
    <col min="5" max="5" width="5.28515625" customWidth="1"/>
    <col min="6" max="6" width="4.28515625" customWidth="1"/>
    <col min="7" max="7" width="3.28515625" customWidth="1"/>
    <col min="8" max="8" width="3.7109375" customWidth="1"/>
    <col min="9" max="9" width="4.28515625" customWidth="1"/>
    <col min="10" max="10" width="5.140625" customWidth="1"/>
    <col min="11" max="11" width="4.28515625" customWidth="1"/>
    <col min="12" max="12" width="5.28515625" customWidth="1"/>
    <col min="13" max="13" width="4.28515625" customWidth="1"/>
    <col min="14" max="14" width="3.28515625" customWidth="1"/>
    <col min="15" max="15" width="3.7109375" customWidth="1"/>
    <col min="16" max="16" width="4.28515625" customWidth="1"/>
    <col min="17" max="17" width="5.140625" customWidth="1"/>
    <col min="18" max="18" width="4.28515625" customWidth="1"/>
    <col min="19" max="19" width="5.28515625" customWidth="1"/>
    <col min="20" max="20" width="4.28515625" customWidth="1"/>
    <col min="21" max="21" width="3.28515625" customWidth="1"/>
    <col min="22" max="22" width="3.7109375" customWidth="1"/>
    <col min="23" max="23" width="4.28515625" customWidth="1"/>
    <col min="24" max="24" width="5.140625" customWidth="1"/>
    <col min="25" max="25" width="4.28515625" customWidth="1"/>
    <col min="26" max="26" width="5.28515625" customWidth="1"/>
    <col min="27" max="27" width="4.28515625" customWidth="1"/>
    <col min="28" max="28" width="3.28515625" customWidth="1"/>
    <col min="29" max="29" width="3.7109375" customWidth="1"/>
    <col min="30" max="30" width="4.28515625" customWidth="1"/>
    <col min="31" max="31" width="5.140625" customWidth="1"/>
    <col min="32" max="32" width="4.28515625" customWidth="1"/>
    <col min="33" max="33" width="5.28515625" customWidth="1"/>
    <col min="34" max="34" width="6.5703125" customWidth="1"/>
    <col min="35" max="35" width="12.42578125" customWidth="1"/>
    <col min="36" max="36" width="10.7109375" customWidth="1"/>
    <col min="41" max="41" width="15.28515625" bestFit="1" customWidth="1"/>
    <col min="42" max="42" width="11.28515625" customWidth="1"/>
  </cols>
  <sheetData>
    <row r="1" spans="1:42">
      <c r="A1" s="27"/>
      <c r="C1" s="8" t="str">
        <f>TEXT(C2,"DDD")</f>
        <v>Mon</v>
      </c>
      <c r="D1" s="8" t="str">
        <f t="shared" ref="D1:AG1" si="0">TEXT(D2,"DDD")</f>
        <v>Tue</v>
      </c>
      <c r="E1" s="8" t="str">
        <f t="shared" si="0"/>
        <v>Wed</v>
      </c>
      <c r="F1" s="8" t="str">
        <f t="shared" si="0"/>
        <v>Thu</v>
      </c>
      <c r="G1" s="8" t="str">
        <f t="shared" si="0"/>
        <v>Fri</v>
      </c>
      <c r="H1" s="8" t="str">
        <f t="shared" si="0"/>
        <v>Sat</v>
      </c>
      <c r="I1" s="8" t="str">
        <f t="shared" si="0"/>
        <v>Sun</v>
      </c>
      <c r="J1" s="8" t="str">
        <f t="shared" si="0"/>
        <v>Mon</v>
      </c>
      <c r="K1" s="8" t="str">
        <f t="shared" si="0"/>
        <v>Tue</v>
      </c>
      <c r="L1" s="8" t="str">
        <f t="shared" si="0"/>
        <v>Wed</v>
      </c>
      <c r="M1" s="8" t="str">
        <f t="shared" si="0"/>
        <v>Thu</v>
      </c>
      <c r="N1" s="8" t="str">
        <f t="shared" si="0"/>
        <v>Fri</v>
      </c>
      <c r="O1" s="8" t="str">
        <f t="shared" si="0"/>
        <v>Sat</v>
      </c>
      <c r="P1" s="8" t="str">
        <f t="shared" si="0"/>
        <v>Sun</v>
      </c>
      <c r="Q1" s="8" t="str">
        <f t="shared" si="0"/>
        <v>Mon</v>
      </c>
      <c r="R1" s="8" t="str">
        <f t="shared" si="0"/>
        <v>Tue</v>
      </c>
      <c r="S1" s="8" t="str">
        <f t="shared" si="0"/>
        <v>Wed</v>
      </c>
      <c r="T1" s="8" t="str">
        <f t="shared" si="0"/>
        <v>Thu</v>
      </c>
      <c r="U1" s="8" t="str">
        <f t="shared" si="0"/>
        <v>Fri</v>
      </c>
      <c r="V1" s="8" t="str">
        <f t="shared" si="0"/>
        <v>Sat</v>
      </c>
      <c r="W1" s="8" t="str">
        <f t="shared" si="0"/>
        <v>Sun</v>
      </c>
      <c r="X1" s="8" t="str">
        <f t="shared" si="0"/>
        <v>Mon</v>
      </c>
      <c r="Y1" s="8" t="str">
        <f t="shared" si="0"/>
        <v>Tue</v>
      </c>
      <c r="Z1" s="8" t="str">
        <f t="shared" si="0"/>
        <v>Wed</v>
      </c>
      <c r="AA1" s="8" t="str">
        <f t="shared" si="0"/>
        <v>Thu</v>
      </c>
      <c r="AB1" s="8" t="str">
        <f t="shared" si="0"/>
        <v>Fri</v>
      </c>
      <c r="AC1" s="8" t="str">
        <f t="shared" si="0"/>
        <v>Sat</v>
      </c>
      <c r="AD1" s="8" t="str">
        <f t="shared" si="0"/>
        <v>Sun</v>
      </c>
      <c r="AE1" s="8" t="str">
        <f t="shared" si="0"/>
        <v>Mon</v>
      </c>
      <c r="AF1" s="8" t="str">
        <f t="shared" si="0"/>
        <v>Tue</v>
      </c>
      <c r="AG1" s="8" t="str">
        <f t="shared" si="0"/>
        <v>Wed</v>
      </c>
      <c r="AH1" s="28" t="s">
        <v>75</v>
      </c>
      <c r="AI1" s="28" t="s">
        <v>76</v>
      </c>
      <c r="AJ1" s="30" t="s">
        <v>77</v>
      </c>
      <c r="AK1" s="28" t="s">
        <v>78</v>
      </c>
      <c r="AL1" s="29" t="s">
        <v>79</v>
      </c>
      <c r="AM1" s="29" t="s">
        <v>80</v>
      </c>
      <c r="AO1" s="5" t="s">
        <v>81</v>
      </c>
      <c r="AP1" s="10" t="s">
        <v>100</v>
      </c>
    </row>
    <row r="2" spans="1:42">
      <c r="A2" s="27"/>
      <c r="B2" s="1" t="s">
        <v>0</v>
      </c>
      <c r="C2" s="9">
        <f>IF(COLUMNS($C$2:C2)&gt;DAY($AP$4),"",$AP$3+COLUMNS($C$2:C2)-1)</f>
        <v>45474</v>
      </c>
      <c r="D2" s="9">
        <f>IF(COLUMNS($C$2:D2)&gt;DAY($AP$4),"",$AP$3+COLUMNS($C$2:D2)-1)</f>
        <v>45475</v>
      </c>
      <c r="E2" s="9">
        <f>IF(COLUMNS($C$2:E2)&gt;DAY($AP$4),"",$AP$3+COLUMNS($C$2:E2)-1)</f>
        <v>45476</v>
      </c>
      <c r="F2" s="9">
        <f>IF(COLUMNS($C$2:F2)&gt;DAY($AP$4),"",$AP$3+COLUMNS($C$2:F2)-1)</f>
        <v>45477</v>
      </c>
      <c r="G2" s="9">
        <f>IF(COLUMNS($C$2:G2)&gt;DAY($AP$4),"",$AP$3+COLUMNS($C$2:G2)-1)</f>
        <v>45478</v>
      </c>
      <c r="H2" s="9">
        <f>IF(COLUMNS($C$2:H2)&gt;DAY($AP$4),"",$AP$3+COLUMNS($C$2:H2)-1)</f>
        <v>45479</v>
      </c>
      <c r="I2" s="9">
        <f>IF(COLUMNS($C$2:I2)&gt;DAY($AP$4),"",$AP$3+COLUMNS($C$2:I2)-1)</f>
        <v>45480</v>
      </c>
      <c r="J2" s="9">
        <f>IF(COLUMNS($C$2:J2)&gt;DAY($AP$4),"",$AP$3+COLUMNS($C$2:J2)-1)</f>
        <v>45481</v>
      </c>
      <c r="K2" s="9">
        <f>IF(COLUMNS($C$2:K2)&gt;DAY($AP$4),"",$AP$3+COLUMNS($C$2:K2)-1)</f>
        <v>45482</v>
      </c>
      <c r="L2" s="9">
        <f>IF(COLUMNS($C$2:L2)&gt;DAY($AP$4),"",$AP$3+COLUMNS($C$2:L2)-1)</f>
        <v>45483</v>
      </c>
      <c r="M2" s="9">
        <f>IF(COLUMNS($C$2:M2)&gt;DAY($AP$4),"",$AP$3+COLUMNS($C$2:M2)-1)</f>
        <v>45484</v>
      </c>
      <c r="N2" s="9">
        <f>IF(COLUMNS($C$2:N2)&gt;DAY($AP$4),"",$AP$3+COLUMNS($C$2:N2)-1)</f>
        <v>45485</v>
      </c>
      <c r="O2" s="9">
        <f>IF(COLUMNS($C$2:O2)&gt;DAY($AP$4),"",$AP$3+COLUMNS($C$2:O2)-1)</f>
        <v>45486</v>
      </c>
      <c r="P2" s="9">
        <f>IF(COLUMNS($C$2:P2)&gt;DAY($AP$4),"",$AP$3+COLUMNS($C$2:P2)-1)</f>
        <v>45487</v>
      </c>
      <c r="Q2" s="9">
        <f>IF(COLUMNS($C$2:Q2)&gt;DAY($AP$4),"",$AP$3+COLUMNS($C$2:Q2)-1)</f>
        <v>45488</v>
      </c>
      <c r="R2" s="9">
        <f>IF(COLUMNS($C$2:R2)&gt;DAY($AP$4),"",$AP$3+COLUMNS($C$2:R2)-1)</f>
        <v>45489</v>
      </c>
      <c r="S2" s="9">
        <f>IF(COLUMNS($C$2:S2)&gt;DAY($AP$4),"",$AP$3+COLUMNS($C$2:S2)-1)</f>
        <v>45490</v>
      </c>
      <c r="T2" s="9">
        <f>IF(COLUMNS($C$2:T2)&gt;DAY($AP$4),"",$AP$3+COLUMNS($C$2:T2)-1)</f>
        <v>45491</v>
      </c>
      <c r="U2" s="9">
        <f>IF(COLUMNS($C$2:U2)&gt;DAY($AP$4),"",$AP$3+COLUMNS($C$2:U2)-1)</f>
        <v>45492</v>
      </c>
      <c r="V2" s="9">
        <f>IF(COLUMNS($C$2:V2)&gt;DAY($AP$4),"",$AP$3+COLUMNS($C$2:V2)-1)</f>
        <v>45493</v>
      </c>
      <c r="W2" s="9">
        <f>IF(COLUMNS($C$2:W2)&gt;DAY($AP$4),"",$AP$3+COLUMNS($C$2:W2)-1)</f>
        <v>45494</v>
      </c>
      <c r="X2" s="9">
        <f>IF(COLUMNS($C$2:X2)&gt;DAY($AP$4),"",$AP$3+COLUMNS($C$2:X2)-1)</f>
        <v>45495</v>
      </c>
      <c r="Y2" s="9">
        <f>IF(COLUMNS($C$2:Y2)&gt;DAY($AP$4),"",$AP$3+COLUMNS($C$2:Y2)-1)</f>
        <v>45496</v>
      </c>
      <c r="Z2" s="9">
        <f>IF(COLUMNS($C$2:Z2)&gt;DAY($AP$4),"",$AP$3+COLUMNS($C$2:Z2)-1)</f>
        <v>45497</v>
      </c>
      <c r="AA2" s="9">
        <f>IF(COLUMNS($C$2:AA2)&gt;DAY($AP$4),"",$AP$3+COLUMNS($C$2:AA2)-1)</f>
        <v>45498</v>
      </c>
      <c r="AB2" s="9">
        <f>IF(COLUMNS($C$2:AB2)&gt;DAY($AP$4),"",$AP$3+COLUMNS($C$2:AB2)-1)</f>
        <v>45499</v>
      </c>
      <c r="AC2" s="9">
        <f>IF(COLUMNS($C$2:AC2)&gt;DAY($AP$4),"",$AP$3+COLUMNS($C$2:AC2)-1)</f>
        <v>45500</v>
      </c>
      <c r="AD2" s="9">
        <f>IF(COLUMNS($C$2:AD2)&gt;DAY($AP$4),"",$AP$3+COLUMNS($C$2:AD2)-1)</f>
        <v>45501</v>
      </c>
      <c r="AE2" s="9">
        <f>IF(COLUMNS($C$2:AE2)&gt;DAY($AP$4),"",$AP$3+COLUMNS($C$2:AE2)-1)</f>
        <v>45502</v>
      </c>
      <c r="AF2" s="9">
        <f>IF(COLUMNS($C$2:AF2)&gt;DAY($AP$4),"",$AP$3+COLUMNS($C$2:AF2)-1)</f>
        <v>45503</v>
      </c>
      <c r="AG2" s="9">
        <f>IF(COLUMNS($C$2:AG2)&gt;DAY($AP$4),"",$AP$3+COLUMNS($C$2:AG2)-1)</f>
        <v>45504</v>
      </c>
      <c r="AH2" s="28"/>
      <c r="AI2" s="28"/>
      <c r="AJ2" s="30"/>
      <c r="AK2" s="28"/>
      <c r="AL2" s="29"/>
      <c r="AM2" s="29"/>
      <c r="AO2" s="6" t="s">
        <v>83</v>
      </c>
      <c r="AP2" s="11">
        <v>2024</v>
      </c>
    </row>
    <row r="3" spans="1:42">
      <c r="A3" s="27"/>
      <c r="B3" t="s">
        <v>18</v>
      </c>
      <c r="C3">
        <f ca="1">RANDBETWEEN(1,10)</f>
        <v>5</v>
      </c>
      <c r="D3">
        <f t="shared" ref="D3:AG12" ca="1" si="1">RANDBETWEEN(1,10)</f>
        <v>9</v>
      </c>
      <c r="E3">
        <f t="shared" ca="1" si="1"/>
        <v>6</v>
      </c>
      <c r="F3">
        <f t="shared" ca="1" si="1"/>
        <v>6</v>
      </c>
      <c r="G3">
        <f t="shared" ca="1" si="1"/>
        <v>1</v>
      </c>
      <c r="H3">
        <f t="shared" ca="1" si="1"/>
        <v>9</v>
      </c>
      <c r="I3">
        <f t="shared" ca="1" si="1"/>
        <v>5</v>
      </c>
      <c r="J3">
        <f t="shared" ca="1" si="1"/>
        <v>10</v>
      </c>
      <c r="K3">
        <f t="shared" ca="1" si="1"/>
        <v>7</v>
      </c>
      <c r="L3">
        <f t="shared" ca="1" si="1"/>
        <v>10</v>
      </c>
      <c r="M3">
        <f t="shared" ca="1" si="1"/>
        <v>5</v>
      </c>
      <c r="N3">
        <f t="shared" ca="1" si="1"/>
        <v>1</v>
      </c>
      <c r="O3">
        <f t="shared" ca="1" si="1"/>
        <v>3</v>
      </c>
      <c r="P3">
        <f t="shared" ca="1" si="1"/>
        <v>3</v>
      </c>
      <c r="Q3">
        <f t="shared" ca="1" si="1"/>
        <v>2</v>
      </c>
      <c r="R3">
        <f t="shared" ca="1" si="1"/>
        <v>4</v>
      </c>
      <c r="S3">
        <f t="shared" ca="1" si="1"/>
        <v>1</v>
      </c>
      <c r="T3">
        <f t="shared" ca="1" si="1"/>
        <v>4</v>
      </c>
      <c r="U3">
        <f t="shared" ca="1" si="1"/>
        <v>7</v>
      </c>
      <c r="V3">
        <f t="shared" ca="1" si="1"/>
        <v>10</v>
      </c>
      <c r="W3">
        <f t="shared" ca="1" si="1"/>
        <v>8</v>
      </c>
      <c r="X3">
        <f t="shared" ca="1" si="1"/>
        <v>6</v>
      </c>
      <c r="Y3">
        <f t="shared" ca="1" si="1"/>
        <v>1</v>
      </c>
      <c r="Z3">
        <f t="shared" ca="1" si="1"/>
        <v>4</v>
      </c>
      <c r="AA3">
        <f t="shared" ca="1" si="1"/>
        <v>8</v>
      </c>
      <c r="AB3">
        <f t="shared" ca="1" si="1"/>
        <v>1</v>
      </c>
      <c r="AC3">
        <f t="shared" ca="1" si="1"/>
        <v>6</v>
      </c>
      <c r="AD3">
        <f t="shared" ca="1" si="1"/>
        <v>7</v>
      </c>
      <c r="AE3">
        <f t="shared" ca="1" si="1"/>
        <v>4</v>
      </c>
      <c r="AF3">
        <f t="shared" ca="1" si="1"/>
        <v>6</v>
      </c>
      <c r="AG3">
        <f t="shared" ca="1" si="1"/>
        <v>10</v>
      </c>
      <c r="AH3" s="25">
        <f ca="1">IF(SUM($C3:$AG3)&gt;0,SUM($C3:$AG3),"")</f>
        <v>169</v>
      </c>
      <c r="AI3">
        <v>40</v>
      </c>
      <c r="AJ3">
        <v>80</v>
      </c>
      <c r="AK3">
        <f>AJ3-AI3</f>
        <v>40</v>
      </c>
      <c r="AL3" s="15">
        <f ca="1">AJ3*AH3</f>
        <v>13520</v>
      </c>
      <c r="AM3" s="15">
        <f ca="1">AK3*AH3</f>
        <v>6760</v>
      </c>
      <c r="AO3" s="7" t="s">
        <v>84</v>
      </c>
      <c r="AP3" s="4">
        <f>DATE(AP2,MONTH(AP1&amp;1),1)</f>
        <v>45474</v>
      </c>
    </row>
    <row r="4" spans="1:42">
      <c r="A4" s="27"/>
      <c r="B4" t="s">
        <v>20</v>
      </c>
      <c r="C4">
        <f t="shared" ref="C4:R19" ca="1" si="2">RANDBETWEEN(1,10)</f>
        <v>10</v>
      </c>
      <c r="D4">
        <f t="shared" ca="1" si="2"/>
        <v>6</v>
      </c>
      <c r="E4">
        <f t="shared" ca="1" si="2"/>
        <v>4</v>
      </c>
      <c r="F4">
        <f t="shared" ca="1" si="2"/>
        <v>3</v>
      </c>
      <c r="G4">
        <f t="shared" ca="1" si="2"/>
        <v>1</v>
      </c>
      <c r="H4">
        <f t="shared" ca="1" si="2"/>
        <v>10</v>
      </c>
      <c r="I4">
        <f t="shared" ca="1" si="2"/>
        <v>5</v>
      </c>
      <c r="J4">
        <f t="shared" ca="1" si="2"/>
        <v>4</v>
      </c>
      <c r="K4">
        <f t="shared" ca="1" si="2"/>
        <v>10</v>
      </c>
      <c r="L4">
        <f t="shared" ca="1" si="2"/>
        <v>1</v>
      </c>
      <c r="M4">
        <f t="shared" ca="1" si="2"/>
        <v>7</v>
      </c>
      <c r="N4">
        <f t="shared" ca="1" si="2"/>
        <v>8</v>
      </c>
      <c r="O4">
        <f t="shared" ca="1" si="2"/>
        <v>8</v>
      </c>
      <c r="P4">
        <f t="shared" ca="1" si="2"/>
        <v>7</v>
      </c>
      <c r="Q4">
        <f t="shared" ca="1" si="2"/>
        <v>10</v>
      </c>
      <c r="R4">
        <f t="shared" ca="1" si="2"/>
        <v>6</v>
      </c>
      <c r="S4">
        <f t="shared" ca="1" si="1"/>
        <v>6</v>
      </c>
      <c r="T4">
        <f t="shared" ca="1" si="1"/>
        <v>4</v>
      </c>
      <c r="U4">
        <f t="shared" ca="1" si="1"/>
        <v>2</v>
      </c>
      <c r="V4">
        <f t="shared" ca="1" si="1"/>
        <v>5</v>
      </c>
      <c r="W4">
        <f t="shared" ca="1" si="1"/>
        <v>2</v>
      </c>
      <c r="X4">
        <f t="shared" ca="1" si="1"/>
        <v>4</v>
      </c>
      <c r="Y4">
        <f t="shared" ca="1" si="1"/>
        <v>4</v>
      </c>
      <c r="Z4">
        <f t="shared" ca="1" si="1"/>
        <v>3</v>
      </c>
      <c r="AA4">
        <f t="shared" ca="1" si="1"/>
        <v>10</v>
      </c>
      <c r="AB4">
        <f t="shared" ca="1" si="1"/>
        <v>10</v>
      </c>
      <c r="AC4">
        <f t="shared" ca="1" si="1"/>
        <v>4</v>
      </c>
      <c r="AD4">
        <f t="shared" ca="1" si="1"/>
        <v>6</v>
      </c>
      <c r="AE4">
        <f t="shared" ca="1" si="1"/>
        <v>8</v>
      </c>
      <c r="AF4">
        <f t="shared" ca="1" si="1"/>
        <v>7</v>
      </c>
      <c r="AG4">
        <f t="shared" ca="1" si="1"/>
        <v>6</v>
      </c>
      <c r="AH4" s="25">
        <f ca="1">IF(SUM($C4:$AG4)&gt;0,SUM($C4:$AG4),"")</f>
        <v>181</v>
      </c>
      <c r="AI4">
        <v>7</v>
      </c>
      <c r="AJ4">
        <v>15</v>
      </c>
      <c r="AK4">
        <f t="shared" ref="AK4:AK57" si="3">AJ4-AI4</f>
        <v>8</v>
      </c>
      <c r="AL4" s="15">
        <f t="shared" ref="AL4:AL57" ca="1" si="4">AJ4*AH4</f>
        <v>2715</v>
      </c>
      <c r="AM4" s="15">
        <f t="shared" ref="AM4:AM57" ca="1" si="5">AK4*AH4</f>
        <v>1448</v>
      </c>
      <c r="AO4" s="7" t="s">
        <v>85</v>
      </c>
      <c r="AP4" s="4">
        <f>EOMONTH(AP3,0)</f>
        <v>45504</v>
      </c>
    </row>
    <row r="5" spans="1:42">
      <c r="A5" s="27"/>
      <c r="B5" t="s">
        <v>21</v>
      </c>
      <c r="C5">
        <f t="shared" ca="1" si="2"/>
        <v>1</v>
      </c>
      <c r="D5">
        <f t="shared" ca="1" si="1"/>
        <v>5</v>
      </c>
      <c r="E5">
        <f t="shared" ca="1" si="1"/>
        <v>4</v>
      </c>
      <c r="F5">
        <f t="shared" ca="1" si="1"/>
        <v>8</v>
      </c>
      <c r="G5">
        <f t="shared" ca="1" si="1"/>
        <v>7</v>
      </c>
      <c r="H5">
        <f t="shared" ca="1" si="1"/>
        <v>7</v>
      </c>
      <c r="I5">
        <f t="shared" ca="1" si="1"/>
        <v>2</v>
      </c>
      <c r="J5">
        <f t="shared" ca="1" si="1"/>
        <v>8</v>
      </c>
      <c r="K5">
        <f t="shared" ca="1" si="1"/>
        <v>6</v>
      </c>
      <c r="L5">
        <f t="shared" ca="1" si="1"/>
        <v>9</v>
      </c>
      <c r="M5">
        <f t="shared" ca="1" si="1"/>
        <v>8</v>
      </c>
      <c r="N5">
        <f t="shared" ca="1" si="1"/>
        <v>9</v>
      </c>
      <c r="O5">
        <f t="shared" ca="1" si="1"/>
        <v>8</v>
      </c>
      <c r="P5">
        <f t="shared" ca="1" si="1"/>
        <v>1</v>
      </c>
      <c r="Q5">
        <f t="shared" ca="1" si="1"/>
        <v>6</v>
      </c>
      <c r="R5">
        <f t="shared" ca="1" si="1"/>
        <v>10</v>
      </c>
      <c r="S5">
        <f t="shared" ca="1" si="1"/>
        <v>10</v>
      </c>
      <c r="T5">
        <f t="shared" ca="1" si="1"/>
        <v>8</v>
      </c>
      <c r="U5">
        <f t="shared" ca="1" si="1"/>
        <v>9</v>
      </c>
      <c r="V5">
        <f t="shared" ca="1" si="1"/>
        <v>9</v>
      </c>
      <c r="W5">
        <f t="shared" ca="1" si="1"/>
        <v>6</v>
      </c>
      <c r="X5">
        <f t="shared" ca="1" si="1"/>
        <v>8</v>
      </c>
      <c r="Y5">
        <f t="shared" ca="1" si="1"/>
        <v>5</v>
      </c>
      <c r="Z5">
        <f t="shared" ca="1" si="1"/>
        <v>9</v>
      </c>
      <c r="AA5">
        <f t="shared" ca="1" si="1"/>
        <v>9</v>
      </c>
      <c r="AB5">
        <f t="shared" ca="1" si="1"/>
        <v>7</v>
      </c>
      <c r="AC5">
        <f t="shared" ca="1" si="1"/>
        <v>9</v>
      </c>
      <c r="AD5">
        <f t="shared" ca="1" si="1"/>
        <v>10</v>
      </c>
      <c r="AE5">
        <f t="shared" ca="1" si="1"/>
        <v>3</v>
      </c>
      <c r="AF5">
        <f t="shared" ca="1" si="1"/>
        <v>10</v>
      </c>
      <c r="AG5">
        <f t="shared" ca="1" si="1"/>
        <v>5</v>
      </c>
      <c r="AH5" s="25">
        <f t="shared" ref="AH5:AH57" ca="1" si="6">IF(SUM($C5:$AG5)&gt;0,SUM($C5:$AG5),"")</f>
        <v>216</v>
      </c>
      <c r="AI5">
        <v>5</v>
      </c>
      <c r="AJ5">
        <v>10</v>
      </c>
      <c r="AK5">
        <f t="shared" si="3"/>
        <v>5</v>
      </c>
      <c r="AL5" s="15">
        <f t="shared" ca="1" si="4"/>
        <v>2160</v>
      </c>
      <c r="AM5" s="15">
        <f t="shared" ca="1" si="5"/>
        <v>1080</v>
      </c>
    </row>
    <row r="6" spans="1:42">
      <c r="A6" s="27"/>
      <c r="B6" t="s">
        <v>23</v>
      </c>
      <c r="C6">
        <f t="shared" ca="1" si="2"/>
        <v>5</v>
      </c>
      <c r="D6">
        <f t="shared" ca="1" si="1"/>
        <v>9</v>
      </c>
      <c r="E6">
        <f t="shared" ca="1" si="1"/>
        <v>7</v>
      </c>
      <c r="F6">
        <f t="shared" ca="1" si="1"/>
        <v>9</v>
      </c>
      <c r="G6">
        <f t="shared" ca="1" si="1"/>
        <v>7</v>
      </c>
      <c r="H6">
        <f t="shared" ca="1" si="1"/>
        <v>8</v>
      </c>
      <c r="I6">
        <f t="shared" ca="1" si="1"/>
        <v>8</v>
      </c>
      <c r="J6">
        <f t="shared" ca="1" si="1"/>
        <v>7</v>
      </c>
      <c r="K6">
        <f t="shared" ca="1" si="1"/>
        <v>10</v>
      </c>
      <c r="L6">
        <f t="shared" ca="1" si="1"/>
        <v>6</v>
      </c>
      <c r="M6">
        <f t="shared" ca="1" si="1"/>
        <v>2</v>
      </c>
      <c r="N6">
        <f t="shared" ca="1" si="1"/>
        <v>7</v>
      </c>
      <c r="O6">
        <f t="shared" ca="1" si="1"/>
        <v>10</v>
      </c>
      <c r="P6">
        <f t="shared" ca="1" si="1"/>
        <v>1</v>
      </c>
      <c r="Q6">
        <f t="shared" ca="1" si="1"/>
        <v>5</v>
      </c>
      <c r="R6">
        <f t="shared" ca="1" si="1"/>
        <v>8</v>
      </c>
      <c r="S6">
        <f t="shared" ca="1" si="1"/>
        <v>5</v>
      </c>
      <c r="T6">
        <f t="shared" ca="1" si="1"/>
        <v>2</v>
      </c>
      <c r="U6">
        <f t="shared" ca="1" si="1"/>
        <v>3</v>
      </c>
      <c r="V6">
        <f t="shared" ca="1" si="1"/>
        <v>5</v>
      </c>
      <c r="W6">
        <f t="shared" ca="1" si="1"/>
        <v>6</v>
      </c>
      <c r="X6">
        <f t="shared" ca="1" si="1"/>
        <v>8</v>
      </c>
      <c r="Y6">
        <f t="shared" ca="1" si="1"/>
        <v>1</v>
      </c>
      <c r="Z6">
        <f t="shared" ca="1" si="1"/>
        <v>6</v>
      </c>
      <c r="AA6">
        <f t="shared" ca="1" si="1"/>
        <v>6</v>
      </c>
      <c r="AB6">
        <f t="shared" ca="1" si="1"/>
        <v>2</v>
      </c>
      <c r="AC6">
        <f t="shared" ca="1" si="1"/>
        <v>6</v>
      </c>
      <c r="AD6">
        <f t="shared" ca="1" si="1"/>
        <v>3</v>
      </c>
      <c r="AE6">
        <f t="shared" ca="1" si="1"/>
        <v>2</v>
      </c>
      <c r="AF6">
        <f t="shared" ca="1" si="1"/>
        <v>4</v>
      </c>
      <c r="AG6">
        <f t="shared" ca="1" si="1"/>
        <v>9</v>
      </c>
      <c r="AH6" s="25">
        <f t="shared" ca="1" si="6"/>
        <v>177</v>
      </c>
      <c r="AI6">
        <v>45</v>
      </c>
      <c r="AJ6">
        <v>80</v>
      </c>
      <c r="AK6">
        <f t="shared" si="3"/>
        <v>35</v>
      </c>
      <c r="AL6" s="15">
        <f t="shared" ca="1" si="4"/>
        <v>14160</v>
      </c>
      <c r="AM6" s="15">
        <f t="shared" ca="1" si="5"/>
        <v>6195</v>
      </c>
    </row>
    <row r="7" spans="1:42">
      <c r="A7" s="27"/>
      <c r="B7" t="s">
        <v>24</v>
      </c>
      <c r="C7">
        <f t="shared" ca="1" si="2"/>
        <v>10</v>
      </c>
      <c r="D7">
        <f t="shared" ca="1" si="1"/>
        <v>5</v>
      </c>
      <c r="E7">
        <f t="shared" ca="1" si="1"/>
        <v>1</v>
      </c>
      <c r="F7">
        <f t="shared" ca="1" si="1"/>
        <v>5</v>
      </c>
      <c r="G7">
        <f t="shared" ca="1" si="1"/>
        <v>8</v>
      </c>
      <c r="H7">
        <f t="shared" ca="1" si="1"/>
        <v>8</v>
      </c>
      <c r="I7">
        <f t="shared" ca="1" si="1"/>
        <v>9</v>
      </c>
      <c r="J7">
        <f t="shared" ca="1" si="1"/>
        <v>6</v>
      </c>
      <c r="K7">
        <f t="shared" ca="1" si="1"/>
        <v>6</v>
      </c>
      <c r="L7">
        <f t="shared" ca="1" si="1"/>
        <v>6</v>
      </c>
      <c r="M7">
        <f t="shared" ca="1" si="1"/>
        <v>1</v>
      </c>
      <c r="N7">
        <f t="shared" ca="1" si="1"/>
        <v>9</v>
      </c>
      <c r="O7">
        <f t="shared" ca="1" si="1"/>
        <v>5</v>
      </c>
      <c r="P7">
        <f t="shared" ca="1" si="1"/>
        <v>10</v>
      </c>
      <c r="Q7">
        <f t="shared" ca="1" si="1"/>
        <v>4</v>
      </c>
      <c r="R7">
        <f t="shared" ca="1" si="1"/>
        <v>4</v>
      </c>
      <c r="S7">
        <f t="shared" ca="1" si="1"/>
        <v>5</v>
      </c>
      <c r="T7">
        <f t="shared" ca="1" si="1"/>
        <v>2</v>
      </c>
      <c r="U7">
        <f t="shared" ca="1" si="1"/>
        <v>2</v>
      </c>
      <c r="V7">
        <f t="shared" ca="1" si="1"/>
        <v>3</v>
      </c>
      <c r="W7">
        <f t="shared" ca="1" si="1"/>
        <v>7</v>
      </c>
      <c r="X7">
        <f t="shared" ca="1" si="1"/>
        <v>3</v>
      </c>
      <c r="Y7">
        <f t="shared" ca="1" si="1"/>
        <v>2</v>
      </c>
      <c r="Z7">
        <f t="shared" ca="1" si="1"/>
        <v>10</v>
      </c>
      <c r="AA7">
        <f t="shared" ca="1" si="1"/>
        <v>2</v>
      </c>
      <c r="AB7">
        <f t="shared" ca="1" si="1"/>
        <v>8</v>
      </c>
      <c r="AC7">
        <f t="shared" ca="1" si="1"/>
        <v>2</v>
      </c>
      <c r="AD7">
        <f t="shared" ca="1" si="1"/>
        <v>3</v>
      </c>
      <c r="AE7">
        <f t="shared" ca="1" si="1"/>
        <v>4</v>
      </c>
      <c r="AF7">
        <f t="shared" ca="1" si="1"/>
        <v>6</v>
      </c>
      <c r="AG7">
        <f t="shared" ca="1" si="1"/>
        <v>7</v>
      </c>
      <c r="AH7" s="25">
        <f t="shared" ca="1" si="6"/>
        <v>163</v>
      </c>
      <c r="AI7">
        <v>392</v>
      </c>
      <c r="AJ7">
        <v>420</v>
      </c>
      <c r="AK7">
        <f t="shared" si="3"/>
        <v>28</v>
      </c>
      <c r="AL7" s="15">
        <f t="shared" ca="1" si="4"/>
        <v>68460</v>
      </c>
      <c r="AM7" s="15">
        <f t="shared" ca="1" si="5"/>
        <v>4564</v>
      </c>
      <c r="AO7" s="1" t="s">
        <v>86</v>
      </c>
    </row>
    <row r="8" spans="1:42">
      <c r="A8" s="27"/>
      <c r="B8" t="s">
        <v>25</v>
      </c>
      <c r="C8">
        <f t="shared" ca="1" si="2"/>
        <v>3</v>
      </c>
      <c r="D8">
        <f t="shared" ca="1" si="2"/>
        <v>5</v>
      </c>
      <c r="E8">
        <f t="shared" ca="1" si="2"/>
        <v>9</v>
      </c>
      <c r="F8">
        <f t="shared" ca="1" si="2"/>
        <v>2</v>
      </c>
      <c r="G8">
        <f t="shared" ca="1" si="2"/>
        <v>3</v>
      </c>
      <c r="H8">
        <f t="shared" ca="1" si="2"/>
        <v>10</v>
      </c>
      <c r="I8">
        <f t="shared" ca="1" si="2"/>
        <v>9</v>
      </c>
      <c r="J8">
        <f t="shared" ca="1" si="2"/>
        <v>3</v>
      </c>
      <c r="K8">
        <f t="shared" ca="1" si="2"/>
        <v>3</v>
      </c>
      <c r="L8">
        <f t="shared" ca="1" si="2"/>
        <v>6</v>
      </c>
      <c r="M8">
        <f t="shared" ca="1" si="2"/>
        <v>1</v>
      </c>
      <c r="N8">
        <f t="shared" ca="1" si="2"/>
        <v>7</v>
      </c>
      <c r="O8">
        <f t="shared" ca="1" si="2"/>
        <v>8</v>
      </c>
      <c r="P8">
        <f t="shared" ca="1" si="2"/>
        <v>8</v>
      </c>
      <c r="Q8">
        <f t="shared" ca="1" si="2"/>
        <v>8</v>
      </c>
      <c r="R8">
        <f t="shared" ca="1" si="2"/>
        <v>3</v>
      </c>
      <c r="S8">
        <f t="shared" ca="1" si="1"/>
        <v>7</v>
      </c>
      <c r="T8">
        <f t="shared" ca="1" si="1"/>
        <v>3</v>
      </c>
      <c r="U8">
        <f t="shared" ca="1" si="1"/>
        <v>3</v>
      </c>
      <c r="V8">
        <f t="shared" ca="1" si="1"/>
        <v>6</v>
      </c>
      <c r="W8">
        <f t="shared" ca="1" si="1"/>
        <v>4</v>
      </c>
      <c r="X8">
        <f t="shared" ca="1" si="1"/>
        <v>4</v>
      </c>
      <c r="Y8">
        <f t="shared" ca="1" si="1"/>
        <v>9</v>
      </c>
      <c r="Z8">
        <f t="shared" ca="1" si="1"/>
        <v>9</v>
      </c>
      <c r="AA8">
        <f t="shared" ca="1" si="1"/>
        <v>10</v>
      </c>
      <c r="AB8">
        <f t="shared" ca="1" si="1"/>
        <v>5</v>
      </c>
      <c r="AC8">
        <f t="shared" ca="1" si="1"/>
        <v>6</v>
      </c>
      <c r="AD8">
        <f t="shared" ca="1" si="1"/>
        <v>6</v>
      </c>
      <c r="AE8">
        <f t="shared" ca="1" si="1"/>
        <v>3</v>
      </c>
      <c r="AF8">
        <f t="shared" ca="1" si="1"/>
        <v>1</v>
      </c>
      <c r="AG8">
        <f t="shared" ca="1" si="1"/>
        <v>6</v>
      </c>
      <c r="AH8" s="25">
        <f t="shared" ca="1" si="6"/>
        <v>170</v>
      </c>
      <c r="AI8">
        <v>86</v>
      </c>
      <c r="AJ8">
        <v>100</v>
      </c>
      <c r="AK8">
        <f t="shared" si="3"/>
        <v>14</v>
      </c>
      <c r="AL8" s="15">
        <f t="shared" ca="1" si="4"/>
        <v>17000</v>
      </c>
      <c r="AM8" s="15">
        <f t="shared" ca="1" si="5"/>
        <v>2380</v>
      </c>
      <c r="AO8" t="s">
        <v>87</v>
      </c>
    </row>
    <row r="9" spans="1:42">
      <c r="A9" s="27"/>
      <c r="B9" t="s">
        <v>26</v>
      </c>
      <c r="C9">
        <f t="shared" ca="1" si="2"/>
        <v>7</v>
      </c>
      <c r="D9">
        <f t="shared" ca="1" si="1"/>
        <v>6</v>
      </c>
      <c r="E9">
        <f t="shared" ca="1" si="1"/>
        <v>9</v>
      </c>
      <c r="F9">
        <f t="shared" ca="1" si="1"/>
        <v>10</v>
      </c>
      <c r="G9">
        <f t="shared" ca="1" si="1"/>
        <v>8</v>
      </c>
      <c r="H9">
        <f t="shared" ca="1" si="1"/>
        <v>2</v>
      </c>
      <c r="I9">
        <f t="shared" ca="1" si="1"/>
        <v>8</v>
      </c>
      <c r="J9">
        <f t="shared" ca="1" si="1"/>
        <v>5</v>
      </c>
      <c r="K9">
        <f t="shared" ca="1" si="1"/>
        <v>10</v>
      </c>
      <c r="L9">
        <f t="shared" ca="1" si="1"/>
        <v>1</v>
      </c>
      <c r="M9">
        <f t="shared" ca="1" si="1"/>
        <v>9</v>
      </c>
      <c r="N9">
        <f t="shared" ca="1" si="1"/>
        <v>3</v>
      </c>
      <c r="O9">
        <f t="shared" ca="1" si="1"/>
        <v>5</v>
      </c>
      <c r="P9">
        <f t="shared" ca="1" si="1"/>
        <v>8</v>
      </c>
      <c r="Q9">
        <f t="shared" ca="1" si="1"/>
        <v>6</v>
      </c>
      <c r="R9">
        <f t="shared" ca="1" si="1"/>
        <v>2</v>
      </c>
      <c r="S9">
        <f t="shared" ca="1" si="1"/>
        <v>3</v>
      </c>
      <c r="T9">
        <f t="shared" ca="1" si="1"/>
        <v>8</v>
      </c>
      <c r="U9">
        <f t="shared" ca="1" si="1"/>
        <v>10</v>
      </c>
      <c r="V9">
        <f t="shared" ca="1" si="1"/>
        <v>9</v>
      </c>
      <c r="W9">
        <f t="shared" ca="1" si="1"/>
        <v>9</v>
      </c>
      <c r="X9">
        <f t="shared" ca="1" si="1"/>
        <v>6</v>
      </c>
      <c r="Y9">
        <f t="shared" ca="1" si="1"/>
        <v>3</v>
      </c>
      <c r="Z9">
        <f t="shared" ca="1" si="1"/>
        <v>9</v>
      </c>
      <c r="AA9">
        <f t="shared" ca="1" si="1"/>
        <v>1</v>
      </c>
      <c r="AB9">
        <f t="shared" ca="1" si="1"/>
        <v>9</v>
      </c>
      <c r="AC9">
        <f t="shared" ca="1" si="1"/>
        <v>5</v>
      </c>
      <c r="AD9">
        <f t="shared" ca="1" si="1"/>
        <v>1</v>
      </c>
      <c r="AE9">
        <f t="shared" ca="1" si="1"/>
        <v>6</v>
      </c>
      <c r="AF9">
        <f t="shared" ca="1" si="1"/>
        <v>10</v>
      </c>
      <c r="AG9">
        <f t="shared" ca="1" si="1"/>
        <v>6</v>
      </c>
      <c r="AH9" s="25">
        <f t="shared" ca="1" si="6"/>
        <v>194</v>
      </c>
      <c r="AI9">
        <v>271</v>
      </c>
      <c r="AJ9">
        <v>300</v>
      </c>
      <c r="AK9">
        <f t="shared" si="3"/>
        <v>29</v>
      </c>
      <c r="AL9" s="15">
        <f t="shared" ca="1" si="4"/>
        <v>58200</v>
      </c>
      <c r="AM9" s="15">
        <f t="shared" ca="1" si="5"/>
        <v>5626</v>
      </c>
      <c r="AO9" t="s">
        <v>88</v>
      </c>
      <c r="AP9" s="13">
        <f>'Attendence (July)'!AL3</f>
        <v>48333.333333333336</v>
      </c>
    </row>
    <row r="10" spans="1:42">
      <c r="A10" s="27"/>
      <c r="B10" t="s">
        <v>27</v>
      </c>
      <c r="C10">
        <f t="shared" ca="1" si="2"/>
        <v>8</v>
      </c>
      <c r="D10">
        <f t="shared" ca="1" si="1"/>
        <v>1</v>
      </c>
      <c r="E10">
        <f t="shared" ca="1" si="1"/>
        <v>2</v>
      </c>
      <c r="F10">
        <f t="shared" ca="1" si="1"/>
        <v>10</v>
      </c>
      <c r="G10">
        <f t="shared" ca="1" si="1"/>
        <v>5</v>
      </c>
      <c r="H10">
        <f t="shared" ca="1" si="1"/>
        <v>2</v>
      </c>
      <c r="I10">
        <f t="shared" ca="1" si="1"/>
        <v>6</v>
      </c>
      <c r="J10">
        <f t="shared" ca="1" si="1"/>
        <v>3</v>
      </c>
      <c r="K10">
        <f t="shared" ca="1" si="1"/>
        <v>9</v>
      </c>
      <c r="L10">
        <f t="shared" ca="1" si="1"/>
        <v>1</v>
      </c>
      <c r="M10">
        <f t="shared" ca="1" si="1"/>
        <v>1</v>
      </c>
      <c r="N10">
        <f t="shared" ca="1" si="1"/>
        <v>6</v>
      </c>
      <c r="O10">
        <f t="shared" ca="1" si="1"/>
        <v>7</v>
      </c>
      <c r="P10">
        <f t="shared" ca="1" si="1"/>
        <v>3</v>
      </c>
      <c r="Q10">
        <f t="shared" ca="1" si="1"/>
        <v>10</v>
      </c>
      <c r="R10">
        <f t="shared" ca="1" si="1"/>
        <v>9</v>
      </c>
      <c r="S10">
        <f t="shared" ca="1" si="1"/>
        <v>3</v>
      </c>
      <c r="T10">
        <f t="shared" ca="1" si="1"/>
        <v>1</v>
      </c>
      <c r="U10">
        <f t="shared" ca="1" si="1"/>
        <v>5</v>
      </c>
      <c r="V10">
        <f t="shared" ca="1" si="1"/>
        <v>9</v>
      </c>
      <c r="W10">
        <f t="shared" ca="1" si="1"/>
        <v>3</v>
      </c>
      <c r="X10">
        <f t="shared" ca="1" si="1"/>
        <v>1</v>
      </c>
      <c r="Y10">
        <f t="shared" ca="1" si="1"/>
        <v>7</v>
      </c>
      <c r="Z10">
        <f t="shared" ca="1" si="1"/>
        <v>8</v>
      </c>
      <c r="AA10">
        <f t="shared" ca="1" si="1"/>
        <v>8</v>
      </c>
      <c r="AB10">
        <f t="shared" ca="1" si="1"/>
        <v>6</v>
      </c>
      <c r="AC10">
        <f t="shared" ca="1" si="1"/>
        <v>5</v>
      </c>
      <c r="AD10">
        <f t="shared" ca="1" si="1"/>
        <v>6</v>
      </c>
      <c r="AE10">
        <f t="shared" ca="1" si="1"/>
        <v>1</v>
      </c>
      <c r="AF10">
        <f t="shared" ca="1" si="1"/>
        <v>7</v>
      </c>
      <c r="AG10">
        <f t="shared" ca="1" si="1"/>
        <v>5</v>
      </c>
      <c r="AH10" s="25">
        <f t="shared" ca="1" si="6"/>
        <v>158</v>
      </c>
      <c r="AI10">
        <v>226</v>
      </c>
      <c r="AJ10">
        <v>250</v>
      </c>
      <c r="AK10">
        <f t="shared" si="3"/>
        <v>24</v>
      </c>
      <c r="AL10" s="15">
        <f t="shared" ca="1" si="4"/>
        <v>39500</v>
      </c>
      <c r="AM10" s="15">
        <f t="shared" ca="1" si="5"/>
        <v>3792</v>
      </c>
      <c r="AO10" t="s">
        <v>89</v>
      </c>
      <c r="AP10" s="13">
        <f>'Attendence (July)'!AL4</f>
        <v>15000</v>
      </c>
    </row>
    <row r="11" spans="1:42">
      <c r="A11" s="27"/>
      <c r="B11" t="s">
        <v>28</v>
      </c>
      <c r="C11">
        <f t="shared" ca="1" si="2"/>
        <v>4</v>
      </c>
      <c r="D11">
        <f t="shared" ca="1" si="1"/>
        <v>3</v>
      </c>
      <c r="E11">
        <f t="shared" ca="1" si="1"/>
        <v>9</v>
      </c>
      <c r="F11">
        <f t="shared" ca="1" si="1"/>
        <v>4</v>
      </c>
      <c r="G11">
        <f t="shared" ca="1" si="1"/>
        <v>4</v>
      </c>
      <c r="H11">
        <f t="shared" ca="1" si="1"/>
        <v>8</v>
      </c>
      <c r="I11">
        <f t="shared" ca="1" si="1"/>
        <v>6</v>
      </c>
      <c r="J11">
        <f t="shared" ca="1" si="1"/>
        <v>6</v>
      </c>
      <c r="K11">
        <f t="shared" ca="1" si="1"/>
        <v>2</v>
      </c>
      <c r="L11">
        <f t="shared" ca="1" si="1"/>
        <v>9</v>
      </c>
      <c r="M11">
        <f t="shared" ca="1" si="1"/>
        <v>1</v>
      </c>
      <c r="N11">
        <f t="shared" ca="1" si="1"/>
        <v>1</v>
      </c>
      <c r="O11">
        <f t="shared" ca="1" si="1"/>
        <v>3</v>
      </c>
      <c r="P11">
        <f t="shared" ca="1" si="1"/>
        <v>2</v>
      </c>
      <c r="Q11">
        <f t="shared" ca="1" si="1"/>
        <v>1</v>
      </c>
      <c r="R11">
        <f t="shared" ca="1" si="1"/>
        <v>8</v>
      </c>
      <c r="S11">
        <f t="shared" ca="1" si="1"/>
        <v>4</v>
      </c>
      <c r="T11">
        <f t="shared" ca="1" si="1"/>
        <v>10</v>
      </c>
      <c r="U11">
        <f t="shared" ca="1" si="1"/>
        <v>10</v>
      </c>
      <c r="V11">
        <f t="shared" ca="1" si="1"/>
        <v>8</v>
      </c>
      <c r="W11">
        <f t="shared" ca="1" si="1"/>
        <v>1</v>
      </c>
      <c r="X11">
        <f t="shared" ca="1" si="1"/>
        <v>1</v>
      </c>
      <c r="Y11">
        <f t="shared" ca="1" si="1"/>
        <v>2</v>
      </c>
      <c r="Z11">
        <f t="shared" ca="1" si="1"/>
        <v>3</v>
      </c>
      <c r="AA11">
        <f t="shared" ca="1" si="1"/>
        <v>3</v>
      </c>
      <c r="AB11">
        <f t="shared" ca="1" si="1"/>
        <v>1</v>
      </c>
      <c r="AC11">
        <f t="shared" ca="1" si="1"/>
        <v>9</v>
      </c>
      <c r="AD11">
        <f t="shared" ca="1" si="1"/>
        <v>8</v>
      </c>
      <c r="AE11">
        <f t="shared" ca="1" si="1"/>
        <v>6</v>
      </c>
      <c r="AF11">
        <f t="shared" ca="1" si="1"/>
        <v>5</v>
      </c>
      <c r="AG11">
        <f t="shared" ca="1" si="1"/>
        <v>5</v>
      </c>
      <c r="AH11" s="25">
        <f t="shared" ca="1" si="6"/>
        <v>147</v>
      </c>
      <c r="AI11">
        <v>390</v>
      </c>
      <c r="AJ11">
        <v>450</v>
      </c>
      <c r="AK11">
        <f t="shared" si="3"/>
        <v>60</v>
      </c>
      <c r="AL11" s="15">
        <f t="shared" ca="1" si="4"/>
        <v>66150</v>
      </c>
      <c r="AM11" s="15">
        <f t="shared" ca="1" si="5"/>
        <v>8820</v>
      </c>
      <c r="AO11" t="s">
        <v>90</v>
      </c>
      <c r="AP11" s="13">
        <f>'Attendence (July)'!AL5</f>
        <v>18000</v>
      </c>
    </row>
    <row r="12" spans="1:42">
      <c r="A12" s="27"/>
      <c r="B12" t="s">
        <v>29</v>
      </c>
      <c r="C12">
        <f t="shared" ca="1" si="2"/>
        <v>7</v>
      </c>
      <c r="D12">
        <f t="shared" ca="1" si="1"/>
        <v>5</v>
      </c>
      <c r="E12">
        <f t="shared" ca="1" si="1"/>
        <v>3</v>
      </c>
      <c r="F12">
        <f t="shared" ca="1" si="1"/>
        <v>7</v>
      </c>
      <c r="G12">
        <f t="shared" ca="1" si="1"/>
        <v>1</v>
      </c>
      <c r="H12">
        <f t="shared" ca="1" si="1"/>
        <v>3</v>
      </c>
      <c r="I12">
        <f t="shared" ca="1" si="1"/>
        <v>2</v>
      </c>
      <c r="J12">
        <f t="shared" ca="1" si="1"/>
        <v>8</v>
      </c>
      <c r="K12">
        <f t="shared" ca="1" si="1"/>
        <v>9</v>
      </c>
      <c r="L12">
        <f t="shared" ca="1" si="1"/>
        <v>9</v>
      </c>
      <c r="M12">
        <f t="shared" ca="1" si="1"/>
        <v>10</v>
      </c>
      <c r="N12">
        <f t="shared" ca="1" si="1"/>
        <v>8</v>
      </c>
      <c r="O12">
        <f t="shared" ca="1" si="1"/>
        <v>7</v>
      </c>
      <c r="P12">
        <f t="shared" ca="1" si="1"/>
        <v>6</v>
      </c>
      <c r="Q12">
        <f t="shared" ca="1" si="1"/>
        <v>8</v>
      </c>
      <c r="R12">
        <f t="shared" ca="1" si="1"/>
        <v>3</v>
      </c>
      <c r="S12">
        <f t="shared" ref="S12:AG27" ca="1" si="7">RANDBETWEEN(1,10)</f>
        <v>5</v>
      </c>
      <c r="T12">
        <f t="shared" ca="1" si="7"/>
        <v>7</v>
      </c>
      <c r="U12">
        <f t="shared" ca="1" si="7"/>
        <v>1</v>
      </c>
      <c r="V12">
        <f t="shared" ca="1" si="7"/>
        <v>8</v>
      </c>
      <c r="W12">
        <f t="shared" ca="1" si="7"/>
        <v>7</v>
      </c>
      <c r="X12">
        <f t="shared" ca="1" si="7"/>
        <v>3</v>
      </c>
      <c r="Y12">
        <f t="shared" ca="1" si="7"/>
        <v>3</v>
      </c>
      <c r="Z12">
        <f t="shared" ca="1" si="7"/>
        <v>2</v>
      </c>
      <c r="AA12">
        <f t="shared" ca="1" si="7"/>
        <v>5</v>
      </c>
      <c r="AB12">
        <f t="shared" ca="1" si="7"/>
        <v>5</v>
      </c>
      <c r="AC12">
        <f t="shared" ca="1" si="7"/>
        <v>9</v>
      </c>
      <c r="AD12">
        <f t="shared" ca="1" si="7"/>
        <v>2</v>
      </c>
      <c r="AE12">
        <f t="shared" ca="1" si="7"/>
        <v>1</v>
      </c>
      <c r="AF12">
        <f t="shared" ca="1" si="7"/>
        <v>9</v>
      </c>
      <c r="AG12">
        <f t="shared" ca="1" si="7"/>
        <v>4</v>
      </c>
      <c r="AH12" s="25">
        <f t="shared" ca="1" si="6"/>
        <v>167</v>
      </c>
      <c r="AI12">
        <v>379</v>
      </c>
      <c r="AJ12">
        <v>430</v>
      </c>
      <c r="AK12">
        <f t="shared" si="3"/>
        <v>51</v>
      </c>
      <c r="AL12" s="15">
        <f t="shared" ca="1" si="4"/>
        <v>71810</v>
      </c>
      <c r="AM12" s="15">
        <f t="shared" ca="1" si="5"/>
        <v>8517</v>
      </c>
      <c r="AO12" t="s">
        <v>91</v>
      </c>
      <c r="AP12" s="13">
        <f>'Attendence (July)'!AL6</f>
        <v>9333.3333333333321</v>
      </c>
    </row>
    <row r="13" spans="1:42">
      <c r="A13" s="27"/>
      <c r="B13" t="s">
        <v>30</v>
      </c>
      <c r="C13">
        <f t="shared" ca="1" si="2"/>
        <v>8</v>
      </c>
      <c r="D13">
        <f t="shared" ca="1" si="2"/>
        <v>4</v>
      </c>
      <c r="E13">
        <f t="shared" ca="1" si="2"/>
        <v>5</v>
      </c>
      <c r="F13">
        <f t="shared" ca="1" si="2"/>
        <v>8</v>
      </c>
      <c r="G13">
        <f t="shared" ca="1" si="2"/>
        <v>7</v>
      </c>
      <c r="H13">
        <f t="shared" ca="1" si="2"/>
        <v>1</v>
      </c>
      <c r="I13">
        <f t="shared" ca="1" si="2"/>
        <v>9</v>
      </c>
      <c r="J13">
        <f t="shared" ca="1" si="2"/>
        <v>7</v>
      </c>
      <c r="K13">
        <f t="shared" ca="1" si="2"/>
        <v>2</v>
      </c>
      <c r="L13">
        <f t="shared" ca="1" si="2"/>
        <v>2</v>
      </c>
      <c r="M13">
        <f t="shared" ca="1" si="2"/>
        <v>5</v>
      </c>
      <c r="N13">
        <f t="shared" ca="1" si="2"/>
        <v>7</v>
      </c>
      <c r="O13">
        <f t="shared" ca="1" si="2"/>
        <v>3</v>
      </c>
      <c r="P13">
        <f t="shared" ca="1" si="2"/>
        <v>7</v>
      </c>
      <c r="Q13">
        <f t="shared" ca="1" si="2"/>
        <v>3</v>
      </c>
      <c r="R13">
        <f t="shared" ca="1" si="2"/>
        <v>5</v>
      </c>
      <c r="S13">
        <f t="shared" ca="1" si="7"/>
        <v>8</v>
      </c>
      <c r="T13">
        <f t="shared" ca="1" si="7"/>
        <v>6</v>
      </c>
      <c r="U13">
        <f t="shared" ca="1" si="7"/>
        <v>5</v>
      </c>
      <c r="V13">
        <f t="shared" ca="1" si="7"/>
        <v>6</v>
      </c>
      <c r="W13">
        <f t="shared" ca="1" si="7"/>
        <v>2</v>
      </c>
      <c r="X13">
        <f t="shared" ca="1" si="7"/>
        <v>2</v>
      </c>
      <c r="Y13">
        <f t="shared" ca="1" si="7"/>
        <v>5</v>
      </c>
      <c r="Z13">
        <f t="shared" ca="1" si="7"/>
        <v>5</v>
      </c>
      <c r="AA13">
        <f t="shared" ca="1" si="7"/>
        <v>7</v>
      </c>
      <c r="AB13">
        <f t="shared" ca="1" si="7"/>
        <v>7</v>
      </c>
      <c r="AC13">
        <f t="shared" ca="1" si="7"/>
        <v>4</v>
      </c>
      <c r="AD13">
        <f t="shared" ca="1" si="7"/>
        <v>4</v>
      </c>
      <c r="AE13">
        <f t="shared" ca="1" si="7"/>
        <v>3</v>
      </c>
      <c r="AF13">
        <f t="shared" ca="1" si="7"/>
        <v>6</v>
      </c>
      <c r="AG13">
        <f t="shared" ca="1" si="7"/>
        <v>8</v>
      </c>
      <c r="AH13" s="25">
        <f t="shared" ca="1" si="6"/>
        <v>161</v>
      </c>
      <c r="AI13">
        <v>368</v>
      </c>
      <c r="AJ13">
        <v>435</v>
      </c>
      <c r="AK13">
        <f t="shared" si="3"/>
        <v>67</v>
      </c>
      <c r="AL13" s="15">
        <f t="shared" ca="1" si="4"/>
        <v>70035</v>
      </c>
      <c r="AM13" s="15">
        <f t="shared" ca="1" si="5"/>
        <v>10787</v>
      </c>
      <c r="AO13" t="s">
        <v>92</v>
      </c>
      <c r="AP13" s="13">
        <v>10000</v>
      </c>
    </row>
    <row r="14" spans="1:42">
      <c r="A14" s="27"/>
      <c r="B14" t="s">
        <v>31</v>
      </c>
      <c r="C14">
        <f t="shared" ca="1" si="2"/>
        <v>10</v>
      </c>
      <c r="D14">
        <f t="shared" ca="1" si="2"/>
        <v>2</v>
      </c>
      <c r="E14">
        <f t="shared" ca="1" si="2"/>
        <v>8</v>
      </c>
      <c r="F14">
        <f t="shared" ca="1" si="2"/>
        <v>8</v>
      </c>
      <c r="G14">
        <f t="shared" ca="1" si="2"/>
        <v>10</v>
      </c>
      <c r="H14">
        <f t="shared" ca="1" si="2"/>
        <v>3</v>
      </c>
      <c r="I14">
        <f t="shared" ca="1" si="2"/>
        <v>5</v>
      </c>
      <c r="J14">
        <f t="shared" ca="1" si="2"/>
        <v>10</v>
      </c>
      <c r="K14">
        <f t="shared" ca="1" si="2"/>
        <v>9</v>
      </c>
      <c r="L14">
        <f t="shared" ca="1" si="2"/>
        <v>6</v>
      </c>
      <c r="M14">
        <f t="shared" ca="1" si="2"/>
        <v>2</v>
      </c>
      <c r="N14">
        <f t="shared" ca="1" si="2"/>
        <v>6</v>
      </c>
      <c r="O14">
        <f t="shared" ca="1" si="2"/>
        <v>1</v>
      </c>
      <c r="P14">
        <f t="shared" ca="1" si="2"/>
        <v>9</v>
      </c>
      <c r="Q14">
        <f t="shared" ca="1" si="2"/>
        <v>10</v>
      </c>
      <c r="R14">
        <f t="shared" ca="1" si="2"/>
        <v>9</v>
      </c>
      <c r="S14">
        <f t="shared" ca="1" si="7"/>
        <v>10</v>
      </c>
      <c r="T14">
        <f t="shared" ca="1" si="7"/>
        <v>2</v>
      </c>
      <c r="U14">
        <f t="shared" ca="1" si="7"/>
        <v>7</v>
      </c>
      <c r="V14">
        <f t="shared" ca="1" si="7"/>
        <v>7</v>
      </c>
      <c r="W14">
        <f t="shared" ca="1" si="7"/>
        <v>9</v>
      </c>
      <c r="X14">
        <f t="shared" ca="1" si="7"/>
        <v>5</v>
      </c>
      <c r="Y14">
        <f t="shared" ca="1" si="7"/>
        <v>10</v>
      </c>
      <c r="Z14">
        <f t="shared" ca="1" si="7"/>
        <v>6</v>
      </c>
      <c r="AA14">
        <f t="shared" ca="1" si="7"/>
        <v>9</v>
      </c>
      <c r="AB14">
        <f t="shared" ca="1" si="7"/>
        <v>8</v>
      </c>
      <c r="AC14">
        <f t="shared" ca="1" si="7"/>
        <v>9</v>
      </c>
      <c r="AD14">
        <f t="shared" ca="1" si="7"/>
        <v>8</v>
      </c>
      <c r="AE14">
        <f t="shared" ca="1" si="7"/>
        <v>6</v>
      </c>
      <c r="AF14">
        <f t="shared" ca="1" si="7"/>
        <v>9</v>
      </c>
      <c r="AG14">
        <f t="shared" ca="1" si="7"/>
        <v>2</v>
      </c>
      <c r="AH14" s="25">
        <f t="shared" ca="1" si="6"/>
        <v>215</v>
      </c>
      <c r="AI14">
        <v>88</v>
      </c>
      <c r="AJ14">
        <v>99</v>
      </c>
      <c r="AK14">
        <f t="shared" si="3"/>
        <v>11</v>
      </c>
      <c r="AL14" s="15">
        <f t="shared" ca="1" si="4"/>
        <v>21285</v>
      </c>
      <c r="AM14" s="15">
        <f t="shared" ca="1" si="5"/>
        <v>2365</v>
      </c>
      <c r="AO14" t="s">
        <v>93</v>
      </c>
      <c r="AP14" s="13">
        <v>2000</v>
      </c>
    </row>
    <row r="15" spans="1:42">
      <c r="A15" s="27"/>
      <c r="B15" t="s">
        <v>32</v>
      </c>
      <c r="C15">
        <f t="shared" ca="1" si="2"/>
        <v>3</v>
      </c>
      <c r="D15">
        <f t="shared" ca="1" si="2"/>
        <v>6</v>
      </c>
      <c r="E15">
        <f t="shared" ca="1" si="2"/>
        <v>8</v>
      </c>
      <c r="F15">
        <f t="shared" ca="1" si="2"/>
        <v>8</v>
      </c>
      <c r="G15">
        <f t="shared" ca="1" si="2"/>
        <v>3</v>
      </c>
      <c r="H15">
        <f t="shared" ca="1" si="2"/>
        <v>10</v>
      </c>
      <c r="I15">
        <f t="shared" ca="1" si="2"/>
        <v>3</v>
      </c>
      <c r="J15">
        <f t="shared" ca="1" si="2"/>
        <v>3</v>
      </c>
      <c r="K15">
        <f t="shared" ca="1" si="2"/>
        <v>9</v>
      </c>
      <c r="L15">
        <f t="shared" ca="1" si="2"/>
        <v>1</v>
      </c>
      <c r="M15">
        <f t="shared" ca="1" si="2"/>
        <v>1</v>
      </c>
      <c r="N15">
        <f t="shared" ca="1" si="2"/>
        <v>6</v>
      </c>
      <c r="O15">
        <f t="shared" ca="1" si="2"/>
        <v>10</v>
      </c>
      <c r="P15">
        <f t="shared" ca="1" si="2"/>
        <v>4</v>
      </c>
      <c r="Q15">
        <f t="shared" ca="1" si="2"/>
        <v>8</v>
      </c>
      <c r="R15">
        <f t="shared" ca="1" si="2"/>
        <v>8</v>
      </c>
      <c r="S15">
        <f t="shared" ca="1" si="7"/>
        <v>2</v>
      </c>
      <c r="T15">
        <f t="shared" ca="1" si="7"/>
        <v>9</v>
      </c>
      <c r="U15">
        <f t="shared" ca="1" si="7"/>
        <v>7</v>
      </c>
      <c r="V15">
        <f t="shared" ca="1" si="7"/>
        <v>1</v>
      </c>
      <c r="W15">
        <f t="shared" ca="1" si="7"/>
        <v>9</v>
      </c>
      <c r="X15">
        <f t="shared" ca="1" si="7"/>
        <v>4</v>
      </c>
      <c r="Y15">
        <f t="shared" ca="1" si="7"/>
        <v>10</v>
      </c>
      <c r="Z15">
        <f t="shared" ca="1" si="7"/>
        <v>6</v>
      </c>
      <c r="AA15">
        <f t="shared" ca="1" si="7"/>
        <v>2</v>
      </c>
      <c r="AB15">
        <f t="shared" ca="1" si="7"/>
        <v>9</v>
      </c>
      <c r="AC15">
        <f t="shared" ca="1" si="7"/>
        <v>4</v>
      </c>
      <c r="AD15">
        <f t="shared" ca="1" si="7"/>
        <v>5</v>
      </c>
      <c r="AE15">
        <f t="shared" ca="1" si="7"/>
        <v>1</v>
      </c>
      <c r="AF15">
        <f t="shared" ca="1" si="7"/>
        <v>8</v>
      </c>
      <c r="AG15">
        <f t="shared" ca="1" si="7"/>
        <v>5</v>
      </c>
      <c r="AH15" s="25">
        <f t="shared" ca="1" si="6"/>
        <v>173</v>
      </c>
      <c r="AI15">
        <v>391</v>
      </c>
      <c r="AJ15">
        <v>500</v>
      </c>
      <c r="AK15">
        <f t="shared" si="3"/>
        <v>109</v>
      </c>
      <c r="AL15" s="15">
        <f t="shared" ca="1" si="4"/>
        <v>86500</v>
      </c>
      <c r="AM15" s="15">
        <f t="shared" ca="1" si="5"/>
        <v>18857</v>
      </c>
      <c r="AO15" t="s">
        <v>80</v>
      </c>
      <c r="AP15" s="13">
        <f ca="1">SUM(AM3:AM57)</f>
        <v>298042</v>
      </c>
    </row>
    <row r="16" spans="1:42">
      <c r="A16" s="27"/>
      <c r="B16" t="s">
        <v>33</v>
      </c>
      <c r="C16">
        <f t="shared" ca="1" si="2"/>
        <v>7</v>
      </c>
      <c r="D16">
        <f t="shared" ca="1" si="2"/>
        <v>9</v>
      </c>
      <c r="E16">
        <f t="shared" ca="1" si="2"/>
        <v>2</v>
      </c>
      <c r="F16">
        <f t="shared" ca="1" si="2"/>
        <v>5</v>
      </c>
      <c r="G16">
        <f t="shared" ca="1" si="2"/>
        <v>4</v>
      </c>
      <c r="H16">
        <f t="shared" ca="1" si="2"/>
        <v>7</v>
      </c>
      <c r="I16">
        <f t="shared" ca="1" si="2"/>
        <v>3</v>
      </c>
      <c r="J16">
        <f t="shared" ca="1" si="2"/>
        <v>3</v>
      </c>
      <c r="K16">
        <f t="shared" ca="1" si="2"/>
        <v>8</v>
      </c>
      <c r="L16">
        <f t="shared" ca="1" si="2"/>
        <v>9</v>
      </c>
      <c r="M16">
        <f t="shared" ca="1" si="2"/>
        <v>6</v>
      </c>
      <c r="N16">
        <f t="shared" ca="1" si="2"/>
        <v>10</v>
      </c>
      <c r="O16">
        <f t="shared" ca="1" si="2"/>
        <v>2</v>
      </c>
      <c r="P16">
        <f t="shared" ca="1" si="2"/>
        <v>7</v>
      </c>
      <c r="Q16">
        <f t="shared" ca="1" si="2"/>
        <v>9</v>
      </c>
      <c r="R16">
        <f t="shared" ca="1" si="2"/>
        <v>1</v>
      </c>
      <c r="S16">
        <f t="shared" ca="1" si="7"/>
        <v>3</v>
      </c>
      <c r="T16">
        <f t="shared" ca="1" si="7"/>
        <v>4</v>
      </c>
      <c r="U16">
        <f t="shared" ca="1" si="7"/>
        <v>7</v>
      </c>
      <c r="V16">
        <f t="shared" ca="1" si="7"/>
        <v>3</v>
      </c>
      <c r="W16">
        <f t="shared" ca="1" si="7"/>
        <v>3</v>
      </c>
      <c r="X16">
        <f t="shared" ca="1" si="7"/>
        <v>10</v>
      </c>
      <c r="Y16">
        <f t="shared" ca="1" si="7"/>
        <v>5</v>
      </c>
      <c r="Z16">
        <f t="shared" ca="1" si="7"/>
        <v>5</v>
      </c>
      <c r="AA16">
        <f t="shared" ca="1" si="7"/>
        <v>5</v>
      </c>
      <c r="AB16">
        <f t="shared" ca="1" si="7"/>
        <v>9</v>
      </c>
      <c r="AC16">
        <f t="shared" ca="1" si="7"/>
        <v>7</v>
      </c>
      <c r="AD16">
        <f t="shared" ca="1" si="7"/>
        <v>10</v>
      </c>
      <c r="AE16">
        <f t="shared" ca="1" si="7"/>
        <v>7</v>
      </c>
      <c r="AF16">
        <f t="shared" ca="1" si="7"/>
        <v>8</v>
      </c>
      <c r="AG16">
        <f t="shared" ca="1" si="7"/>
        <v>4</v>
      </c>
      <c r="AH16" s="25">
        <f t="shared" ca="1" si="6"/>
        <v>182</v>
      </c>
      <c r="AI16">
        <v>261</v>
      </c>
      <c r="AJ16">
        <v>300</v>
      </c>
      <c r="AK16">
        <f t="shared" si="3"/>
        <v>39</v>
      </c>
      <c r="AL16" s="15">
        <f t="shared" ca="1" si="4"/>
        <v>54600</v>
      </c>
      <c r="AM16" s="15">
        <f t="shared" ca="1" si="5"/>
        <v>7098</v>
      </c>
      <c r="AO16" s="1" t="s">
        <v>94</v>
      </c>
      <c r="AP16" s="14">
        <f ca="1">AP15-(AP9+AP10+AP11+AP12+AP13+AP14)</f>
        <v>195375.33333333331</v>
      </c>
    </row>
    <row r="17" spans="1:39">
      <c r="A17" s="27"/>
      <c r="B17" t="s">
        <v>34</v>
      </c>
      <c r="C17">
        <f t="shared" ca="1" si="2"/>
        <v>1</v>
      </c>
      <c r="D17">
        <f t="shared" ca="1" si="2"/>
        <v>4</v>
      </c>
      <c r="E17">
        <f t="shared" ca="1" si="2"/>
        <v>4</v>
      </c>
      <c r="F17">
        <f t="shared" ca="1" si="2"/>
        <v>1</v>
      </c>
      <c r="G17">
        <f t="shared" ca="1" si="2"/>
        <v>6</v>
      </c>
      <c r="H17">
        <f t="shared" ca="1" si="2"/>
        <v>4</v>
      </c>
      <c r="I17">
        <f t="shared" ca="1" si="2"/>
        <v>9</v>
      </c>
      <c r="J17">
        <f t="shared" ca="1" si="2"/>
        <v>8</v>
      </c>
      <c r="K17">
        <f t="shared" ca="1" si="2"/>
        <v>3</v>
      </c>
      <c r="L17">
        <f t="shared" ca="1" si="2"/>
        <v>10</v>
      </c>
      <c r="M17">
        <f t="shared" ca="1" si="2"/>
        <v>2</v>
      </c>
      <c r="N17">
        <f t="shared" ca="1" si="2"/>
        <v>6</v>
      </c>
      <c r="O17">
        <f t="shared" ca="1" si="2"/>
        <v>10</v>
      </c>
      <c r="P17">
        <f t="shared" ca="1" si="2"/>
        <v>2</v>
      </c>
      <c r="Q17">
        <f t="shared" ca="1" si="2"/>
        <v>2</v>
      </c>
      <c r="R17">
        <f t="shared" ca="1" si="2"/>
        <v>6</v>
      </c>
      <c r="S17">
        <f t="shared" ca="1" si="7"/>
        <v>1</v>
      </c>
      <c r="T17">
        <f t="shared" ca="1" si="7"/>
        <v>1</v>
      </c>
      <c r="U17">
        <f t="shared" ca="1" si="7"/>
        <v>2</v>
      </c>
      <c r="V17">
        <f t="shared" ca="1" si="7"/>
        <v>7</v>
      </c>
      <c r="W17">
        <f t="shared" ca="1" si="7"/>
        <v>7</v>
      </c>
      <c r="X17">
        <f t="shared" ca="1" si="7"/>
        <v>4</v>
      </c>
      <c r="Y17">
        <f t="shared" ca="1" si="7"/>
        <v>5</v>
      </c>
      <c r="Z17">
        <f t="shared" ca="1" si="7"/>
        <v>6</v>
      </c>
      <c r="AA17">
        <f t="shared" ca="1" si="7"/>
        <v>10</v>
      </c>
      <c r="AB17">
        <f t="shared" ca="1" si="7"/>
        <v>10</v>
      </c>
      <c r="AC17">
        <f t="shared" ca="1" si="7"/>
        <v>8</v>
      </c>
      <c r="AD17">
        <f t="shared" ca="1" si="7"/>
        <v>5</v>
      </c>
      <c r="AE17">
        <f t="shared" ca="1" si="7"/>
        <v>3</v>
      </c>
      <c r="AF17">
        <f t="shared" ca="1" si="7"/>
        <v>8</v>
      </c>
      <c r="AG17">
        <f t="shared" ca="1" si="7"/>
        <v>10</v>
      </c>
      <c r="AH17" s="25">
        <f t="shared" ca="1" si="6"/>
        <v>165</v>
      </c>
      <c r="AI17">
        <v>67</v>
      </c>
      <c r="AJ17">
        <v>99</v>
      </c>
      <c r="AK17">
        <f t="shared" si="3"/>
        <v>32</v>
      </c>
      <c r="AL17" s="15">
        <f t="shared" ca="1" si="4"/>
        <v>16335</v>
      </c>
      <c r="AM17" s="15">
        <f t="shared" ca="1" si="5"/>
        <v>5280</v>
      </c>
    </row>
    <row r="18" spans="1:39">
      <c r="A18" s="27"/>
      <c r="B18" t="s">
        <v>35</v>
      </c>
      <c r="C18">
        <f t="shared" ca="1" si="2"/>
        <v>2</v>
      </c>
      <c r="D18">
        <f t="shared" ca="1" si="2"/>
        <v>3</v>
      </c>
      <c r="E18">
        <f t="shared" ca="1" si="2"/>
        <v>10</v>
      </c>
      <c r="F18">
        <f t="shared" ca="1" si="2"/>
        <v>3</v>
      </c>
      <c r="G18">
        <f t="shared" ca="1" si="2"/>
        <v>1</v>
      </c>
      <c r="H18">
        <f t="shared" ca="1" si="2"/>
        <v>7</v>
      </c>
      <c r="I18">
        <f t="shared" ca="1" si="2"/>
        <v>6</v>
      </c>
      <c r="J18">
        <f t="shared" ca="1" si="2"/>
        <v>10</v>
      </c>
      <c r="K18">
        <f t="shared" ca="1" si="2"/>
        <v>4</v>
      </c>
      <c r="L18">
        <f t="shared" ca="1" si="2"/>
        <v>4</v>
      </c>
      <c r="M18">
        <f t="shared" ca="1" si="2"/>
        <v>8</v>
      </c>
      <c r="N18">
        <f t="shared" ca="1" si="2"/>
        <v>3</v>
      </c>
      <c r="O18">
        <f t="shared" ca="1" si="2"/>
        <v>8</v>
      </c>
      <c r="P18">
        <f t="shared" ca="1" si="2"/>
        <v>7</v>
      </c>
      <c r="Q18">
        <f t="shared" ca="1" si="2"/>
        <v>2</v>
      </c>
      <c r="R18">
        <f t="shared" ca="1" si="2"/>
        <v>1</v>
      </c>
      <c r="S18">
        <f t="shared" ca="1" si="7"/>
        <v>6</v>
      </c>
      <c r="T18">
        <f t="shared" ca="1" si="7"/>
        <v>7</v>
      </c>
      <c r="U18">
        <f t="shared" ca="1" si="7"/>
        <v>10</v>
      </c>
      <c r="V18">
        <f t="shared" ca="1" si="7"/>
        <v>1</v>
      </c>
      <c r="W18">
        <f t="shared" ca="1" si="7"/>
        <v>9</v>
      </c>
      <c r="X18">
        <f t="shared" ca="1" si="7"/>
        <v>7</v>
      </c>
      <c r="Y18">
        <f t="shared" ca="1" si="7"/>
        <v>10</v>
      </c>
      <c r="Z18">
        <f t="shared" ca="1" si="7"/>
        <v>9</v>
      </c>
      <c r="AA18">
        <f t="shared" ca="1" si="7"/>
        <v>3</v>
      </c>
      <c r="AB18">
        <f t="shared" ca="1" si="7"/>
        <v>8</v>
      </c>
      <c r="AC18">
        <f t="shared" ca="1" si="7"/>
        <v>6</v>
      </c>
      <c r="AD18">
        <f t="shared" ca="1" si="7"/>
        <v>6</v>
      </c>
      <c r="AE18">
        <f t="shared" ca="1" si="7"/>
        <v>5</v>
      </c>
      <c r="AF18">
        <f t="shared" ca="1" si="7"/>
        <v>9</v>
      </c>
      <c r="AG18">
        <f t="shared" ca="1" si="7"/>
        <v>2</v>
      </c>
      <c r="AH18" s="25">
        <f t="shared" ca="1" si="6"/>
        <v>177</v>
      </c>
      <c r="AI18">
        <v>138</v>
      </c>
      <c r="AJ18">
        <v>150</v>
      </c>
      <c r="AK18">
        <f t="shared" si="3"/>
        <v>12</v>
      </c>
      <c r="AL18" s="15">
        <f t="shared" ca="1" si="4"/>
        <v>26550</v>
      </c>
      <c r="AM18" s="15">
        <f t="shared" ca="1" si="5"/>
        <v>2124</v>
      </c>
    </row>
    <row r="19" spans="1:39">
      <c r="A19" s="27"/>
      <c r="B19" t="s">
        <v>36</v>
      </c>
      <c r="C19">
        <f t="shared" ca="1" si="2"/>
        <v>2</v>
      </c>
      <c r="D19">
        <f t="shared" ca="1" si="2"/>
        <v>7</v>
      </c>
      <c r="E19">
        <f t="shared" ca="1" si="2"/>
        <v>6</v>
      </c>
      <c r="F19">
        <f t="shared" ca="1" si="2"/>
        <v>2</v>
      </c>
      <c r="G19">
        <f t="shared" ca="1" si="2"/>
        <v>9</v>
      </c>
      <c r="H19">
        <f t="shared" ca="1" si="2"/>
        <v>3</v>
      </c>
      <c r="I19">
        <f t="shared" ca="1" si="2"/>
        <v>8</v>
      </c>
      <c r="J19">
        <f t="shared" ca="1" si="2"/>
        <v>2</v>
      </c>
      <c r="K19">
        <f t="shared" ca="1" si="2"/>
        <v>8</v>
      </c>
      <c r="L19">
        <f t="shared" ca="1" si="2"/>
        <v>8</v>
      </c>
      <c r="M19">
        <f t="shared" ca="1" si="2"/>
        <v>8</v>
      </c>
      <c r="N19">
        <f t="shared" ca="1" si="2"/>
        <v>4</v>
      </c>
      <c r="O19">
        <f t="shared" ca="1" si="2"/>
        <v>4</v>
      </c>
      <c r="P19">
        <f t="shared" ca="1" si="2"/>
        <v>9</v>
      </c>
      <c r="Q19">
        <f t="shared" ca="1" si="2"/>
        <v>1</v>
      </c>
      <c r="R19">
        <f t="shared" ca="1" si="2"/>
        <v>6</v>
      </c>
      <c r="S19">
        <f t="shared" ca="1" si="7"/>
        <v>1</v>
      </c>
      <c r="T19">
        <f t="shared" ca="1" si="7"/>
        <v>10</v>
      </c>
      <c r="U19">
        <f t="shared" ca="1" si="7"/>
        <v>6</v>
      </c>
      <c r="V19">
        <f t="shared" ca="1" si="7"/>
        <v>10</v>
      </c>
      <c r="W19">
        <f t="shared" ca="1" si="7"/>
        <v>7</v>
      </c>
      <c r="X19">
        <f t="shared" ca="1" si="7"/>
        <v>2</v>
      </c>
      <c r="Y19">
        <f t="shared" ca="1" si="7"/>
        <v>7</v>
      </c>
      <c r="Z19">
        <f t="shared" ca="1" si="7"/>
        <v>8</v>
      </c>
      <c r="AA19">
        <f t="shared" ca="1" si="7"/>
        <v>8</v>
      </c>
      <c r="AB19">
        <f t="shared" ca="1" si="7"/>
        <v>1</v>
      </c>
      <c r="AC19">
        <f t="shared" ca="1" si="7"/>
        <v>1</v>
      </c>
      <c r="AD19">
        <f t="shared" ca="1" si="7"/>
        <v>8</v>
      </c>
      <c r="AE19">
        <f t="shared" ca="1" si="7"/>
        <v>9</v>
      </c>
      <c r="AF19">
        <f t="shared" ca="1" si="7"/>
        <v>10</v>
      </c>
      <c r="AG19">
        <f t="shared" ca="1" si="7"/>
        <v>9</v>
      </c>
      <c r="AH19" s="25">
        <f t="shared" ca="1" si="6"/>
        <v>184</v>
      </c>
      <c r="AI19">
        <v>60</v>
      </c>
      <c r="AJ19">
        <v>80</v>
      </c>
      <c r="AK19">
        <f t="shared" si="3"/>
        <v>20</v>
      </c>
      <c r="AL19" s="15">
        <f t="shared" ca="1" si="4"/>
        <v>14720</v>
      </c>
      <c r="AM19" s="15">
        <f t="shared" ca="1" si="5"/>
        <v>3680</v>
      </c>
    </row>
    <row r="20" spans="1:39">
      <c r="A20" s="27"/>
      <c r="B20" t="s">
        <v>37</v>
      </c>
      <c r="C20">
        <f t="shared" ref="C20:R35" ca="1" si="8">RANDBETWEEN(1,10)</f>
        <v>4</v>
      </c>
      <c r="D20">
        <f t="shared" ca="1" si="8"/>
        <v>1</v>
      </c>
      <c r="E20">
        <f t="shared" ca="1" si="8"/>
        <v>10</v>
      </c>
      <c r="F20">
        <f t="shared" ca="1" si="8"/>
        <v>7</v>
      </c>
      <c r="G20">
        <f t="shared" ca="1" si="8"/>
        <v>7</v>
      </c>
      <c r="H20">
        <f t="shared" ca="1" si="8"/>
        <v>5</v>
      </c>
      <c r="I20">
        <f t="shared" ca="1" si="8"/>
        <v>4</v>
      </c>
      <c r="J20">
        <f t="shared" ca="1" si="8"/>
        <v>3</v>
      </c>
      <c r="K20">
        <f t="shared" ca="1" si="8"/>
        <v>7</v>
      </c>
      <c r="L20">
        <f t="shared" ca="1" si="8"/>
        <v>8</v>
      </c>
      <c r="M20">
        <f t="shared" ca="1" si="8"/>
        <v>7</v>
      </c>
      <c r="N20">
        <f t="shared" ca="1" si="8"/>
        <v>6</v>
      </c>
      <c r="O20">
        <f t="shared" ca="1" si="8"/>
        <v>1</v>
      </c>
      <c r="P20">
        <f t="shared" ca="1" si="8"/>
        <v>3</v>
      </c>
      <c r="Q20">
        <f t="shared" ca="1" si="8"/>
        <v>6</v>
      </c>
      <c r="R20">
        <f t="shared" ca="1" si="8"/>
        <v>3</v>
      </c>
      <c r="S20">
        <f t="shared" ca="1" si="7"/>
        <v>10</v>
      </c>
      <c r="T20">
        <f t="shared" ca="1" si="7"/>
        <v>9</v>
      </c>
      <c r="U20">
        <f t="shared" ca="1" si="7"/>
        <v>7</v>
      </c>
      <c r="V20">
        <f t="shared" ca="1" si="7"/>
        <v>9</v>
      </c>
      <c r="W20">
        <f t="shared" ca="1" si="7"/>
        <v>3</v>
      </c>
      <c r="X20">
        <f t="shared" ca="1" si="7"/>
        <v>8</v>
      </c>
      <c r="Y20">
        <f t="shared" ca="1" si="7"/>
        <v>1</v>
      </c>
      <c r="Z20">
        <f t="shared" ca="1" si="7"/>
        <v>7</v>
      </c>
      <c r="AA20">
        <f t="shared" ca="1" si="7"/>
        <v>1</v>
      </c>
      <c r="AB20">
        <f t="shared" ca="1" si="7"/>
        <v>10</v>
      </c>
      <c r="AC20">
        <f t="shared" ca="1" si="7"/>
        <v>10</v>
      </c>
      <c r="AD20">
        <f t="shared" ca="1" si="7"/>
        <v>9</v>
      </c>
      <c r="AE20">
        <f t="shared" ca="1" si="7"/>
        <v>8</v>
      </c>
      <c r="AF20">
        <f t="shared" ca="1" si="7"/>
        <v>2</v>
      </c>
      <c r="AG20">
        <f t="shared" ca="1" si="7"/>
        <v>1</v>
      </c>
      <c r="AH20" s="25">
        <f t="shared" ca="1" si="6"/>
        <v>177</v>
      </c>
      <c r="AI20">
        <v>44</v>
      </c>
      <c r="AJ20">
        <v>50</v>
      </c>
      <c r="AK20">
        <f t="shared" si="3"/>
        <v>6</v>
      </c>
      <c r="AL20" s="15">
        <f t="shared" ca="1" si="4"/>
        <v>8850</v>
      </c>
      <c r="AM20" s="15">
        <f t="shared" ca="1" si="5"/>
        <v>1062</v>
      </c>
    </row>
    <row r="21" spans="1:39">
      <c r="A21" s="27"/>
      <c r="B21" t="s">
        <v>38</v>
      </c>
      <c r="C21">
        <f t="shared" ca="1" si="8"/>
        <v>1</v>
      </c>
      <c r="D21">
        <f t="shared" ca="1" si="8"/>
        <v>7</v>
      </c>
      <c r="E21">
        <f t="shared" ca="1" si="8"/>
        <v>5</v>
      </c>
      <c r="F21">
        <f t="shared" ca="1" si="8"/>
        <v>6</v>
      </c>
      <c r="G21">
        <f t="shared" ca="1" si="8"/>
        <v>4</v>
      </c>
      <c r="H21">
        <f t="shared" ca="1" si="8"/>
        <v>10</v>
      </c>
      <c r="I21">
        <f t="shared" ca="1" si="8"/>
        <v>4</v>
      </c>
      <c r="J21">
        <f t="shared" ca="1" si="8"/>
        <v>3</v>
      </c>
      <c r="K21">
        <f t="shared" ca="1" si="8"/>
        <v>10</v>
      </c>
      <c r="L21">
        <f t="shared" ca="1" si="8"/>
        <v>7</v>
      </c>
      <c r="M21">
        <f t="shared" ca="1" si="8"/>
        <v>6</v>
      </c>
      <c r="N21">
        <f t="shared" ca="1" si="8"/>
        <v>2</v>
      </c>
      <c r="O21">
        <f t="shared" ca="1" si="8"/>
        <v>4</v>
      </c>
      <c r="P21">
        <f t="shared" ca="1" si="8"/>
        <v>6</v>
      </c>
      <c r="Q21">
        <f t="shared" ca="1" si="8"/>
        <v>10</v>
      </c>
      <c r="R21">
        <f t="shared" ca="1" si="8"/>
        <v>9</v>
      </c>
      <c r="S21">
        <f t="shared" ca="1" si="7"/>
        <v>1</v>
      </c>
      <c r="T21">
        <f t="shared" ca="1" si="7"/>
        <v>7</v>
      </c>
      <c r="U21">
        <f t="shared" ca="1" si="7"/>
        <v>10</v>
      </c>
      <c r="V21">
        <f t="shared" ca="1" si="7"/>
        <v>3</v>
      </c>
      <c r="W21">
        <f t="shared" ca="1" si="7"/>
        <v>9</v>
      </c>
      <c r="X21">
        <f t="shared" ca="1" si="7"/>
        <v>4</v>
      </c>
      <c r="Y21">
        <f t="shared" ca="1" si="7"/>
        <v>1</v>
      </c>
      <c r="Z21">
        <f t="shared" ca="1" si="7"/>
        <v>1</v>
      </c>
      <c r="AA21">
        <f t="shared" ca="1" si="7"/>
        <v>5</v>
      </c>
      <c r="AB21">
        <f t="shared" ca="1" si="7"/>
        <v>1</v>
      </c>
      <c r="AC21">
        <f t="shared" ca="1" si="7"/>
        <v>8</v>
      </c>
      <c r="AD21">
        <f t="shared" ca="1" si="7"/>
        <v>1</v>
      </c>
      <c r="AE21">
        <f t="shared" ca="1" si="7"/>
        <v>2</v>
      </c>
      <c r="AF21">
        <f t="shared" ca="1" si="7"/>
        <v>8</v>
      </c>
      <c r="AG21">
        <f t="shared" ca="1" si="7"/>
        <v>7</v>
      </c>
      <c r="AH21" s="25">
        <f t="shared" ca="1" si="6"/>
        <v>162</v>
      </c>
      <c r="AI21">
        <v>308</v>
      </c>
      <c r="AJ21">
        <v>320</v>
      </c>
      <c r="AK21">
        <f t="shared" si="3"/>
        <v>12</v>
      </c>
      <c r="AL21" s="15">
        <f t="shared" ca="1" si="4"/>
        <v>51840</v>
      </c>
      <c r="AM21" s="15">
        <f t="shared" ca="1" si="5"/>
        <v>1944</v>
      </c>
    </row>
    <row r="22" spans="1:39">
      <c r="A22" s="27"/>
      <c r="B22" t="s">
        <v>39</v>
      </c>
      <c r="C22">
        <f t="shared" ca="1" si="8"/>
        <v>8</v>
      </c>
      <c r="D22">
        <f t="shared" ca="1" si="8"/>
        <v>8</v>
      </c>
      <c r="E22">
        <f t="shared" ca="1" si="8"/>
        <v>1</v>
      </c>
      <c r="F22">
        <f t="shared" ca="1" si="8"/>
        <v>10</v>
      </c>
      <c r="G22">
        <f t="shared" ca="1" si="8"/>
        <v>10</v>
      </c>
      <c r="H22">
        <f t="shared" ca="1" si="8"/>
        <v>3</v>
      </c>
      <c r="I22">
        <f t="shared" ca="1" si="8"/>
        <v>10</v>
      </c>
      <c r="J22">
        <f t="shared" ca="1" si="8"/>
        <v>5</v>
      </c>
      <c r="K22">
        <f t="shared" ca="1" si="8"/>
        <v>7</v>
      </c>
      <c r="L22">
        <f t="shared" ca="1" si="8"/>
        <v>1</v>
      </c>
      <c r="M22">
        <f t="shared" ca="1" si="8"/>
        <v>9</v>
      </c>
      <c r="N22">
        <f t="shared" ca="1" si="8"/>
        <v>4</v>
      </c>
      <c r="O22">
        <f t="shared" ca="1" si="8"/>
        <v>4</v>
      </c>
      <c r="P22">
        <f t="shared" ca="1" si="8"/>
        <v>5</v>
      </c>
      <c r="Q22">
        <f t="shared" ca="1" si="8"/>
        <v>9</v>
      </c>
      <c r="R22">
        <f t="shared" ca="1" si="8"/>
        <v>8</v>
      </c>
      <c r="S22">
        <f t="shared" ca="1" si="7"/>
        <v>6</v>
      </c>
      <c r="T22">
        <f t="shared" ca="1" si="7"/>
        <v>7</v>
      </c>
      <c r="U22">
        <f t="shared" ca="1" si="7"/>
        <v>6</v>
      </c>
      <c r="V22">
        <f t="shared" ca="1" si="7"/>
        <v>5</v>
      </c>
      <c r="W22">
        <f t="shared" ca="1" si="7"/>
        <v>7</v>
      </c>
      <c r="X22">
        <f t="shared" ca="1" si="7"/>
        <v>4</v>
      </c>
      <c r="Y22">
        <f t="shared" ca="1" si="7"/>
        <v>3</v>
      </c>
      <c r="Z22">
        <f t="shared" ca="1" si="7"/>
        <v>8</v>
      </c>
      <c r="AA22">
        <f t="shared" ca="1" si="7"/>
        <v>2</v>
      </c>
      <c r="AB22">
        <f t="shared" ca="1" si="7"/>
        <v>7</v>
      </c>
      <c r="AC22">
        <f t="shared" ca="1" si="7"/>
        <v>8</v>
      </c>
      <c r="AD22">
        <f t="shared" ca="1" si="7"/>
        <v>5</v>
      </c>
      <c r="AE22">
        <f t="shared" ca="1" si="7"/>
        <v>8</v>
      </c>
      <c r="AF22">
        <f t="shared" ca="1" si="7"/>
        <v>2</v>
      </c>
      <c r="AG22">
        <f t="shared" ca="1" si="7"/>
        <v>4</v>
      </c>
      <c r="AH22" s="25">
        <f t="shared" ca="1" si="6"/>
        <v>184</v>
      </c>
      <c r="AI22">
        <v>234</v>
      </c>
      <c r="AJ22">
        <v>250</v>
      </c>
      <c r="AK22">
        <f t="shared" si="3"/>
        <v>16</v>
      </c>
      <c r="AL22" s="15">
        <f t="shared" ca="1" si="4"/>
        <v>46000</v>
      </c>
      <c r="AM22" s="15">
        <f t="shared" ca="1" si="5"/>
        <v>2944</v>
      </c>
    </row>
    <row r="23" spans="1:39">
      <c r="A23" s="27"/>
      <c r="B23" t="s">
        <v>40</v>
      </c>
      <c r="C23">
        <f t="shared" ca="1" si="8"/>
        <v>10</v>
      </c>
      <c r="D23">
        <f t="shared" ca="1" si="8"/>
        <v>8</v>
      </c>
      <c r="E23">
        <f t="shared" ca="1" si="8"/>
        <v>1</v>
      </c>
      <c r="F23">
        <f t="shared" ca="1" si="8"/>
        <v>8</v>
      </c>
      <c r="G23">
        <f t="shared" ca="1" si="8"/>
        <v>1</v>
      </c>
      <c r="H23">
        <f t="shared" ca="1" si="8"/>
        <v>6</v>
      </c>
      <c r="I23">
        <f t="shared" ca="1" si="8"/>
        <v>10</v>
      </c>
      <c r="J23">
        <f t="shared" ca="1" si="8"/>
        <v>9</v>
      </c>
      <c r="K23">
        <f t="shared" ca="1" si="8"/>
        <v>10</v>
      </c>
      <c r="L23">
        <f t="shared" ca="1" si="8"/>
        <v>1</v>
      </c>
      <c r="M23">
        <f t="shared" ca="1" si="8"/>
        <v>3</v>
      </c>
      <c r="N23">
        <f t="shared" ca="1" si="8"/>
        <v>7</v>
      </c>
      <c r="O23">
        <f t="shared" ca="1" si="8"/>
        <v>8</v>
      </c>
      <c r="P23">
        <f t="shared" ca="1" si="8"/>
        <v>3</v>
      </c>
      <c r="Q23">
        <f t="shared" ca="1" si="8"/>
        <v>1</v>
      </c>
      <c r="R23">
        <f t="shared" ca="1" si="8"/>
        <v>8</v>
      </c>
      <c r="S23">
        <f t="shared" ca="1" si="7"/>
        <v>8</v>
      </c>
      <c r="T23">
        <f t="shared" ca="1" si="7"/>
        <v>7</v>
      </c>
      <c r="U23">
        <f t="shared" ca="1" si="7"/>
        <v>10</v>
      </c>
      <c r="V23">
        <f t="shared" ca="1" si="7"/>
        <v>2</v>
      </c>
      <c r="W23">
        <f t="shared" ca="1" si="7"/>
        <v>9</v>
      </c>
      <c r="X23">
        <f t="shared" ca="1" si="7"/>
        <v>4</v>
      </c>
      <c r="Y23">
        <f t="shared" ca="1" si="7"/>
        <v>10</v>
      </c>
      <c r="Z23">
        <f t="shared" ca="1" si="7"/>
        <v>6</v>
      </c>
      <c r="AA23">
        <f t="shared" ca="1" si="7"/>
        <v>5</v>
      </c>
      <c r="AB23">
        <f t="shared" ca="1" si="7"/>
        <v>10</v>
      </c>
      <c r="AC23">
        <f t="shared" ca="1" si="7"/>
        <v>9</v>
      </c>
      <c r="AD23">
        <f t="shared" ca="1" si="7"/>
        <v>8</v>
      </c>
      <c r="AE23">
        <f t="shared" ca="1" si="7"/>
        <v>9</v>
      </c>
      <c r="AF23">
        <f t="shared" ca="1" si="7"/>
        <v>6</v>
      </c>
      <c r="AG23">
        <f t="shared" ca="1" si="7"/>
        <v>1</v>
      </c>
      <c r="AH23" s="25">
        <f t="shared" ca="1" si="6"/>
        <v>198</v>
      </c>
      <c r="AI23">
        <v>121</v>
      </c>
      <c r="AJ23">
        <v>140</v>
      </c>
      <c r="AK23">
        <f t="shared" si="3"/>
        <v>19</v>
      </c>
      <c r="AL23" s="15">
        <f t="shared" ca="1" si="4"/>
        <v>27720</v>
      </c>
      <c r="AM23" s="15">
        <f t="shared" ca="1" si="5"/>
        <v>3762</v>
      </c>
    </row>
    <row r="24" spans="1:39">
      <c r="A24" s="27"/>
      <c r="B24" t="s">
        <v>41</v>
      </c>
      <c r="C24">
        <f t="shared" ca="1" si="8"/>
        <v>4</v>
      </c>
      <c r="D24">
        <f t="shared" ca="1" si="8"/>
        <v>3</v>
      </c>
      <c r="E24">
        <f t="shared" ca="1" si="8"/>
        <v>7</v>
      </c>
      <c r="F24">
        <f t="shared" ca="1" si="8"/>
        <v>9</v>
      </c>
      <c r="G24">
        <f t="shared" ca="1" si="8"/>
        <v>5</v>
      </c>
      <c r="H24">
        <f t="shared" ca="1" si="8"/>
        <v>9</v>
      </c>
      <c r="I24">
        <f t="shared" ca="1" si="8"/>
        <v>4</v>
      </c>
      <c r="J24">
        <f t="shared" ca="1" si="8"/>
        <v>7</v>
      </c>
      <c r="K24">
        <f t="shared" ca="1" si="8"/>
        <v>4</v>
      </c>
      <c r="L24">
        <f t="shared" ca="1" si="8"/>
        <v>6</v>
      </c>
      <c r="M24">
        <f t="shared" ca="1" si="8"/>
        <v>5</v>
      </c>
      <c r="N24">
        <f t="shared" ca="1" si="8"/>
        <v>4</v>
      </c>
      <c r="O24">
        <f t="shared" ca="1" si="8"/>
        <v>5</v>
      </c>
      <c r="P24">
        <f t="shared" ca="1" si="8"/>
        <v>10</v>
      </c>
      <c r="Q24">
        <f t="shared" ca="1" si="8"/>
        <v>7</v>
      </c>
      <c r="R24">
        <f t="shared" ca="1" si="8"/>
        <v>3</v>
      </c>
      <c r="S24">
        <f t="shared" ca="1" si="7"/>
        <v>4</v>
      </c>
      <c r="T24">
        <f t="shared" ca="1" si="7"/>
        <v>4</v>
      </c>
      <c r="U24">
        <f t="shared" ca="1" si="7"/>
        <v>5</v>
      </c>
      <c r="V24">
        <f t="shared" ca="1" si="7"/>
        <v>1</v>
      </c>
      <c r="W24">
        <f t="shared" ca="1" si="7"/>
        <v>8</v>
      </c>
      <c r="X24">
        <f t="shared" ca="1" si="7"/>
        <v>3</v>
      </c>
      <c r="Y24">
        <f t="shared" ca="1" si="7"/>
        <v>6</v>
      </c>
      <c r="Z24">
        <f t="shared" ca="1" si="7"/>
        <v>4</v>
      </c>
      <c r="AA24">
        <f t="shared" ca="1" si="7"/>
        <v>8</v>
      </c>
      <c r="AB24">
        <f t="shared" ca="1" si="7"/>
        <v>10</v>
      </c>
      <c r="AC24">
        <f t="shared" ca="1" si="7"/>
        <v>6</v>
      </c>
      <c r="AD24">
        <f t="shared" ca="1" si="7"/>
        <v>10</v>
      </c>
      <c r="AE24">
        <f t="shared" ca="1" si="7"/>
        <v>7</v>
      </c>
      <c r="AF24">
        <f t="shared" ca="1" si="7"/>
        <v>3</v>
      </c>
      <c r="AG24">
        <f t="shared" ca="1" si="7"/>
        <v>10</v>
      </c>
      <c r="AH24" s="25">
        <f t="shared" ca="1" si="6"/>
        <v>181</v>
      </c>
      <c r="AI24">
        <v>350</v>
      </c>
      <c r="AJ24">
        <v>390</v>
      </c>
      <c r="AK24">
        <f t="shared" si="3"/>
        <v>40</v>
      </c>
      <c r="AL24" s="15">
        <f t="shared" ca="1" si="4"/>
        <v>70590</v>
      </c>
      <c r="AM24" s="15">
        <f t="shared" ca="1" si="5"/>
        <v>7240</v>
      </c>
    </row>
    <row r="25" spans="1:39">
      <c r="A25" s="27"/>
      <c r="B25" t="s">
        <v>42</v>
      </c>
      <c r="C25">
        <f t="shared" ca="1" si="8"/>
        <v>7</v>
      </c>
      <c r="D25">
        <f t="shared" ca="1" si="8"/>
        <v>4</v>
      </c>
      <c r="E25">
        <f t="shared" ca="1" si="8"/>
        <v>1</v>
      </c>
      <c r="F25">
        <f t="shared" ca="1" si="8"/>
        <v>7</v>
      </c>
      <c r="G25">
        <f t="shared" ca="1" si="8"/>
        <v>3</v>
      </c>
      <c r="H25">
        <f t="shared" ca="1" si="8"/>
        <v>7</v>
      </c>
      <c r="I25">
        <f t="shared" ca="1" si="8"/>
        <v>3</v>
      </c>
      <c r="J25">
        <f t="shared" ca="1" si="8"/>
        <v>8</v>
      </c>
      <c r="K25">
        <f t="shared" ca="1" si="8"/>
        <v>7</v>
      </c>
      <c r="L25">
        <f t="shared" ca="1" si="8"/>
        <v>9</v>
      </c>
      <c r="M25">
        <f t="shared" ca="1" si="8"/>
        <v>7</v>
      </c>
      <c r="N25">
        <f t="shared" ca="1" si="8"/>
        <v>8</v>
      </c>
      <c r="O25">
        <f t="shared" ca="1" si="8"/>
        <v>10</v>
      </c>
      <c r="P25">
        <f t="shared" ca="1" si="8"/>
        <v>7</v>
      </c>
      <c r="Q25">
        <f t="shared" ca="1" si="8"/>
        <v>9</v>
      </c>
      <c r="R25">
        <f t="shared" ca="1" si="8"/>
        <v>2</v>
      </c>
      <c r="S25">
        <f t="shared" ca="1" si="7"/>
        <v>10</v>
      </c>
      <c r="T25">
        <f t="shared" ca="1" si="7"/>
        <v>7</v>
      </c>
      <c r="U25">
        <f t="shared" ca="1" si="7"/>
        <v>6</v>
      </c>
      <c r="V25">
        <f t="shared" ca="1" si="7"/>
        <v>10</v>
      </c>
      <c r="W25">
        <f t="shared" ca="1" si="7"/>
        <v>9</v>
      </c>
      <c r="X25">
        <f t="shared" ca="1" si="7"/>
        <v>1</v>
      </c>
      <c r="Y25">
        <f t="shared" ca="1" si="7"/>
        <v>1</v>
      </c>
      <c r="Z25">
        <f t="shared" ca="1" si="7"/>
        <v>4</v>
      </c>
      <c r="AA25">
        <f t="shared" ca="1" si="7"/>
        <v>8</v>
      </c>
      <c r="AB25">
        <f t="shared" ca="1" si="7"/>
        <v>4</v>
      </c>
      <c r="AC25">
        <f t="shared" ca="1" si="7"/>
        <v>1</v>
      </c>
      <c r="AD25">
        <f t="shared" ca="1" si="7"/>
        <v>7</v>
      </c>
      <c r="AE25">
        <f t="shared" ca="1" si="7"/>
        <v>3</v>
      </c>
      <c r="AF25">
        <f t="shared" ca="1" si="7"/>
        <v>8</v>
      </c>
      <c r="AG25">
        <f t="shared" ca="1" si="7"/>
        <v>8</v>
      </c>
      <c r="AH25" s="25">
        <f t="shared" ca="1" si="6"/>
        <v>186</v>
      </c>
      <c r="AI25">
        <v>211</v>
      </c>
      <c r="AJ25">
        <v>240</v>
      </c>
      <c r="AK25">
        <f t="shared" si="3"/>
        <v>29</v>
      </c>
      <c r="AL25" s="15">
        <f t="shared" ca="1" si="4"/>
        <v>44640</v>
      </c>
      <c r="AM25" s="15">
        <f t="shared" ca="1" si="5"/>
        <v>5394</v>
      </c>
    </row>
    <row r="26" spans="1:39">
      <c r="A26" s="27"/>
      <c r="B26" t="s">
        <v>43</v>
      </c>
      <c r="C26">
        <f t="shared" ca="1" si="8"/>
        <v>4</v>
      </c>
      <c r="D26">
        <f t="shared" ca="1" si="8"/>
        <v>3</v>
      </c>
      <c r="E26">
        <f t="shared" ca="1" si="8"/>
        <v>8</v>
      </c>
      <c r="F26">
        <f t="shared" ca="1" si="8"/>
        <v>4</v>
      </c>
      <c r="G26">
        <f t="shared" ca="1" si="8"/>
        <v>5</v>
      </c>
      <c r="H26">
        <f t="shared" ca="1" si="8"/>
        <v>2</v>
      </c>
      <c r="I26">
        <f t="shared" ca="1" si="8"/>
        <v>5</v>
      </c>
      <c r="J26">
        <f t="shared" ca="1" si="8"/>
        <v>10</v>
      </c>
      <c r="K26">
        <f t="shared" ca="1" si="8"/>
        <v>8</v>
      </c>
      <c r="L26">
        <f t="shared" ca="1" si="8"/>
        <v>7</v>
      </c>
      <c r="M26">
        <f t="shared" ca="1" si="8"/>
        <v>2</v>
      </c>
      <c r="N26">
        <f t="shared" ca="1" si="8"/>
        <v>9</v>
      </c>
      <c r="O26">
        <f t="shared" ca="1" si="8"/>
        <v>9</v>
      </c>
      <c r="P26">
        <f t="shared" ca="1" si="8"/>
        <v>8</v>
      </c>
      <c r="Q26">
        <f t="shared" ca="1" si="8"/>
        <v>10</v>
      </c>
      <c r="R26">
        <f t="shared" ca="1" si="8"/>
        <v>3</v>
      </c>
      <c r="S26">
        <f t="shared" ca="1" si="7"/>
        <v>10</v>
      </c>
      <c r="T26">
        <f t="shared" ca="1" si="7"/>
        <v>8</v>
      </c>
      <c r="U26">
        <f t="shared" ca="1" si="7"/>
        <v>1</v>
      </c>
      <c r="V26">
        <f t="shared" ca="1" si="7"/>
        <v>5</v>
      </c>
      <c r="W26">
        <f t="shared" ca="1" si="7"/>
        <v>4</v>
      </c>
      <c r="X26">
        <f t="shared" ca="1" si="7"/>
        <v>6</v>
      </c>
      <c r="Y26">
        <f t="shared" ca="1" si="7"/>
        <v>2</v>
      </c>
      <c r="Z26">
        <f t="shared" ca="1" si="7"/>
        <v>8</v>
      </c>
      <c r="AA26">
        <f t="shared" ca="1" si="7"/>
        <v>5</v>
      </c>
      <c r="AB26">
        <f t="shared" ca="1" si="7"/>
        <v>7</v>
      </c>
      <c r="AC26">
        <f t="shared" ca="1" si="7"/>
        <v>10</v>
      </c>
      <c r="AD26">
        <f t="shared" ca="1" si="7"/>
        <v>5</v>
      </c>
      <c r="AE26">
        <f t="shared" ca="1" si="7"/>
        <v>10</v>
      </c>
      <c r="AF26">
        <f t="shared" ca="1" si="7"/>
        <v>8</v>
      </c>
      <c r="AG26">
        <f t="shared" ca="1" si="7"/>
        <v>7</v>
      </c>
      <c r="AH26" s="25">
        <f t="shared" ca="1" si="6"/>
        <v>193</v>
      </c>
      <c r="AI26">
        <v>247</v>
      </c>
      <c r="AJ26">
        <v>280</v>
      </c>
      <c r="AK26">
        <f t="shared" si="3"/>
        <v>33</v>
      </c>
      <c r="AL26" s="15">
        <f t="shared" ca="1" si="4"/>
        <v>54040</v>
      </c>
      <c r="AM26" s="15">
        <f t="shared" ca="1" si="5"/>
        <v>6369</v>
      </c>
    </row>
    <row r="27" spans="1:39">
      <c r="A27" s="27"/>
      <c r="B27" t="s">
        <v>44</v>
      </c>
      <c r="C27">
        <f t="shared" ca="1" si="8"/>
        <v>8</v>
      </c>
      <c r="D27">
        <f t="shared" ca="1" si="8"/>
        <v>4</v>
      </c>
      <c r="E27">
        <f t="shared" ca="1" si="8"/>
        <v>7</v>
      </c>
      <c r="F27">
        <f t="shared" ca="1" si="8"/>
        <v>7</v>
      </c>
      <c r="G27">
        <f t="shared" ca="1" si="8"/>
        <v>1</v>
      </c>
      <c r="H27">
        <f t="shared" ca="1" si="8"/>
        <v>1</v>
      </c>
      <c r="I27">
        <f t="shared" ca="1" si="8"/>
        <v>1</v>
      </c>
      <c r="J27">
        <f t="shared" ca="1" si="8"/>
        <v>9</v>
      </c>
      <c r="K27">
        <f t="shared" ca="1" si="8"/>
        <v>9</v>
      </c>
      <c r="L27">
        <f t="shared" ca="1" si="8"/>
        <v>7</v>
      </c>
      <c r="M27">
        <f t="shared" ca="1" si="8"/>
        <v>8</v>
      </c>
      <c r="N27">
        <f t="shared" ca="1" si="8"/>
        <v>10</v>
      </c>
      <c r="O27">
        <f t="shared" ca="1" si="8"/>
        <v>6</v>
      </c>
      <c r="P27">
        <f t="shared" ca="1" si="8"/>
        <v>3</v>
      </c>
      <c r="Q27">
        <f t="shared" ca="1" si="8"/>
        <v>2</v>
      </c>
      <c r="R27">
        <f t="shared" ca="1" si="8"/>
        <v>6</v>
      </c>
      <c r="S27">
        <f t="shared" ca="1" si="7"/>
        <v>6</v>
      </c>
      <c r="T27">
        <f t="shared" ca="1" si="7"/>
        <v>6</v>
      </c>
      <c r="U27">
        <f t="shared" ca="1" si="7"/>
        <v>3</v>
      </c>
      <c r="V27">
        <f t="shared" ca="1" si="7"/>
        <v>2</v>
      </c>
      <c r="W27">
        <f t="shared" ca="1" si="7"/>
        <v>6</v>
      </c>
      <c r="X27">
        <f t="shared" ca="1" si="7"/>
        <v>2</v>
      </c>
      <c r="Y27">
        <f t="shared" ca="1" si="7"/>
        <v>10</v>
      </c>
      <c r="Z27">
        <f t="shared" ca="1" si="7"/>
        <v>6</v>
      </c>
      <c r="AA27">
        <f t="shared" ca="1" si="7"/>
        <v>5</v>
      </c>
      <c r="AB27">
        <f t="shared" ca="1" si="7"/>
        <v>1</v>
      </c>
      <c r="AC27">
        <f t="shared" ca="1" si="7"/>
        <v>4</v>
      </c>
      <c r="AD27">
        <f t="shared" ca="1" si="7"/>
        <v>6</v>
      </c>
      <c r="AE27">
        <f t="shared" ca="1" si="7"/>
        <v>10</v>
      </c>
      <c r="AF27">
        <f t="shared" ca="1" si="7"/>
        <v>8</v>
      </c>
      <c r="AG27">
        <f t="shared" ca="1" si="7"/>
        <v>5</v>
      </c>
      <c r="AH27" s="25">
        <f t="shared" ca="1" si="6"/>
        <v>169</v>
      </c>
      <c r="AI27">
        <v>286</v>
      </c>
      <c r="AJ27">
        <v>320</v>
      </c>
      <c r="AK27">
        <f t="shared" si="3"/>
        <v>34</v>
      </c>
      <c r="AL27" s="15">
        <f t="shared" ca="1" si="4"/>
        <v>54080</v>
      </c>
      <c r="AM27" s="15">
        <f t="shared" ca="1" si="5"/>
        <v>5746</v>
      </c>
    </row>
    <row r="28" spans="1:39">
      <c r="A28" s="27"/>
      <c r="B28" t="s">
        <v>45</v>
      </c>
      <c r="C28">
        <f t="shared" ca="1" si="8"/>
        <v>4</v>
      </c>
      <c r="D28">
        <f t="shared" ca="1" si="8"/>
        <v>10</v>
      </c>
      <c r="E28">
        <f t="shared" ca="1" si="8"/>
        <v>8</v>
      </c>
      <c r="F28">
        <f t="shared" ca="1" si="8"/>
        <v>7</v>
      </c>
      <c r="G28">
        <f t="shared" ca="1" si="8"/>
        <v>2</v>
      </c>
      <c r="H28">
        <f t="shared" ca="1" si="8"/>
        <v>2</v>
      </c>
      <c r="I28">
        <f t="shared" ca="1" si="8"/>
        <v>7</v>
      </c>
      <c r="J28">
        <f t="shared" ca="1" si="8"/>
        <v>7</v>
      </c>
      <c r="K28">
        <f t="shared" ca="1" si="8"/>
        <v>5</v>
      </c>
      <c r="L28">
        <f t="shared" ca="1" si="8"/>
        <v>1</v>
      </c>
      <c r="M28">
        <f t="shared" ca="1" si="8"/>
        <v>6</v>
      </c>
      <c r="N28">
        <f t="shared" ca="1" si="8"/>
        <v>5</v>
      </c>
      <c r="O28">
        <f t="shared" ca="1" si="8"/>
        <v>4</v>
      </c>
      <c r="P28">
        <f t="shared" ca="1" si="8"/>
        <v>3</v>
      </c>
      <c r="Q28">
        <f t="shared" ca="1" si="8"/>
        <v>4</v>
      </c>
      <c r="R28">
        <f t="shared" ca="1" si="8"/>
        <v>6</v>
      </c>
      <c r="S28">
        <f t="shared" ref="S28:AG34" ca="1" si="9">RANDBETWEEN(1,10)</f>
        <v>9</v>
      </c>
      <c r="T28">
        <f t="shared" ca="1" si="9"/>
        <v>4</v>
      </c>
      <c r="U28">
        <f t="shared" ca="1" si="9"/>
        <v>7</v>
      </c>
      <c r="V28">
        <f t="shared" ca="1" si="9"/>
        <v>1</v>
      </c>
      <c r="W28">
        <f t="shared" ca="1" si="9"/>
        <v>2</v>
      </c>
      <c r="X28">
        <f t="shared" ca="1" si="9"/>
        <v>2</v>
      </c>
      <c r="Y28">
        <f t="shared" ca="1" si="9"/>
        <v>7</v>
      </c>
      <c r="Z28">
        <f t="shared" ca="1" si="9"/>
        <v>6</v>
      </c>
      <c r="AA28">
        <f t="shared" ca="1" si="9"/>
        <v>2</v>
      </c>
      <c r="AB28">
        <f t="shared" ca="1" si="9"/>
        <v>6</v>
      </c>
      <c r="AC28">
        <f t="shared" ca="1" si="9"/>
        <v>4</v>
      </c>
      <c r="AD28">
        <f t="shared" ca="1" si="9"/>
        <v>7</v>
      </c>
      <c r="AE28">
        <f t="shared" ca="1" si="9"/>
        <v>1</v>
      </c>
      <c r="AF28">
        <f t="shared" ca="1" si="9"/>
        <v>9</v>
      </c>
      <c r="AG28">
        <f t="shared" ca="1" si="9"/>
        <v>2</v>
      </c>
      <c r="AH28" s="25">
        <f t="shared" ca="1" si="6"/>
        <v>150</v>
      </c>
      <c r="AI28">
        <v>67</v>
      </c>
      <c r="AJ28">
        <v>80</v>
      </c>
      <c r="AK28">
        <f t="shared" si="3"/>
        <v>13</v>
      </c>
      <c r="AL28" s="15">
        <f t="shared" ca="1" si="4"/>
        <v>12000</v>
      </c>
      <c r="AM28" s="15">
        <f t="shared" ca="1" si="5"/>
        <v>1950</v>
      </c>
    </row>
    <row r="29" spans="1:39">
      <c r="A29" s="27"/>
      <c r="B29" t="s">
        <v>46</v>
      </c>
      <c r="C29">
        <f t="shared" ca="1" si="8"/>
        <v>4</v>
      </c>
      <c r="D29">
        <f t="shared" ca="1" si="8"/>
        <v>4</v>
      </c>
      <c r="E29">
        <f t="shared" ca="1" si="8"/>
        <v>1</v>
      </c>
      <c r="F29">
        <f t="shared" ca="1" si="8"/>
        <v>5</v>
      </c>
      <c r="G29">
        <f t="shared" ca="1" si="8"/>
        <v>10</v>
      </c>
      <c r="H29">
        <f t="shared" ca="1" si="8"/>
        <v>8</v>
      </c>
      <c r="I29">
        <f t="shared" ca="1" si="8"/>
        <v>1</v>
      </c>
      <c r="J29">
        <f t="shared" ca="1" si="8"/>
        <v>4</v>
      </c>
      <c r="K29">
        <f t="shared" ca="1" si="8"/>
        <v>2</v>
      </c>
      <c r="L29">
        <f t="shared" ca="1" si="8"/>
        <v>6</v>
      </c>
      <c r="M29">
        <f t="shared" ca="1" si="8"/>
        <v>8</v>
      </c>
      <c r="N29">
        <f t="shared" ca="1" si="8"/>
        <v>2</v>
      </c>
      <c r="O29">
        <f t="shared" ca="1" si="8"/>
        <v>2</v>
      </c>
      <c r="P29">
        <f t="shared" ca="1" si="8"/>
        <v>6</v>
      </c>
      <c r="Q29">
        <f t="shared" ca="1" si="8"/>
        <v>7</v>
      </c>
      <c r="R29">
        <f t="shared" ca="1" si="8"/>
        <v>4</v>
      </c>
      <c r="S29">
        <f t="shared" ca="1" si="9"/>
        <v>5</v>
      </c>
      <c r="T29">
        <f t="shared" ca="1" si="9"/>
        <v>1</v>
      </c>
      <c r="U29">
        <f t="shared" ca="1" si="9"/>
        <v>1</v>
      </c>
      <c r="V29">
        <f t="shared" ca="1" si="9"/>
        <v>7</v>
      </c>
      <c r="W29">
        <f t="shared" ca="1" si="9"/>
        <v>7</v>
      </c>
      <c r="X29">
        <f t="shared" ca="1" si="9"/>
        <v>2</v>
      </c>
      <c r="Y29">
        <f t="shared" ca="1" si="9"/>
        <v>8</v>
      </c>
      <c r="Z29">
        <f t="shared" ca="1" si="9"/>
        <v>4</v>
      </c>
      <c r="AA29">
        <f t="shared" ca="1" si="9"/>
        <v>9</v>
      </c>
      <c r="AB29">
        <f t="shared" ca="1" si="9"/>
        <v>8</v>
      </c>
      <c r="AC29">
        <f t="shared" ca="1" si="9"/>
        <v>6</v>
      </c>
      <c r="AD29">
        <f t="shared" ca="1" si="9"/>
        <v>1</v>
      </c>
      <c r="AE29">
        <f t="shared" ca="1" si="9"/>
        <v>5</v>
      </c>
      <c r="AF29">
        <f t="shared" ca="1" si="9"/>
        <v>7</v>
      </c>
      <c r="AG29">
        <f t="shared" ca="1" si="9"/>
        <v>8</v>
      </c>
      <c r="AH29" s="25">
        <f t="shared" ca="1" si="6"/>
        <v>153</v>
      </c>
      <c r="AI29">
        <v>335</v>
      </c>
      <c r="AJ29">
        <v>350</v>
      </c>
      <c r="AK29">
        <f t="shared" si="3"/>
        <v>15</v>
      </c>
      <c r="AL29" s="15">
        <f t="shared" ca="1" si="4"/>
        <v>53550</v>
      </c>
      <c r="AM29" s="15">
        <f t="shared" ca="1" si="5"/>
        <v>2295</v>
      </c>
    </row>
    <row r="30" spans="1:39">
      <c r="A30" s="27"/>
      <c r="B30" t="s">
        <v>47</v>
      </c>
      <c r="C30">
        <f t="shared" ca="1" si="8"/>
        <v>6</v>
      </c>
      <c r="D30">
        <f t="shared" ca="1" si="8"/>
        <v>9</v>
      </c>
      <c r="E30">
        <f t="shared" ca="1" si="8"/>
        <v>7</v>
      </c>
      <c r="F30">
        <f t="shared" ca="1" si="8"/>
        <v>1</v>
      </c>
      <c r="G30">
        <f t="shared" ca="1" si="8"/>
        <v>1</v>
      </c>
      <c r="H30">
        <f t="shared" ca="1" si="8"/>
        <v>8</v>
      </c>
      <c r="I30">
        <f t="shared" ca="1" si="8"/>
        <v>7</v>
      </c>
      <c r="J30">
        <f t="shared" ca="1" si="8"/>
        <v>10</v>
      </c>
      <c r="K30">
        <f t="shared" ca="1" si="8"/>
        <v>4</v>
      </c>
      <c r="L30">
        <f t="shared" ca="1" si="8"/>
        <v>1</v>
      </c>
      <c r="M30">
        <f t="shared" ca="1" si="8"/>
        <v>4</v>
      </c>
      <c r="N30">
        <f t="shared" ca="1" si="8"/>
        <v>8</v>
      </c>
      <c r="O30">
        <f t="shared" ca="1" si="8"/>
        <v>8</v>
      </c>
      <c r="P30">
        <f t="shared" ca="1" si="8"/>
        <v>9</v>
      </c>
      <c r="Q30">
        <f t="shared" ca="1" si="8"/>
        <v>3</v>
      </c>
      <c r="R30">
        <f t="shared" ca="1" si="8"/>
        <v>1</v>
      </c>
      <c r="S30">
        <f t="shared" ca="1" si="9"/>
        <v>9</v>
      </c>
      <c r="T30">
        <f t="shared" ca="1" si="9"/>
        <v>6</v>
      </c>
      <c r="U30">
        <f t="shared" ca="1" si="9"/>
        <v>7</v>
      </c>
      <c r="V30">
        <f t="shared" ca="1" si="9"/>
        <v>9</v>
      </c>
      <c r="W30">
        <f t="shared" ca="1" si="9"/>
        <v>3</v>
      </c>
      <c r="X30">
        <f t="shared" ca="1" si="9"/>
        <v>9</v>
      </c>
      <c r="Y30">
        <f t="shared" ca="1" si="9"/>
        <v>3</v>
      </c>
      <c r="Z30">
        <f t="shared" ca="1" si="9"/>
        <v>1</v>
      </c>
      <c r="AA30">
        <f t="shared" ca="1" si="9"/>
        <v>9</v>
      </c>
      <c r="AB30">
        <f t="shared" ca="1" si="9"/>
        <v>4</v>
      </c>
      <c r="AC30">
        <f t="shared" ca="1" si="9"/>
        <v>3</v>
      </c>
      <c r="AD30">
        <f t="shared" ca="1" si="9"/>
        <v>7</v>
      </c>
      <c r="AE30">
        <f t="shared" ca="1" si="9"/>
        <v>2</v>
      </c>
      <c r="AF30">
        <f t="shared" ca="1" si="9"/>
        <v>8</v>
      </c>
      <c r="AG30">
        <f t="shared" ca="1" si="9"/>
        <v>6</v>
      </c>
      <c r="AH30" s="25">
        <f t="shared" ca="1" si="6"/>
        <v>173</v>
      </c>
      <c r="AI30">
        <v>366</v>
      </c>
      <c r="AJ30">
        <v>400</v>
      </c>
      <c r="AK30">
        <f t="shared" si="3"/>
        <v>34</v>
      </c>
      <c r="AL30" s="15">
        <f t="shared" ca="1" si="4"/>
        <v>69200</v>
      </c>
      <c r="AM30" s="15">
        <f t="shared" ca="1" si="5"/>
        <v>5882</v>
      </c>
    </row>
    <row r="31" spans="1:39">
      <c r="A31" s="27"/>
      <c r="B31" t="s">
        <v>48</v>
      </c>
      <c r="C31">
        <f t="shared" ca="1" si="8"/>
        <v>3</v>
      </c>
      <c r="D31">
        <f t="shared" ca="1" si="8"/>
        <v>6</v>
      </c>
      <c r="E31">
        <f t="shared" ca="1" si="8"/>
        <v>4</v>
      </c>
      <c r="F31">
        <f t="shared" ca="1" si="8"/>
        <v>4</v>
      </c>
      <c r="G31">
        <f t="shared" ca="1" si="8"/>
        <v>9</v>
      </c>
      <c r="H31">
        <f t="shared" ca="1" si="8"/>
        <v>2</v>
      </c>
      <c r="I31">
        <f t="shared" ca="1" si="8"/>
        <v>10</v>
      </c>
      <c r="J31">
        <f t="shared" ca="1" si="8"/>
        <v>4</v>
      </c>
      <c r="K31">
        <f t="shared" ca="1" si="8"/>
        <v>6</v>
      </c>
      <c r="L31">
        <f t="shared" ca="1" si="8"/>
        <v>6</v>
      </c>
      <c r="M31">
        <f t="shared" ca="1" si="8"/>
        <v>5</v>
      </c>
      <c r="N31">
        <f t="shared" ca="1" si="8"/>
        <v>1</v>
      </c>
      <c r="O31">
        <f t="shared" ca="1" si="8"/>
        <v>7</v>
      </c>
      <c r="P31">
        <f t="shared" ca="1" si="8"/>
        <v>2</v>
      </c>
      <c r="Q31">
        <f t="shared" ca="1" si="8"/>
        <v>5</v>
      </c>
      <c r="R31">
        <f t="shared" ca="1" si="8"/>
        <v>5</v>
      </c>
      <c r="S31">
        <f t="shared" ca="1" si="9"/>
        <v>6</v>
      </c>
      <c r="T31">
        <f t="shared" ca="1" si="9"/>
        <v>7</v>
      </c>
      <c r="U31">
        <f t="shared" ca="1" si="9"/>
        <v>5</v>
      </c>
      <c r="V31">
        <f t="shared" ca="1" si="9"/>
        <v>4</v>
      </c>
      <c r="W31">
        <f t="shared" ca="1" si="9"/>
        <v>4</v>
      </c>
      <c r="X31">
        <f t="shared" ca="1" si="9"/>
        <v>2</v>
      </c>
      <c r="Y31">
        <f t="shared" ca="1" si="9"/>
        <v>10</v>
      </c>
      <c r="Z31">
        <f t="shared" ca="1" si="9"/>
        <v>8</v>
      </c>
      <c r="AA31">
        <f t="shared" ca="1" si="9"/>
        <v>7</v>
      </c>
      <c r="AB31">
        <f t="shared" ca="1" si="9"/>
        <v>3</v>
      </c>
      <c r="AC31">
        <f t="shared" ca="1" si="9"/>
        <v>10</v>
      </c>
      <c r="AD31">
        <f t="shared" ca="1" si="9"/>
        <v>8</v>
      </c>
      <c r="AE31">
        <f t="shared" ca="1" si="9"/>
        <v>6</v>
      </c>
      <c r="AF31">
        <f t="shared" ca="1" si="9"/>
        <v>8</v>
      </c>
      <c r="AG31">
        <f t="shared" ca="1" si="9"/>
        <v>3</v>
      </c>
      <c r="AH31" s="25">
        <f t="shared" ca="1" si="6"/>
        <v>170</v>
      </c>
      <c r="AI31">
        <v>167</v>
      </c>
      <c r="AJ31">
        <v>200</v>
      </c>
      <c r="AK31">
        <f t="shared" si="3"/>
        <v>33</v>
      </c>
      <c r="AL31" s="15">
        <f t="shared" ca="1" si="4"/>
        <v>34000</v>
      </c>
      <c r="AM31" s="15">
        <f t="shared" ca="1" si="5"/>
        <v>5610</v>
      </c>
    </row>
    <row r="32" spans="1:39">
      <c r="A32" s="27"/>
      <c r="B32" t="s">
        <v>49</v>
      </c>
      <c r="C32">
        <f t="shared" ca="1" si="8"/>
        <v>2</v>
      </c>
      <c r="D32">
        <f t="shared" ca="1" si="8"/>
        <v>7</v>
      </c>
      <c r="E32">
        <f t="shared" ca="1" si="8"/>
        <v>6</v>
      </c>
      <c r="F32">
        <f t="shared" ca="1" si="8"/>
        <v>6</v>
      </c>
      <c r="G32">
        <f t="shared" ca="1" si="8"/>
        <v>7</v>
      </c>
      <c r="H32">
        <f t="shared" ca="1" si="8"/>
        <v>2</v>
      </c>
      <c r="I32">
        <f t="shared" ca="1" si="8"/>
        <v>8</v>
      </c>
      <c r="J32">
        <f t="shared" ca="1" si="8"/>
        <v>9</v>
      </c>
      <c r="K32">
        <f t="shared" ca="1" si="8"/>
        <v>9</v>
      </c>
      <c r="L32">
        <f t="shared" ca="1" si="8"/>
        <v>5</v>
      </c>
      <c r="M32">
        <f t="shared" ca="1" si="8"/>
        <v>2</v>
      </c>
      <c r="N32">
        <f t="shared" ca="1" si="8"/>
        <v>7</v>
      </c>
      <c r="O32">
        <f t="shared" ca="1" si="8"/>
        <v>10</v>
      </c>
      <c r="P32">
        <f t="shared" ca="1" si="8"/>
        <v>5</v>
      </c>
      <c r="Q32">
        <f t="shared" ca="1" si="8"/>
        <v>2</v>
      </c>
      <c r="R32">
        <f t="shared" ca="1" si="8"/>
        <v>1</v>
      </c>
      <c r="S32">
        <f t="shared" ca="1" si="9"/>
        <v>3</v>
      </c>
      <c r="T32">
        <f t="shared" ca="1" si="9"/>
        <v>4</v>
      </c>
      <c r="U32">
        <f t="shared" ca="1" si="9"/>
        <v>3</v>
      </c>
      <c r="V32">
        <f t="shared" ca="1" si="9"/>
        <v>1</v>
      </c>
      <c r="W32">
        <f t="shared" ca="1" si="9"/>
        <v>8</v>
      </c>
      <c r="X32">
        <f t="shared" ca="1" si="9"/>
        <v>3</v>
      </c>
      <c r="Y32">
        <f t="shared" ca="1" si="9"/>
        <v>6</v>
      </c>
      <c r="Z32">
        <f t="shared" ca="1" si="9"/>
        <v>8</v>
      </c>
      <c r="AA32">
        <f t="shared" ca="1" si="9"/>
        <v>10</v>
      </c>
      <c r="AB32">
        <f t="shared" ca="1" si="9"/>
        <v>7</v>
      </c>
      <c r="AC32">
        <f t="shared" ca="1" si="9"/>
        <v>4</v>
      </c>
      <c r="AD32">
        <f t="shared" ca="1" si="9"/>
        <v>4</v>
      </c>
      <c r="AE32">
        <f t="shared" ca="1" si="9"/>
        <v>8</v>
      </c>
      <c r="AF32">
        <f t="shared" ca="1" si="9"/>
        <v>7</v>
      </c>
      <c r="AG32">
        <f t="shared" ca="1" si="9"/>
        <v>1</v>
      </c>
      <c r="AH32" s="25">
        <f t="shared" ca="1" si="6"/>
        <v>165</v>
      </c>
      <c r="AI32">
        <v>73</v>
      </c>
      <c r="AJ32">
        <v>100</v>
      </c>
      <c r="AK32">
        <f t="shared" si="3"/>
        <v>27</v>
      </c>
      <c r="AL32" s="15">
        <f t="shared" ca="1" si="4"/>
        <v>16500</v>
      </c>
      <c r="AM32" s="15">
        <f t="shared" ca="1" si="5"/>
        <v>4455</v>
      </c>
    </row>
    <row r="33" spans="1:39">
      <c r="A33" s="27"/>
      <c r="B33" t="s">
        <v>50</v>
      </c>
      <c r="C33">
        <f t="shared" ca="1" si="8"/>
        <v>7</v>
      </c>
      <c r="D33">
        <f t="shared" ca="1" si="8"/>
        <v>7</v>
      </c>
      <c r="E33">
        <f t="shared" ca="1" si="8"/>
        <v>3</v>
      </c>
      <c r="F33">
        <f t="shared" ca="1" si="8"/>
        <v>2</v>
      </c>
      <c r="G33">
        <f t="shared" ca="1" si="8"/>
        <v>10</v>
      </c>
      <c r="H33">
        <f t="shared" ca="1" si="8"/>
        <v>3</v>
      </c>
      <c r="I33">
        <f t="shared" ca="1" si="8"/>
        <v>5</v>
      </c>
      <c r="J33">
        <f t="shared" ca="1" si="8"/>
        <v>5</v>
      </c>
      <c r="K33">
        <f t="shared" ca="1" si="8"/>
        <v>9</v>
      </c>
      <c r="L33">
        <f t="shared" ca="1" si="8"/>
        <v>3</v>
      </c>
      <c r="M33">
        <f t="shared" ca="1" si="8"/>
        <v>1</v>
      </c>
      <c r="N33">
        <f t="shared" ca="1" si="8"/>
        <v>9</v>
      </c>
      <c r="O33">
        <f t="shared" ca="1" si="8"/>
        <v>2</v>
      </c>
      <c r="P33">
        <f t="shared" ca="1" si="8"/>
        <v>7</v>
      </c>
      <c r="Q33">
        <f t="shared" ca="1" si="8"/>
        <v>8</v>
      </c>
      <c r="R33">
        <f t="shared" ca="1" si="8"/>
        <v>6</v>
      </c>
      <c r="S33">
        <f t="shared" ca="1" si="9"/>
        <v>10</v>
      </c>
      <c r="T33">
        <f t="shared" ca="1" si="9"/>
        <v>4</v>
      </c>
      <c r="U33">
        <f t="shared" ca="1" si="9"/>
        <v>2</v>
      </c>
      <c r="V33">
        <f t="shared" ca="1" si="9"/>
        <v>7</v>
      </c>
      <c r="W33">
        <f t="shared" ca="1" si="9"/>
        <v>7</v>
      </c>
      <c r="X33">
        <f t="shared" ca="1" si="9"/>
        <v>1</v>
      </c>
      <c r="Y33">
        <f t="shared" ca="1" si="9"/>
        <v>2</v>
      </c>
      <c r="Z33">
        <f t="shared" ca="1" si="9"/>
        <v>5</v>
      </c>
      <c r="AA33">
        <f t="shared" ca="1" si="9"/>
        <v>2</v>
      </c>
      <c r="AB33">
        <f t="shared" ca="1" si="9"/>
        <v>3</v>
      </c>
      <c r="AC33">
        <f t="shared" ca="1" si="9"/>
        <v>4</v>
      </c>
      <c r="AD33">
        <f t="shared" ca="1" si="9"/>
        <v>5</v>
      </c>
      <c r="AE33">
        <f t="shared" ca="1" si="9"/>
        <v>3</v>
      </c>
      <c r="AF33">
        <f t="shared" ca="1" si="9"/>
        <v>9</v>
      </c>
      <c r="AG33">
        <f t="shared" ca="1" si="9"/>
        <v>1</v>
      </c>
      <c r="AH33" s="25">
        <f t="shared" ca="1" si="6"/>
        <v>152</v>
      </c>
      <c r="AI33">
        <v>367</v>
      </c>
      <c r="AJ33">
        <v>450</v>
      </c>
      <c r="AK33">
        <f t="shared" si="3"/>
        <v>83</v>
      </c>
      <c r="AL33" s="15">
        <f t="shared" ca="1" si="4"/>
        <v>68400</v>
      </c>
      <c r="AM33" s="15">
        <f t="shared" ca="1" si="5"/>
        <v>12616</v>
      </c>
    </row>
    <row r="34" spans="1:39">
      <c r="A34" s="27"/>
      <c r="B34" t="s">
        <v>51</v>
      </c>
      <c r="C34">
        <f t="shared" ca="1" si="8"/>
        <v>3</v>
      </c>
      <c r="D34">
        <f t="shared" ca="1" si="8"/>
        <v>4</v>
      </c>
      <c r="E34">
        <f t="shared" ca="1" si="8"/>
        <v>3</v>
      </c>
      <c r="F34">
        <f t="shared" ca="1" si="8"/>
        <v>2</v>
      </c>
      <c r="G34">
        <f t="shared" ca="1" si="8"/>
        <v>6</v>
      </c>
      <c r="H34">
        <f t="shared" ca="1" si="8"/>
        <v>9</v>
      </c>
      <c r="I34">
        <f t="shared" ca="1" si="8"/>
        <v>9</v>
      </c>
      <c r="J34">
        <f t="shared" ca="1" si="8"/>
        <v>6</v>
      </c>
      <c r="K34">
        <f t="shared" ca="1" si="8"/>
        <v>4</v>
      </c>
      <c r="L34">
        <f t="shared" ca="1" si="8"/>
        <v>9</v>
      </c>
      <c r="M34">
        <f t="shared" ca="1" si="8"/>
        <v>9</v>
      </c>
      <c r="N34">
        <f t="shared" ca="1" si="8"/>
        <v>6</v>
      </c>
      <c r="O34">
        <f t="shared" ca="1" si="8"/>
        <v>8</v>
      </c>
      <c r="P34">
        <f t="shared" ca="1" si="8"/>
        <v>3</v>
      </c>
      <c r="Q34">
        <f t="shared" ca="1" si="8"/>
        <v>4</v>
      </c>
      <c r="R34">
        <f t="shared" ca="1" si="8"/>
        <v>5</v>
      </c>
      <c r="S34">
        <f t="shared" ca="1" si="9"/>
        <v>3</v>
      </c>
      <c r="T34">
        <f t="shared" ca="1" si="9"/>
        <v>9</v>
      </c>
      <c r="U34">
        <f t="shared" ca="1" si="9"/>
        <v>6</v>
      </c>
      <c r="V34">
        <f t="shared" ca="1" si="9"/>
        <v>7</v>
      </c>
      <c r="W34">
        <f t="shared" ca="1" si="9"/>
        <v>10</v>
      </c>
      <c r="X34">
        <f t="shared" ca="1" si="9"/>
        <v>10</v>
      </c>
      <c r="Y34">
        <f t="shared" ca="1" si="9"/>
        <v>5</v>
      </c>
      <c r="Z34">
        <f t="shared" ca="1" si="9"/>
        <v>3</v>
      </c>
      <c r="AA34">
        <f t="shared" ca="1" si="9"/>
        <v>1</v>
      </c>
      <c r="AB34">
        <f t="shared" ca="1" si="9"/>
        <v>10</v>
      </c>
      <c r="AC34">
        <f t="shared" ca="1" si="9"/>
        <v>5</v>
      </c>
      <c r="AD34">
        <f t="shared" ca="1" si="9"/>
        <v>9</v>
      </c>
      <c r="AE34">
        <f t="shared" ca="1" si="9"/>
        <v>8</v>
      </c>
      <c r="AF34">
        <f t="shared" ca="1" si="9"/>
        <v>1</v>
      </c>
      <c r="AG34">
        <f t="shared" ca="1" si="9"/>
        <v>5</v>
      </c>
      <c r="AH34" s="25">
        <f t="shared" ca="1" si="6"/>
        <v>182</v>
      </c>
      <c r="AI34">
        <v>342</v>
      </c>
      <c r="AJ34">
        <v>390</v>
      </c>
      <c r="AK34">
        <f t="shared" si="3"/>
        <v>48</v>
      </c>
      <c r="AL34" s="15">
        <f t="shared" ca="1" si="4"/>
        <v>70980</v>
      </c>
      <c r="AM34" s="15">
        <f t="shared" ca="1" si="5"/>
        <v>8736</v>
      </c>
    </row>
    <row r="35" spans="1:39">
      <c r="A35" s="27"/>
      <c r="B35" t="s">
        <v>52</v>
      </c>
      <c r="C35">
        <f t="shared" ca="1" si="8"/>
        <v>9</v>
      </c>
      <c r="D35">
        <f t="shared" ca="1" si="8"/>
        <v>4</v>
      </c>
      <c r="E35">
        <f t="shared" ca="1" si="8"/>
        <v>7</v>
      </c>
      <c r="F35">
        <f t="shared" ca="1" si="8"/>
        <v>8</v>
      </c>
      <c r="G35">
        <f t="shared" ca="1" si="8"/>
        <v>10</v>
      </c>
      <c r="H35">
        <f t="shared" ca="1" si="8"/>
        <v>2</v>
      </c>
      <c r="I35">
        <f t="shared" ca="1" si="8"/>
        <v>7</v>
      </c>
      <c r="J35">
        <f t="shared" ca="1" si="8"/>
        <v>6</v>
      </c>
      <c r="K35">
        <f t="shared" ca="1" si="8"/>
        <v>1</v>
      </c>
      <c r="L35">
        <f t="shared" ca="1" si="8"/>
        <v>2</v>
      </c>
      <c r="M35">
        <f t="shared" ca="1" si="8"/>
        <v>4</v>
      </c>
      <c r="N35">
        <f t="shared" ca="1" si="8"/>
        <v>4</v>
      </c>
      <c r="O35">
        <f t="shared" ca="1" si="8"/>
        <v>1</v>
      </c>
      <c r="P35">
        <f t="shared" ca="1" si="8"/>
        <v>10</v>
      </c>
      <c r="Q35">
        <f t="shared" ca="1" si="8"/>
        <v>7</v>
      </c>
      <c r="R35">
        <f t="shared" ref="R35:AG50" ca="1" si="10">RANDBETWEEN(1,10)</f>
        <v>10</v>
      </c>
      <c r="S35">
        <f t="shared" ca="1" si="10"/>
        <v>3</v>
      </c>
      <c r="T35">
        <f t="shared" ca="1" si="10"/>
        <v>4</v>
      </c>
      <c r="U35">
        <f t="shared" ca="1" si="10"/>
        <v>10</v>
      </c>
      <c r="V35">
        <f t="shared" ca="1" si="10"/>
        <v>7</v>
      </c>
      <c r="W35">
        <f t="shared" ca="1" si="10"/>
        <v>2</v>
      </c>
      <c r="X35">
        <f t="shared" ca="1" si="10"/>
        <v>5</v>
      </c>
      <c r="Y35">
        <f t="shared" ca="1" si="10"/>
        <v>10</v>
      </c>
      <c r="Z35">
        <f t="shared" ca="1" si="10"/>
        <v>1</v>
      </c>
      <c r="AA35">
        <f t="shared" ca="1" si="10"/>
        <v>1</v>
      </c>
      <c r="AB35">
        <f t="shared" ca="1" si="10"/>
        <v>6</v>
      </c>
      <c r="AC35">
        <f t="shared" ca="1" si="10"/>
        <v>3</v>
      </c>
      <c r="AD35">
        <f t="shared" ca="1" si="10"/>
        <v>7</v>
      </c>
      <c r="AE35">
        <f t="shared" ca="1" si="10"/>
        <v>5</v>
      </c>
      <c r="AF35">
        <f t="shared" ca="1" si="10"/>
        <v>1</v>
      </c>
      <c r="AG35">
        <f t="shared" ca="1" si="10"/>
        <v>9</v>
      </c>
      <c r="AH35" s="25">
        <f t="shared" ca="1" si="6"/>
        <v>166</v>
      </c>
      <c r="AI35">
        <v>363</v>
      </c>
      <c r="AJ35">
        <v>420</v>
      </c>
      <c r="AK35">
        <f t="shared" si="3"/>
        <v>57</v>
      </c>
      <c r="AL35" s="15">
        <f t="shared" ca="1" si="4"/>
        <v>69720</v>
      </c>
      <c r="AM35" s="15">
        <f t="shared" ca="1" si="5"/>
        <v>9462</v>
      </c>
    </row>
    <row r="36" spans="1:39">
      <c r="A36" s="27"/>
      <c r="B36" t="s">
        <v>53</v>
      </c>
      <c r="C36">
        <f t="shared" ref="C36:R51" ca="1" si="11">RANDBETWEEN(1,10)</f>
        <v>2</v>
      </c>
      <c r="D36">
        <f t="shared" ca="1" si="11"/>
        <v>7</v>
      </c>
      <c r="E36">
        <f t="shared" ca="1" si="11"/>
        <v>9</v>
      </c>
      <c r="F36">
        <f t="shared" ca="1" si="11"/>
        <v>6</v>
      </c>
      <c r="G36">
        <f t="shared" ca="1" si="11"/>
        <v>9</v>
      </c>
      <c r="H36">
        <f t="shared" ca="1" si="11"/>
        <v>7</v>
      </c>
      <c r="I36">
        <f t="shared" ca="1" si="11"/>
        <v>5</v>
      </c>
      <c r="J36">
        <f t="shared" ca="1" si="11"/>
        <v>7</v>
      </c>
      <c r="K36">
        <f t="shared" ca="1" si="11"/>
        <v>8</v>
      </c>
      <c r="L36">
        <f t="shared" ca="1" si="11"/>
        <v>3</v>
      </c>
      <c r="M36">
        <f t="shared" ca="1" si="11"/>
        <v>6</v>
      </c>
      <c r="N36">
        <f t="shared" ca="1" si="11"/>
        <v>4</v>
      </c>
      <c r="O36">
        <f t="shared" ca="1" si="11"/>
        <v>6</v>
      </c>
      <c r="P36">
        <f t="shared" ca="1" si="11"/>
        <v>8</v>
      </c>
      <c r="Q36">
        <f t="shared" ca="1" si="11"/>
        <v>9</v>
      </c>
      <c r="R36">
        <f t="shared" ca="1" si="11"/>
        <v>10</v>
      </c>
      <c r="S36">
        <f t="shared" ca="1" si="10"/>
        <v>1</v>
      </c>
      <c r="T36">
        <f t="shared" ca="1" si="10"/>
        <v>1</v>
      </c>
      <c r="U36">
        <f t="shared" ca="1" si="10"/>
        <v>2</v>
      </c>
      <c r="V36">
        <f t="shared" ca="1" si="10"/>
        <v>7</v>
      </c>
      <c r="W36">
        <f t="shared" ca="1" si="10"/>
        <v>6</v>
      </c>
      <c r="X36">
        <f t="shared" ca="1" si="10"/>
        <v>2</v>
      </c>
      <c r="Y36">
        <f t="shared" ca="1" si="10"/>
        <v>4</v>
      </c>
      <c r="Z36">
        <f t="shared" ca="1" si="10"/>
        <v>7</v>
      </c>
      <c r="AA36">
        <f t="shared" ca="1" si="10"/>
        <v>4</v>
      </c>
      <c r="AB36">
        <f t="shared" ca="1" si="10"/>
        <v>4</v>
      </c>
      <c r="AC36">
        <f t="shared" ca="1" si="10"/>
        <v>7</v>
      </c>
      <c r="AD36">
        <f t="shared" ca="1" si="10"/>
        <v>1</v>
      </c>
      <c r="AE36">
        <f t="shared" ca="1" si="10"/>
        <v>8</v>
      </c>
      <c r="AF36">
        <f t="shared" ca="1" si="10"/>
        <v>1</v>
      </c>
      <c r="AG36">
        <f t="shared" ca="1" si="10"/>
        <v>5</v>
      </c>
      <c r="AH36" s="25">
        <f t="shared" ca="1" si="6"/>
        <v>166</v>
      </c>
      <c r="AI36">
        <v>263</v>
      </c>
      <c r="AJ36">
        <v>300</v>
      </c>
      <c r="AK36">
        <f t="shared" si="3"/>
        <v>37</v>
      </c>
      <c r="AL36" s="15">
        <f t="shared" ca="1" si="4"/>
        <v>49800</v>
      </c>
      <c r="AM36" s="15">
        <f t="shared" ca="1" si="5"/>
        <v>6142</v>
      </c>
    </row>
    <row r="37" spans="1:39">
      <c r="A37" s="27"/>
      <c r="B37" t="s">
        <v>54</v>
      </c>
      <c r="C37">
        <f t="shared" ca="1" si="11"/>
        <v>9</v>
      </c>
      <c r="D37">
        <f t="shared" ca="1" si="11"/>
        <v>8</v>
      </c>
      <c r="E37">
        <f t="shared" ca="1" si="11"/>
        <v>7</v>
      </c>
      <c r="F37">
        <f t="shared" ca="1" si="11"/>
        <v>8</v>
      </c>
      <c r="G37">
        <f t="shared" ca="1" si="11"/>
        <v>3</v>
      </c>
      <c r="H37">
        <f t="shared" ca="1" si="11"/>
        <v>7</v>
      </c>
      <c r="I37">
        <f t="shared" ca="1" si="11"/>
        <v>8</v>
      </c>
      <c r="J37">
        <f t="shared" ca="1" si="11"/>
        <v>9</v>
      </c>
      <c r="K37">
        <f t="shared" ca="1" si="11"/>
        <v>2</v>
      </c>
      <c r="L37">
        <f t="shared" ca="1" si="11"/>
        <v>6</v>
      </c>
      <c r="M37">
        <f t="shared" ca="1" si="11"/>
        <v>3</v>
      </c>
      <c r="N37">
        <f t="shared" ca="1" si="11"/>
        <v>9</v>
      </c>
      <c r="O37">
        <f t="shared" ca="1" si="11"/>
        <v>5</v>
      </c>
      <c r="P37">
        <f t="shared" ca="1" si="11"/>
        <v>4</v>
      </c>
      <c r="Q37">
        <f t="shared" ca="1" si="11"/>
        <v>10</v>
      </c>
      <c r="R37">
        <f t="shared" ca="1" si="11"/>
        <v>7</v>
      </c>
      <c r="S37">
        <f t="shared" ca="1" si="10"/>
        <v>1</v>
      </c>
      <c r="T37">
        <f t="shared" ca="1" si="10"/>
        <v>6</v>
      </c>
      <c r="U37">
        <f t="shared" ca="1" si="10"/>
        <v>9</v>
      </c>
      <c r="V37">
        <f t="shared" ca="1" si="10"/>
        <v>1</v>
      </c>
      <c r="W37">
        <f t="shared" ca="1" si="10"/>
        <v>6</v>
      </c>
      <c r="X37">
        <f t="shared" ca="1" si="10"/>
        <v>6</v>
      </c>
      <c r="Y37">
        <f t="shared" ca="1" si="10"/>
        <v>2</v>
      </c>
      <c r="Z37">
        <f t="shared" ca="1" si="10"/>
        <v>9</v>
      </c>
      <c r="AA37">
        <f t="shared" ca="1" si="10"/>
        <v>6</v>
      </c>
      <c r="AB37">
        <f t="shared" ca="1" si="10"/>
        <v>10</v>
      </c>
      <c r="AC37">
        <f t="shared" ca="1" si="10"/>
        <v>10</v>
      </c>
      <c r="AD37">
        <f t="shared" ca="1" si="10"/>
        <v>6</v>
      </c>
      <c r="AE37">
        <f t="shared" ca="1" si="10"/>
        <v>9</v>
      </c>
      <c r="AF37">
        <f t="shared" ca="1" si="10"/>
        <v>8</v>
      </c>
      <c r="AG37">
        <f t="shared" ca="1" si="10"/>
        <v>3</v>
      </c>
      <c r="AH37" s="25">
        <f t="shared" ca="1" si="6"/>
        <v>197</v>
      </c>
      <c r="AI37">
        <v>96</v>
      </c>
      <c r="AJ37">
        <v>120</v>
      </c>
      <c r="AK37">
        <f t="shared" si="3"/>
        <v>24</v>
      </c>
      <c r="AL37" s="15">
        <f t="shared" ca="1" si="4"/>
        <v>23640</v>
      </c>
      <c r="AM37" s="15">
        <f t="shared" ca="1" si="5"/>
        <v>4728</v>
      </c>
    </row>
    <row r="38" spans="1:39">
      <c r="A38" s="27"/>
      <c r="B38" t="s">
        <v>55</v>
      </c>
      <c r="C38">
        <f t="shared" ca="1" si="11"/>
        <v>8</v>
      </c>
      <c r="D38">
        <f t="shared" ca="1" si="11"/>
        <v>6</v>
      </c>
      <c r="E38">
        <f t="shared" ca="1" si="11"/>
        <v>3</v>
      </c>
      <c r="F38">
        <f t="shared" ca="1" si="11"/>
        <v>1</v>
      </c>
      <c r="G38">
        <f t="shared" ca="1" si="11"/>
        <v>4</v>
      </c>
      <c r="H38">
        <f t="shared" ca="1" si="11"/>
        <v>2</v>
      </c>
      <c r="I38">
        <f t="shared" ca="1" si="11"/>
        <v>8</v>
      </c>
      <c r="J38">
        <f t="shared" ca="1" si="11"/>
        <v>6</v>
      </c>
      <c r="K38">
        <f t="shared" ca="1" si="11"/>
        <v>8</v>
      </c>
      <c r="L38">
        <f t="shared" ca="1" si="11"/>
        <v>8</v>
      </c>
      <c r="M38">
        <f t="shared" ca="1" si="11"/>
        <v>7</v>
      </c>
      <c r="N38">
        <f t="shared" ca="1" si="11"/>
        <v>5</v>
      </c>
      <c r="O38">
        <f t="shared" ca="1" si="11"/>
        <v>9</v>
      </c>
      <c r="P38">
        <f t="shared" ca="1" si="11"/>
        <v>3</v>
      </c>
      <c r="Q38">
        <f t="shared" ca="1" si="11"/>
        <v>3</v>
      </c>
      <c r="R38">
        <f t="shared" ca="1" si="11"/>
        <v>4</v>
      </c>
      <c r="S38">
        <f t="shared" ca="1" si="10"/>
        <v>4</v>
      </c>
      <c r="T38">
        <f t="shared" ca="1" si="10"/>
        <v>3</v>
      </c>
      <c r="U38">
        <f t="shared" ca="1" si="10"/>
        <v>5</v>
      </c>
      <c r="V38">
        <f t="shared" ca="1" si="10"/>
        <v>1</v>
      </c>
      <c r="W38">
        <f t="shared" ca="1" si="10"/>
        <v>9</v>
      </c>
      <c r="X38">
        <f t="shared" ca="1" si="10"/>
        <v>10</v>
      </c>
      <c r="Y38">
        <f t="shared" ca="1" si="10"/>
        <v>7</v>
      </c>
      <c r="Z38">
        <f t="shared" ca="1" si="10"/>
        <v>9</v>
      </c>
      <c r="AA38">
        <f t="shared" ca="1" si="10"/>
        <v>8</v>
      </c>
      <c r="AB38">
        <f t="shared" ca="1" si="10"/>
        <v>9</v>
      </c>
      <c r="AC38">
        <f t="shared" ca="1" si="10"/>
        <v>6</v>
      </c>
      <c r="AD38">
        <f t="shared" ca="1" si="10"/>
        <v>10</v>
      </c>
      <c r="AE38">
        <f t="shared" ca="1" si="10"/>
        <v>1</v>
      </c>
      <c r="AF38">
        <f t="shared" ca="1" si="10"/>
        <v>9</v>
      </c>
      <c r="AG38">
        <f t="shared" ca="1" si="10"/>
        <v>5</v>
      </c>
      <c r="AH38" s="25">
        <f t="shared" ca="1" si="6"/>
        <v>181</v>
      </c>
      <c r="AI38">
        <v>196</v>
      </c>
      <c r="AJ38">
        <v>230</v>
      </c>
      <c r="AK38">
        <f t="shared" si="3"/>
        <v>34</v>
      </c>
      <c r="AL38" s="15">
        <f t="shared" ca="1" si="4"/>
        <v>41630</v>
      </c>
      <c r="AM38" s="15">
        <f t="shared" ca="1" si="5"/>
        <v>6154</v>
      </c>
    </row>
    <row r="39" spans="1:39">
      <c r="A39" s="27"/>
      <c r="B39" t="s">
        <v>56</v>
      </c>
      <c r="C39">
        <f t="shared" ca="1" si="11"/>
        <v>6</v>
      </c>
      <c r="D39">
        <f t="shared" ca="1" si="11"/>
        <v>10</v>
      </c>
      <c r="E39">
        <f t="shared" ca="1" si="11"/>
        <v>10</v>
      </c>
      <c r="F39">
        <f t="shared" ca="1" si="11"/>
        <v>9</v>
      </c>
      <c r="G39">
        <f t="shared" ca="1" si="11"/>
        <v>6</v>
      </c>
      <c r="H39">
        <f t="shared" ca="1" si="11"/>
        <v>9</v>
      </c>
      <c r="I39">
        <f t="shared" ca="1" si="11"/>
        <v>8</v>
      </c>
      <c r="J39">
        <f t="shared" ca="1" si="11"/>
        <v>5</v>
      </c>
      <c r="K39">
        <f t="shared" ca="1" si="11"/>
        <v>8</v>
      </c>
      <c r="L39">
        <f t="shared" ca="1" si="11"/>
        <v>5</v>
      </c>
      <c r="M39">
        <f t="shared" ca="1" si="11"/>
        <v>9</v>
      </c>
      <c r="N39">
        <f t="shared" ca="1" si="11"/>
        <v>10</v>
      </c>
      <c r="O39">
        <f t="shared" ca="1" si="11"/>
        <v>4</v>
      </c>
      <c r="P39">
        <f t="shared" ca="1" si="11"/>
        <v>4</v>
      </c>
      <c r="Q39">
        <f t="shared" ca="1" si="11"/>
        <v>4</v>
      </c>
      <c r="R39">
        <f t="shared" ca="1" si="11"/>
        <v>6</v>
      </c>
      <c r="S39">
        <f t="shared" ca="1" si="10"/>
        <v>4</v>
      </c>
      <c r="T39">
        <f t="shared" ca="1" si="10"/>
        <v>6</v>
      </c>
      <c r="U39">
        <f t="shared" ca="1" si="10"/>
        <v>5</v>
      </c>
      <c r="V39">
        <f t="shared" ca="1" si="10"/>
        <v>2</v>
      </c>
      <c r="W39">
        <f t="shared" ca="1" si="10"/>
        <v>6</v>
      </c>
      <c r="X39">
        <f t="shared" ca="1" si="10"/>
        <v>5</v>
      </c>
      <c r="Y39">
        <f t="shared" ca="1" si="10"/>
        <v>2</v>
      </c>
      <c r="Z39">
        <f t="shared" ca="1" si="10"/>
        <v>2</v>
      </c>
      <c r="AA39">
        <f t="shared" ca="1" si="10"/>
        <v>8</v>
      </c>
      <c r="AB39">
        <f t="shared" ca="1" si="10"/>
        <v>1</v>
      </c>
      <c r="AC39">
        <f t="shared" ca="1" si="10"/>
        <v>8</v>
      </c>
      <c r="AD39">
        <f t="shared" ca="1" si="10"/>
        <v>4</v>
      </c>
      <c r="AE39">
        <f t="shared" ca="1" si="10"/>
        <v>1</v>
      </c>
      <c r="AF39">
        <f t="shared" ca="1" si="10"/>
        <v>10</v>
      </c>
      <c r="AG39">
        <f t="shared" ca="1" si="10"/>
        <v>4</v>
      </c>
      <c r="AH39" s="25">
        <f t="shared" ca="1" si="6"/>
        <v>181</v>
      </c>
      <c r="AI39">
        <v>98</v>
      </c>
      <c r="AJ39">
        <v>115</v>
      </c>
      <c r="AK39">
        <f t="shared" si="3"/>
        <v>17</v>
      </c>
      <c r="AL39" s="15">
        <f t="shared" ca="1" si="4"/>
        <v>20815</v>
      </c>
      <c r="AM39" s="15">
        <f t="shared" ca="1" si="5"/>
        <v>3077</v>
      </c>
    </row>
    <row r="40" spans="1:39">
      <c r="A40" s="27"/>
      <c r="B40" t="s">
        <v>57</v>
      </c>
      <c r="C40">
        <f t="shared" ca="1" si="11"/>
        <v>1</v>
      </c>
      <c r="D40">
        <f t="shared" ca="1" si="11"/>
        <v>2</v>
      </c>
      <c r="E40">
        <f t="shared" ca="1" si="11"/>
        <v>9</v>
      </c>
      <c r="F40">
        <f t="shared" ca="1" si="11"/>
        <v>8</v>
      </c>
      <c r="G40">
        <f t="shared" ca="1" si="11"/>
        <v>6</v>
      </c>
      <c r="H40">
        <f t="shared" ca="1" si="11"/>
        <v>9</v>
      </c>
      <c r="I40">
        <f t="shared" ca="1" si="11"/>
        <v>6</v>
      </c>
      <c r="J40">
        <f t="shared" ca="1" si="11"/>
        <v>2</v>
      </c>
      <c r="K40">
        <f t="shared" ca="1" si="11"/>
        <v>8</v>
      </c>
      <c r="L40">
        <f t="shared" ca="1" si="11"/>
        <v>3</v>
      </c>
      <c r="M40">
        <f t="shared" ca="1" si="11"/>
        <v>7</v>
      </c>
      <c r="N40">
        <f t="shared" ca="1" si="11"/>
        <v>1</v>
      </c>
      <c r="O40">
        <f t="shared" ca="1" si="11"/>
        <v>6</v>
      </c>
      <c r="P40">
        <f t="shared" ca="1" si="11"/>
        <v>3</v>
      </c>
      <c r="Q40">
        <f t="shared" ca="1" si="11"/>
        <v>4</v>
      </c>
      <c r="R40">
        <f t="shared" ca="1" si="11"/>
        <v>1</v>
      </c>
      <c r="S40">
        <f t="shared" ca="1" si="10"/>
        <v>4</v>
      </c>
      <c r="T40">
        <f t="shared" ca="1" si="10"/>
        <v>5</v>
      </c>
      <c r="U40">
        <f t="shared" ca="1" si="10"/>
        <v>10</v>
      </c>
      <c r="V40">
        <f t="shared" ca="1" si="10"/>
        <v>7</v>
      </c>
      <c r="W40">
        <f t="shared" ca="1" si="10"/>
        <v>7</v>
      </c>
      <c r="X40">
        <f t="shared" ca="1" si="10"/>
        <v>4</v>
      </c>
      <c r="Y40">
        <f t="shared" ca="1" si="10"/>
        <v>2</v>
      </c>
      <c r="Z40">
        <f t="shared" ca="1" si="10"/>
        <v>6</v>
      </c>
      <c r="AA40">
        <f t="shared" ca="1" si="10"/>
        <v>10</v>
      </c>
      <c r="AB40">
        <f t="shared" ca="1" si="10"/>
        <v>10</v>
      </c>
      <c r="AC40">
        <f t="shared" ca="1" si="10"/>
        <v>2</v>
      </c>
      <c r="AD40">
        <f t="shared" ca="1" si="10"/>
        <v>1</v>
      </c>
      <c r="AE40">
        <f t="shared" ca="1" si="10"/>
        <v>2</v>
      </c>
      <c r="AF40">
        <f t="shared" ca="1" si="10"/>
        <v>1</v>
      </c>
      <c r="AG40">
        <f t="shared" ca="1" si="10"/>
        <v>9</v>
      </c>
      <c r="AH40" s="25">
        <f t="shared" ca="1" si="6"/>
        <v>156</v>
      </c>
      <c r="AI40">
        <v>75</v>
      </c>
      <c r="AJ40">
        <v>99</v>
      </c>
      <c r="AK40">
        <f t="shared" si="3"/>
        <v>24</v>
      </c>
      <c r="AL40" s="15">
        <f t="shared" ca="1" si="4"/>
        <v>15444</v>
      </c>
      <c r="AM40" s="15">
        <f t="shared" ca="1" si="5"/>
        <v>3744</v>
      </c>
    </row>
    <row r="41" spans="1:39">
      <c r="A41" s="27"/>
      <c r="B41" t="s">
        <v>58</v>
      </c>
      <c r="C41">
        <f t="shared" ca="1" si="11"/>
        <v>9</v>
      </c>
      <c r="D41">
        <f t="shared" ca="1" si="11"/>
        <v>7</v>
      </c>
      <c r="E41">
        <f t="shared" ca="1" si="11"/>
        <v>8</v>
      </c>
      <c r="F41">
        <f t="shared" ca="1" si="11"/>
        <v>8</v>
      </c>
      <c r="G41">
        <f t="shared" ca="1" si="11"/>
        <v>8</v>
      </c>
      <c r="H41">
        <f t="shared" ca="1" si="11"/>
        <v>3</v>
      </c>
      <c r="I41">
        <f t="shared" ca="1" si="11"/>
        <v>5</v>
      </c>
      <c r="J41">
        <f t="shared" ca="1" si="11"/>
        <v>1</v>
      </c>
      <c r="K41">
        <f t="shared" ca="1" si="11"/>
        <v>2</v>
      </c>
      <c r="L41">
        <f t="shared" ca="1" si="11"/>
        <v>8</v>
      </c>
      <c r="M41">
        <f t="shared" ca="1" si="11"/>
        <v>6</v>
      </c>
      <c r="N41">
        <f t="shared" ca="1" si="11"/>
        <v>4</v>
      </c>
      <c r="O41">
        <f t="shared" ca="1" si="11"/>
        <v>3</v>
      </c>
      <c r="P41">
        <f t="shared" ca="1" si="11"/>
        <v>9</v>
      </c>
      <c r="Q41">
        <f t="shared" ca="1" si="11"/>
        <v>7</v>
      </c>
      <c r="R41">
        <f t="shared" ca="1" si="11"/>
        <v>5</v>
      </c>
      <c r="S41">
        <f t="shared" ca="1" si="10"/>
        <v>10</v>
      </c>
      <c r="T41">
        <f t="shared" ca="1" si="10"/>
        <v>9</v>
      </c>
      <c r="U41">
        <f t="shared" ca="1" si="10"/>
        <v>8</v>
      </c>
      <c r="V41">
        <f t="shared" ca="1" si="10"/>
        <v>2</v>
      </c>
      <c r="W41">
        <f t="shared" ca="1" si="10"/>
        <v>4</v>
      </c>
      <c r="X41">
        <f t="shared" ca="1" si="10"/>
        <v>4</v>
      </c>
      <c r="Y41">
        <f t="shared" ca="1" si="10"/>
        <v>3</v>
      </c>
      <c r="Z41">
        <f t="shared" ca="1" si="10"/>
        <v>6</v>
      </c>
      <c r="AA41">
        <f t="shared" ca="1" si="10"/>
        <v>2</v>
      </c>
      <c r="AB41">
        <f t="shared" ca="1" si="10"/>
        <v>6</v>
      </c>
      <c r="AC41">
        <f t="shared" ca="1" si="10"/>
        <v>7</v>
      </c>
      <c r="AD41">
        <f t="shared" ca="1" si="10"/>
        <v>4</v>
      </c>
      <c r="AE41">
        <f t="shared" ca="1" si="10"/>
        <v>4</v>
      </c>
      <c r="AF41">
        <f t="shared" ca="1" si="10"/>
        <v>6</v>
      </c>
      <c r="AG41">
        <f t="shared" ca="1" si="10"/>
        <v>9</v>
      </c>
      <c r="AH41" s="25">
        <f t="shared" ca="1" si="6"/>
        <v>177</v>
      </c>
      <c r="AI41">
        <v>105</v>
      </c>
      <c r="AJ41">
        <v>140</v>
      </c>
      <c r="AK41">
        <f t="shared" si="3"/>
        <v>35</v>
      </c>
      <c r="AL41" s="15">
        <f t="shared" ca="1" si="4"/>
        <v>24780</v>
      </c>
      <c r="AM41" s="15">
        <f t="shared" ca="1" si="5"/>
        <v>6195</v>
      </c>
    </row>
    <row r="42" spans="1:39">
      <c r="A42" s="27"/>
      <c r="B42" t="s">
        <v>59</v>
      </c>
      <c r="C42">
        <f t="shared" ca="1" si="11"/>
        <v>5</v>
      </c>
      <c r="D42">
        <f t="shared" ca="1" si="11"/>
        <v>9</v>
      </c>
      <c r="E42">
        <f t="shared" ca="1" si="11"/>
        <v>5</v>
      </c>
      <c r="F42">
        <f t="shared" ca="1" si="11"/>
        <v>4</v>
      </c>
      <c r="G42">
        <f t="shared" ca="1" si="11"/>
        <v>10</v>
      </c>
      <c r="H42">
        <f t="shared" ca="1" si="11"/>
        <v>2</v>
      </c>
      <c r="I42">
        <f t="shared" ca="1" si="11"/>
        <v>2</v>
      </c>
      <c r="J42">
        <f t="shared" ca="1" si="11"/>
        <v>4</v>
      </c>
      <c r="K42">
        <f t="shared" ca="1" si="11"/>
        <v>9</v>
      </c>
      <c r="L42">
        <f t="shared" ca="1" si="11"/>
        <v>1</v>
      </c>
      <c r="M42">
        <f t="shared" ca="1" si="11"/>
        <v>5</v>
      </c>
      <c r="N42">
        <f t="shared" ca="1" si="11"/>
        <v>4</v>
      </c>
      <c r="O42">
        <f t="shared" ca="1" si="11"/>
        <v>3</v>
      </c>
      <c r="P42">
        <f t="shared" ca="1" si="11"/>
        <v>3</v>
      </c>
      <c r="Q42">
        <f t="shared" ca="1" si="11"/>
        <v>4</v>
      </c>
      <c r="R42">
        <f t="shared" ca="1" si="11"/>
        <v>5</v>
      </c>
      <c r="S42">
        <f t="shared" ca="1" si="10"/>
        <v>10</v>
      </c>
      <c r="T42">
        <f t="shared" ca="1" si="10"/>
        <v>6</v>
      </c>
      <c r="U42">
        <f t="shared" ca="1" si="10"/>
        <v>5</v>
      </c>
      <c r="V42">
        <f t="shared" ca="1" si="10"/>
        <v>6</v>
      </c>
      <c r="W42">
        <f t="shared" ca="1" si="10"/>
        <v>5</v>
      </c>
      <c r="X42">
        <f t="shared" ca="1" si="10"/>
        <v>8</v>
      </c>
      <c r="Y42">
        <f t="shared" ca="1" si="10"/>
        <v>9</v>
      </c>
      <c r="Z42">
        <f t="shared" ca="1" si="10"/>
        <v>4</v>
      </c>
      <c r="AA42">
        <f t="shared" ca="1" si="10"/>
        <v>5</v>
      </c>
      <c r="AB42">
        <f t="shared" ca="1" si="10"/>
        <v>10</v>
      </c>
      <c r="AC42">
        <f t="shared" ca="1" si="10"/>
        <v>6</v>
      </c>
      <c r="AD42">
        <f t="shared" ca="1" si="10"/>
        <v>1</v>
      </c>
      <c r="AE42">
        <f t="shared" ca="1" si="10"/>
        <v>9</v>
      </c>
      <c r="AF42">
        <f t="shared" ca="1" si="10"/>
        <v>4</v>
      </c>
      <c r="AG42">
        <f t="shared" ca="1" si="10"/>
        <v>9</v>
      </c>
      <c r="AH42" s="25">
        <f t="shared" ca="1" si="6"/>
        <v>172</v>
      </c>
      <c r="AI42">
        <v>37</v>
      </c>
      <c r="AJ42">
        <v>50</v>
      </c>
      <c r="AK42">
        <f t="shared" si="3"/>
        <v>13</v>
      </c>
      <c r="AL42" s="15">
        <f t="shared" ca="1" si="4"/>
        <v>8600</v>
      </c>
      <c r="AM42" s="15">
        <f t="shared" ca="1" si="5"/>
        <v>2236</v>
      </c>
    </row>
    <row r="43" spans="1:39">
      <c r="A43" s="27"/>
      <c r="B43" t="s">
        <v>60</v>
      </c>
      <c r="C43">
        <f t="shared" ca="1" si="11"/>
        <v>2</v>
      </c>
      <c r="D43">
        <f t="shared" ca="1" si="11"/>
        <v>10</v>
      </c>
      <c r="E43">
        <f t="shared" ca="1" si="11"/>
        <v>8</v>
      </c>
      <c r="F43">
        <f t="shared" ca="1" si="11"/>
        <v>5</v>
      </c>
      <c r="G43">
        <f t="shared" ca="1" si="11"/>
        <v>2</v>
      </c>
      <c r="H43">
        <f t="shared" ca="1" si="11"/>
        <v>4</v>
      </c>
      <c r="I43">
        <f t="shared" ca="1" si="11"/>
        <v>9</v>
      </c>
      <c r="J43">
        <f t="shared" ca="1" si="11"/>
        <v>8</v>
      </c>
      <c r="K43">
        <f t="shared" ca="1" si="11"/>
        <v>5</v>
      </c>
      <c r="L43">
        <f t="shared" ca="1" si="11"/>
        <v>10</v>
      </c>
      <c r="M43">
        <f t="shared" ca="1" si="11"/>
        <v>7</v>
      </c>
      <c r="N43">
        <f t="shared" ca="1" si="11"/>
        <v>3</v>
      </c>
      <c r="O43">
        <f t="shared" ca="1" si="11"/>
        <v>1</v>
      </c>
      <c r="P43">
        <f t="shared" ca="1" si="11"/>
        <v>2</v>
      </c>
      <c r="Q43">
        <f t="shared" ca="1" si="11"/>
        <v>5</v>
      </c>
      <c r="R43">
        <f t="shared" ca="1" si="11"/>
        <v>7</v>
      </c>
      <c r="S43">
        <f t="shared" ca="1" si="10"/>
        <v>1</v>
      </c>
      <c r="T43">
        <f t="shared" ca="1" si="10"/>
        <v>9</v>
      </c>
      <c r="U43">
        <f t="shared" ca="1" si="10"/>
        <v>6</v>
      </c>
      <c r="V43">
        <f t="shared" ca="1" si="10"/>
        <v>8</v>
      </c>
      <c r="W43">
        <f t="shared" ca="1" si="10"/>
        <v>2</v>
      </c>
      <c r="X43">
        <f t="shared" ca="1" si="10"/>
        <v>4</v>
      </c>
      <c r="Y43">
        <f t="shared" ca="1" si="10"/>
        <v>9</v>
      </c>
      <c r="Z43">
        <f t="shared" ca="1" si="10"/>
        <v>9</v>
      </c>
      <c r="AA43">
        <f t="shared" ca="1" si="10"/>
        <v>7</v>
      </c>
      <c r="AB43">
        <f t="shared" ca="1" si="10"/>
        <v>1</v>
      </c>
      <c r="AC43">
        <f t="shared" ca="1" si="10"/>
        <v>3</v>
      </c>
      <c r="AD43">
        <f t="shared" ca="1" si="10"/>
        <v>8</v>
      </c>
      <c r="AE43">
        <f t="shared" ca="1" si="10"/>
        <v>3</v>
      </c>
      <c r="AF43">
        <f t="shared" ca="1" si="10"/>
        <v>3</v>
      </c>
      <c r="AG43">
        <f t="shared" ca="1" si="10"/>
        <v>5</v>
      </c>
      <c r="AH43" s="25">
        <f t="shared" ca="1" si="6"/>
        <v>166</v>
      </c>
      <c r="AI43">
        <v>221</v>
      </c>
      <c r="AJ43">
        <v>250</v>
      </c>
      <c r="AK43">
        <f t="shared" si="3"/>
        <v>29</v>
      </c>
      <c r="AL43" s="15">
        <f t="shared" ca="1" si="4"/>
        <v>41500</v>
      </c>
      <c r="AM43" s="15">
        <f t="shared" ca="1" si="5"/>
        <v>4814</v>
      </c>
    </row>
    <row r="44" spans="1:39">
      <c r="A44" s="27"/>
      <c r="B44" t="s">
        <v>61</v>
      </c>
      <c r="C44">
        <f t="shared" ca="1" si="11"/>
        <v>4</v>
      </c>
      <c r="D44">
        <f t="shared" ca="1" si="11"/>
        <v>3</v>
      </c>
      <c r="E44">
        <f t="shared" ca="1" si="11"/>
        <v>7</v>
      </c>
      <c r="F44">
        <f t="shared" ca="1" si="11"/>
        <v>1</v>
      </c>
      <c r="G44">
        <f t="shared" ca="1" si="11"/>
        <v>1</v>
      </c>
      <c r="H44">
        <f t="shared" ca="1" si="11"/>
        <v>5</v>
      </c>
      <c r="I44">
        <f t="shared" ca="1" si="11"/>
        <v>7</v>
      </c>
      <c r="J44">
        <f t="shared" ca="1" si="11"/>
        <v>5</v>
      </c>
      <c r="K44">
        <f t="shared" ca="1" si="11"/>
        <v>8</v>
      </c>
      <c r="L44">
        <f t="shared" ca="1" si="11"/>
        <v>2</v>
      </c>
      <c r="M44">
        <f t="shared" ca="1" si="11"/>
        <v>1</v>
      </c>
      <c r="N44">
        <f t="shared" ca="1" si="11"/>
        <v>2</v>
      </c>
      <c r="O44">
        <f t="shared" ca="1" si="11"/>
        <v>8</v>
      </c>
      <c r="P44">
        <f t="shared" ca="1" si="11"/>
        <v>1</v>
      </c>
      <c r="Q44">
        <f t="shared" ca="1" si="11"/>
        <v>2</v>
      </c>
      <c r="R44">
        <f t="shared" ca="1" si="11"/>
        <v>10</v>
      </c>
      <c r="S44">
        <f t="shared" ca="1" si="10"/>
        <v>7</v>
      </c>
      <c r="T44">
        <f t="shared" ca="1" si="10"/>
        <v>5</v>
      </c>
      <c r="U44">
        <f t="shared" ca="1" si="10"/>
        <v>9</v>
      </c>
      <c r="V44">
        <f t="shared" ca="1" si="10"/>
        <v>3</v>
      </c>
      <c r="W44">
        <f t="shared" ca="1" si="10"/>
        <v>1</v>
      </c>
      <c r="X44">
        <f t="shared" ca="1" si="10"/>
        <v>9</v>
      </c>
      <c r="Y44">
        <f t="shared" ca="1" si="10"/>
        <v>10</v>
      </c>
      <c r="Z44">
        <f t="shared" ca="1" si="10"/>
        <v>8</v>
      </c>
      <c r="AA44">
        <f t="shared" ca="1" si="10"/>
        <v>10</v>
      </c>
      <c r="AB44">
        <f t="shared" ca="1" si="10"/>
        <v>4</v>
      </c>
      <c r="AC44">
        <f t="shared" ca="1" si="10"/>
        <v>3</v>
      </c>
      <c r="AD44">
        <f t="shared" ca="1" si="10"/>
        <v>1</v>
      </c>
      <c r="AE44">
        <f t="shared" ca="1" si="10"/>
        <v>3</v>
      </c>
      <c r="AF44">
        <f t="shared" ca="1" si="10"/>
        <v>5</v>
      </c>
      <c r="AG44">
        <f t="shared" ca="1" si="10"/>
        <v>4</v>
      </c>
      <c r="AH44" s="25">
        <f t="shared" ca="1" si="6"/>
        <v>149</v>
      </c>
      <c r="AI44">
        <v>140</v>
      </c>
      <c r="AJ44">
        <v>150</v>
      </c>
      <c r="AK44">
        <f t="shared" si="3"/>
        <v>10</v>
      </c>
      <c r="AL44" s="15">
        <f t="shared" ca="1" si="4"/>
        <v>22350</v>
      </c>
      <c r="AM44" s="15">
        <f t="shared" ca="1" si="5"/>
        <v>1490</v>
      </c>
    </row>
    <row r="45" spans="1:39">
      <c r="A45" s="27"/>
      <c r="B45" t="s">
        <v>62</v>
      </c>
      <c r="C45">
        <f t="shared" ca="1" si="11"/>
        <v>9</v>
      </c>
      <c r="D45">
        <f t="shared" ca="1" si="11"/>
        <v>3</v>
      </c>
      <c r="E45">
        <f t="shared" ca="1" si="11"/>
        <v>9</v>
      </c>
      <c r="F45">
        <f t="shared" ca="1" si="11"/>
        <v>3</v>
      </c>
      <c r="G45">
        <f t="shared" ca="1" si="11"/>
        <v>7</v>
      </c>
      <c r="H45">
        <f t="shared" ca="1" si="11"/>
        <v>9</v>
      </c>
      <c r="I45">
        <f t="shared" ca="1" si="11"/>
        <v>6</v>
      </c>
      <c r="J45">
        <f t="shared" ca="1" si="11"/>
        <v>9</v>
      </c>
      <c r="K45">
        <f t="shared" ca="1" si="11"/>
        <v>3</v>
      </c>
      <c r="L45">
        <f t="shared" ca="1" si="11"/>
        <v>4</v>
      </c>
      <c r="M45">
        <f t="shared" ca="1" si="11"/>
        <v>9</v>
      </c>
      <c r="N45">
        <f t="shared" ca="1" si="11"/>
        <v>8</v>
      </c>
      <c r="O45">
        <f t="shared" ca="1" si="11"/>
        <v>8</v>
      </c>
      <c r="P45">
        <f t="shared" ca="1" si="11"/>
        <v>7</v>
      </c>
      <c r="Q45">
        <f t="shared" ca="1" si="11"/>
        <v>2</v>
      </c>
      <c r="R45">
        <f t="shared" ca="1" si="11"/>
        <v>4</v>
      </c>
      <c r="S45">
        <f t="shared" ca="1" si="10"/>
        <v>1</v>
      </c>
      <c r="T45">
        <f t="shared" ca="1" si="10"/>
        <v>7</v>
      </c>
      <c r="U45">
        <f t="shared" ca="1" si="10"/>
        <v>3</v>
      </c>
      <c r="V45">
        <f t="shared" ca="1" si="10"/>
        <v>6</v>
      </c>
      <c r="W45">
        <f t="shared" ca="1" si="10"/>
        <v>4</v>
      </c>
      <c r="X45">
        <f t="shared" ca="1" si="10"/>
        <v>3</v>
      </c>
      <c r="Y45">
        <f t="shared" ca="1" si="10"/>
        <v>8</v>
      </c>
      <c r="Z45">
        <f t="shared" ca="1" si="10"/>
        <v>10</v>
      </c>
      <c r="AA45">
        <f t="shared" ca="1" si="10"/>
        <v>9</v>
      </c>
      <c r="AB45">
        <f t="shared" ca="1" si="10"/>
        <v>2</v>
      </c>
      <c r="AC45">
        <f t="shared" ca="1" si="10"/>
        <v>8</v>
      </c>
      <c r="AD45">
        <f t="shared" ca="1" si="10"/>
        <v>4</v>
      </c>
      <c r="AE45">
        <f t="shared" ca="1" si="10"/>
        <v>1</v>
      </c>
      <c r="AF45">
        <f t="shared" ca="1" si="10"/>
        <v>1</v>
      </c>
      <c r="AG45">
        <f t="shared" ca="1" si="10"/>
        <v>5</v>
      </c>
      <c r="AH45" s="25">
        <f t="shared" ca="1" si="6"/>
        <v>172</v>
      </c>
      <c r="AI45">
        <v>154</v>
      </c>
      <c r="AJ45">
        <v>170</v>
      </c>
      <c r="AK45">
        <f t="shared" si="3"/>
        <v>16</v>
      </c>
      <c r="AL45" s="15">
        <f t="shared" ca="1" si="4"/>
        <v>29240</v>
      </c>
      <c r="AM45" s="15">
        <f t="shared" ca="1" si="5"/>
        <v>2752</v>
      </c>
    </row>
    <row r="46" spans="1:39">
      <c r="A46" s="27"/>
      <c r="B46" t="s">
        <v>63</v>
      </c>
      <c r="C46">
        <f t="shared" ca="1" si="11"/>
        <v>1</v>
      </c>
      <c r="D46">
        <f t="shared" ca="1" si="11"/>
        <v>4</v>
      </c>
      <c r="E46">
        <f t="shared" ca="1" si="11"/>
        <v>9</v>
      </c>
      <c r="F46">
        <f t="shared" ca="1" si="11"/>
        <v>6</v>
      </c>
      <c r="G46">
        <f t="shared" ca="1" si="11"/>
        <v>4</v>
      </c>
      <c r="H46">
        <f t="shared" ca="1" si="11"/>
        <v>9</v>
      </c>
      <c r="I46">
        <f t="shared" ca="1" si="11"/>
        <v>8</v>
      </c>
      <c r="J46">
        <f t="shared" ca="1" si="11"/>
        <v>5</v>
      </c>
      <c r="K46">
        <f t="shared" ca="1" si="11"/>
        <v>6</v>
      </c>
      <c r="L46">
        <f t="shared" ca="1" si="11"/>
        <v>6</v>
      </c>
      <c r="M46">
        <f t="shared" ca="1" si="11"/>
        <v>1</v>
      </c>
      <c r="N46">
        <f t="shared" ca="1" si="11"/>
        <v>1</v>
      </c>
      <c r="O46">
        <f t="shared" ca="1" si="11"/>
        <v>1</v>
      </c>
      <c r="P46">
        <f t="shared" ca="1" si="11"/>
        <v>3</v>
      </c>
      <c r="Q46">
        <f t="shared" ca="1" si="11"/>
        <v>6</v>
      </c>
      <c r="R46">
        <f t="shared" ca="1" si="11"/>
        <v>10</v>
      </c>
      <c r="S46">
        <f t="shared" ca="1" si="10"/>
        <v>6</v>
      </c>
      <c r="T46">
        <f t="shared" ca="1" si="10"/>
        <v>9</v>
      </c>
      <c r="U46">
        <f t="shared" ca="1" si="10"/>
        <v>10</v>
      </c>
      <c r="V46">
        <f t="shared" ca="1" si="10"/>
        <v>10</v>
      </c>
      <c r="W46">
        <f t="shared" ca="1" si="10"/>
        <v>5</v>
      </c>
      <c r="X46">
        <f t="shared" ca="1" si="10"/>
        <v>8</v>
      </c>
      <c r="Y46">
        <f t="shared" ca="1" si="10"/>
        <v>10</v>
      </c>
      <c r="Z46">
        <f t="shared" ca="1" si="10"/>
        <v>3</v>
      </c>
      <c r="AA46">
        <f t="shared" ca="1" si="10"/>
        <v>5</v>
      </c>
      <c r="AB46">
        <f t="shared" ca="1" si="10"/>
        <v>5</v>
      </c>
      <c r="AC46">
        <f t="shared" ca="1" si="10"/>
        <v>7</v>
      </c>
      <c r="AD46">
        <f t="shared" ca="1" si="10"/>
        <v>6</v>
      </c>
      <c r="AE46">
        <f t="shared" ca="1" si="10"/>
        <v>7</v>
      </c>
      <c r="AF46">
        <f t="shared" ca="1" si="10"/>
        <v>5</v>
      </c>
      <c r="AG46">
        <f t="shared" ca="1" si="10"/>
        <v>3</v>
      </c>
      <c r="AH46" s="25">
        <f t="shared" ca="1" si="6"/>
        <v>179</v>
      </c>
      <c r="AI46">
        <v>322</v>
      </c>
      <c r="AJ46">
        <v>345</v>
      </c>
      <c r="AK46">
        <f t="shared" si="3"/>
        <v>23</v>
      </c>
      <c r="AL46" s="15">
        <f t="shared" ca="1" si="4"/>
        <v>61755</v>
      </c>
      <c r="AM46" s="15">
        <f t="shared" ca="1" si="5"/>
        <v>4117</v>
      </c>
    </row>
    <row r="47" spans="1:39">
      <c r="A47" s="27"/>
      <c r="B47" t="s">
        <v>64</v>
      </c>
      <c r="C47">
        <f t="shared" ca="1" si="11"/>
        <v>9</v>
      </c>
      <c r="D47">
        <f t="shared" ca="1" si="11"/>
        <v>7</v>
      </c>
      <c r="E47">
        <f t="shared" ca="1" si="11"/>
        <v>9</v>
      </c>
      <c r="F47">
        <f t="shared" ca="1" si="11"/>
        <v>6</v>
      </c>
      <c r="G47">
        <f t="shared" ca="1" si="11"/>
        <v>1</v>
      </c>
      <c r="H47">
        <f t="shared" ca="1" si="11"/>
        <v>7</v>
      </c>
      <c r="I47">
        <f t="shared" ca="1" si="11"/>
        <v>6</v>
      </c>
      <c r="J47">
        <f t="shared" ca="1" si="11"/>
        <v>6</v>
      </c>
      <c r="K47">
        <f t="shared" ca="1" si="11"/>
        <v>4</v>
      </c>
      <c r="L47">
        <f t="shared" ca="1" si="11"/>
        <v>5</v>
      </c>
      <c r="M47">
        <f t="shared" ca="1" si="11"/>
        <v>7</v>
      </c>
      <c r="N47">
        <f t="shared" ca="1" si="11"/>
        <v>5</v>
      </c>
      <c r="O47">
        <f t="shared" ca="1" si="11"/>
        <v>6</v>
      </c>
      <c r="P47">
        <f t="shared" ca="1" si="11"/>
        <v>3</v>
      </c>
      <c r="Q47">
        <f t="shared" ca="1" si="11"/>
        <v>10</v>
      </c>
      <c r="R47">
        <f t="shared" ca="1" si="11"/>
        <v>6</v>
      </c>
      <c r="S47">
        <f t="shared" ca="1" si="10"/>
        <v>7</v>
      </c>
      <c r="T47">
        <f t="shared" ca="1" si="10"/>
        <v>6</v>
      </c>
      <c r="U47">
        <f t="shared" ca="1" si="10"/>
        <v>4</v>
      </c>
      <c r="V47">
        <f t="shared" ca="1" si="10"/>
        <v>1</v>
      </c>
      <c r="W47">
        <f t="shared" ca="1" si="10"/>
        <v>5</v>
      </c>
      <c r="X47">
        <f t="shared" ca="1" si="10"/>
        <v>5</v>
      </c>
      <c r="Y47">
        <f t="shared" ca="1" si="10"/>
        <v>3</v>
      </c>
      <c r="Z47">
        <f t="shared" ca="1" si="10"/>
        <v>8</v>
      </c>
      <c r="AA47">
        <f t="shared" ca="1" si="10"/>
        <v>8</v>
      </c>
      <c r="AB47">
        <f t="shared" ca="1" si="10"/>
        <v>10</v>
      </c>
      <c r="AC47">
        <f t="shared" ca="1" si="10"/>
        <v>8</v>
      </c>
      <c r="AD47">
        <f t="shared" ca="1" si="10"/>
        <v>4</v>
      </c>
      <c r="AE47">
        <f t="shared" ca="1" si="10"/>
        <v>1</v>
      </c>
      <c r="AF47">
        <f t="shared" ca="1" si="10"/>
        <v>10</v>
      </c>
      <c r="AG47">
        <f t="shared" ca="1" si="10"/>
        <v>8</v>
      </c>
      <c r="AH47" s="25">
        <f t="shared" ca="1" si="6"/>
        <v>185</v>
      </c>
      <c r="AI47">
        <v>380</v>
      </c>
      <c r="AJ47">
        <v>456</v>
      </c>
      <c r="AK47">
        <f t="shared" si="3"/>
        <v>76</v>
      </c>
      <c r="AL47" s="15">
        <f t="shared" ca="1" si="4"/>
        <v>84360</v>
      </c>
      <c r="AM47" s="15">
        <f t="shared" ca="1" si="5"/>
        <v>14060</v>
      </c>
    </row>
    <row r="48" spans="1:39">
      <c r="A48" s="27"/>
      <c r="B48" t="s">
        <v>65</v>
      </c>
      <c r="C48">
        <f t="shared" ca="1" si="11"/>
        <v>4</v>
      </c>
      <c r="D48">
        <f t="shared" ca="1" si="11"/>
        <v>6</v>
      </c>
      <c r="E48">
        <f t="shared" ca="1" si="11"/>
        <v>10</v>
      </c>
      <c r="F48">
        <f t="shared" ca="1" si="11"/>
        <v>2</v>
      </c>
      <c r="G48">
        <f t="shared" ca="1" si="11"/>
        <v>8</v>
      </c>
      <c r="H48">
        <f t="shared" ca="1" si="11"/>
        <v>6</v>
      </c>
      <c r="I48">
        <f t="shared" ca="1" si="11"/>
        <v>2</v>
      </c>
      <c r="J48">
        <f t="shared" ca="1" si="11"/>
        <v>1</v>
      </c>
      <c r="K48">
        <f t="shared" ca="1" si="11"/>
        <v>10</v>
      </c>
      <c r="L48">
        <f t="shared" ca="1" si="11"/>
        <v>7</v>
      </c>
      <c r="M48">
        <f t="shared" ca="1" si="11"/>
        <v>4</v>
      </c>
      <c r="N48">
        <f t="shared" ca="1" si="11"/>
        <v>8</v>
      </c>
      <c r="O48">
        <f t="shared" ca="1" si="11"/>
        <v>5</v>
      </c>
      <c r="P48">
        <f t="shared" ca="1" si="11"/>
        <v>5</v>
      </c>
      <c r="Q48">
        <f t="shared" ca="1" si="11"/>
        <v>9</v>
      </c>
      <c r="R48">
        <f t="shared" ca="1" si="11"/>
        <v>8</v>
      </c>
      <c r="S48">
        <f t="shared" ca="1" si="10"/>
        <v>1</v>
      </c>
      <c r="T48">
        <f t="shared" ca="1" si="10"/>
        <v>7</v>
      </c>
      <c r="U48">
        <f t="shared" ca="1" si="10"/>
        <v>2</v>
      </c>
      <c r="V48">
        <f t="shared" ca="1" si="10"/>
        <v>1</v>
      </c>
      <c r="W48">
        <f t="shared" ca="1" si="10"/>
        <v>9</v>
      </c>
      <c r="X48">
        <f t="shared" ca="1" si="10"/>
        <v>4</v>
      </c>
      <c r="Y48">
        <f t="shared" ca="1" si="10"/>
        <v>10</v>
      </c>
      <c r="Z48">
        <f t="shared" ca="1" si="10"/>
        <v>5</v>
      </c>
      <c r="AA48">
        <f t="shared" ca="1" si="10"/>
        <v>8</v>
      </c>
      <c r="AB48">
        <f t="shared" ca="1" si="10"/>
        <v>3</v>
      </c>
      <c r="AC48">
        <f t="shared" ca="1" si="10"/>
        <v>9</v>
      </c>
      <c r="AD48">
        <f t="shared" ca="1" si="10"/>
        <v>7</v>
      </c>
      <c r="AE48">
        <f t="shared" ca="1" si="10"/>
        <v>1</v>
      </c>
      <c r="AF48">
        <f t="shared" ca="1" si="10"/>
        <v>5</v>
      </c>
      <c r="AG48">
        <f t="shared" ca="1" si="10"/>
        <v>4</v>
      </c>
      <c r="AH48" s="25">
        <f t="shared" ca="1" si="6"/>
        <v>171</v>
      </c>
      <c r="AI48">
        <v>133</v>
      </c>
      <c r="AJ48">
        <v>158</v>
      </c>
      <c r="AK48">
        <f t="shared" si="3"/>
        <v>25</v>
      </c>
      <c r="AL48" s="15">
        <f t="shared" ca="1" si="4"/>
        <v>27018</v>
      </c>
      <c r="AM48" s="15">
        <f t="shared" ca="1" si="5"/>
        <v>4275</v>
      </c>
    </row>
    <row r="49" spans="1:39">
      <c r="A49" s="27"/>
      <c r="B49" t="s">
        <v>66</v>
      </c>
      <c r="C49">
        <f t="shared" ca="1" si="11"/>
        <v>7</v>
      </c>
      <c r="D49">
        <f t="shared" ca="1" si="11"/>
        <v>8</v>
      </c>
      <c r="E49">
        <f t="shared" ca="1" si="11"/>
        <v>7</v>
      </c>
      <c r="F49">
        <f t="shared" ca="1" si="11"/>
        <v>4</v>
      </c>
      <c r="G49">
        <f t="shared" ca="1" si="11"/>
        <v>9</v>
      </c>
      <c r="H49">
        <f t="shared" ca="1" si="11"/>
        <v>9</v>
      </c>
      <c r="I49">
        <f t="shared" ca="1" si="11"/>
        <v>8</v>
      </c>
      <c r="J49">
        <f t="shared" ca="1" si="11"/>
        <v>10</v>
      </c>
      <c r="K49">
        <f t="shared" ca="1" si="11"/>
        <v>3</v>
      </c>
      <c r="L49">
        <f t="shared" ca="1" si="11"/>
        <v>7</v>
      </c>
      <c r="M49">
        <f t="shared" ca="1" si="11"/>
        <v>7</v>
      </c>
      <c r="N49">
        <f t="shared" ca="1" si="11"/>
        <v>10</v>
      </c>
      <c r="O49">
        <f t="shared" ca="1" si="11"/>
        <v>9</v>
      </c>
      <c r="P49">
        <f t="shared" ca="1" si="11"/>
        <v>2</v>
      </c>
      <c r="Q49">
        <f t="shared" ca="1" si="11"/>
        <v>3</v>
      </c>
      <c r="R49">
        <f t="shared" ca="1" si="11"/>
        <v>4</v>
      </c>
      <c r="S49">
        <f t="shared" ca="1" si="10"/>
        <v>8</v>
      </c>
      <c r="T49">
        <f t="shared" ca="1" si="10"/>
        <v>8</v>
      </c>
      <c r="U49">
        <f t="shared" ca="1" si="10"/>
        <v>1</v>
      </c>
      <c r="V49">
        <f t="shared" ca="1" si="10"/>
        <v>7</v>
      </c>
      <c r="W49">
        <f t="shared" ca="1" si="10"/>
        <v>9</v>
      </c>
      <c r="X49">
        <f t="shared" ca="1" si="10"/>
        <v>3</v>
      </c>
      <c r="Y49">
        <f t="shared" ca="1" si="10"/>
        <v>3</v>
      </c>
      <c r="Z49">
        <f t="shared" ca="1" si="10"/>
        <v>8</v>
      </c>
      <c r="AA49">
        <f t="shared" ca="1" si="10"/>
        <v>5</v>
      </c>
      <c r="AB49">
        <f t="shared" ca="1" si="10"/>
        <v>3</v>
      </c>
      <c r="AC49">
        <f t="shared" ca="1" si="10"/>
        <v>9</v>
      </c>
      <c r="AD49">
        <f t="shared" ca="1" si="10"/>
        <v>5</v>
      </c>
      <c r="AE49">
        <f t="shared" ca="1" si="10"/>
        <v>9</v>
      </c>
      <c r="AF49">
        <f t="shared" ca="1" si="10"/>
        <v>3</v>
      </c>
      <c r="AG49">
        <f t="shared" ca="1" si="10"/>
        <v>7</v>
      </c>
      <c r="AH49" s="25">
        <f t="shared" ca="1" si="6"/>
        <v>195</v>
      </c>
      <c r="AI49">
        <v>40</v>
      </c>
      <c r="AJ49">
        <v>65</v>
      </c>
      <c r="AK49">
        <f t="shared" si="3"/>
        <v>25</v>
      </c>
      <c r="AL49" s="15">
        <f t="shared" ca="1" si="4"/>
        <v>12675</v>
      </c>
      <c r="AM49" s="15">
        <f t="shared" ca="1" si="5"/>
        <v>4875</v>
      </c>
    </row>
    <row r="50" spans="1:39">
      <c r="A50" s="27"/>
      <c r="B50" t="s">
        <v>67</v>
      </c>
      <c r="C50">
        <f t="shared" ca="1" si="11"/>
        <v>4</v>
      </c>
      <c r="D50">
        <f t="shared" ca="1" si="11"/>
        <v>5</v>
      </c>
      <c r="E50">
        <f t="shared" ca="1" si="11"/>
        <v>1</v>
      </c>
      <c r="F50">
        <f t="shared" ca="1" si="11"/>
        <v>10</v>
      </c>
      <c r="G50">
        <f t="shared" ca="1" si="11"/>
        <v>4</v>
      </c>
      <c r="H50">
        <f t="shared" ca="1" si="11"/>
        <v>6</v>
      </c>
      <c r="I50">
        <f t="shared" ca="1" si="11"/>
        <v>2</v>
      </c>
      <c r="J50">
        <f t="shared" ca="1" si="11"/>
        <v>1</v>
      </c>
      <c r="K50">
        <f t="shared" ca="1" si="11"/>
        <v>2</v>
      </c>
      <c r="L50">
        <f t="shared" ca="1" si="11"/>
        <v>9</v>
      </c>
      <c r="M50">
        <f t="shared" ca="1" si="11"/>
        <v>2</v>
      </c>
      <c r="N50">
        <f t="shared" ca="1" si="11"/>
        <v>2</v>
      </c>
      <c r="O50">
        <f t="shared" ca="1" si="11"/>
        <v>10</v>
      </c>
      <c r="P50">
        <f t="shared" ca="1" si="11"/>
        <v>7</v>
      </c>
      <c r="Q50">
        <f t="shared" ca="1" si="11"/>
        <v>10</v>
      </c>
      <c r="R50">
        <f t="shared" ca="1" si="11"/>
        <v>10</v>
      </c>
      <c r="S50">
        <f t="shared" ca="1" si="10"/>
        <v>5</v>
      </c>
      <c r="T50">
        <f t="shared" ca="1" si="10"/>
        <v>8</v>
      </c>
      <c r="U50">
        <f t="shared" ca="1" si="10"/>
        <v>10</v>
      </c>
      <c r="V50">
        <f t="shared" ca="1" si="10"/>
        <v>8</v>
      </c>
      <c r="W50">
        <f t="shared" ca="1" si="10"/>
        <v>7</v>
      </c>
      <c r="X50">
        <f t="shared" ca="1" si="10"/>
        <v>9</v>
      </c>
      <c r="Y50">
        <f t="shared" ca="1" si="10"/>
        <v>3</v>
      </c>
      <c r="Z50">
        <f t="shared" ca="1" si="10"/>
        <v>9</v>
      </c>
      <c r="AA50">
        <f t="shared" ca="1" si="10"/>
        <v>1</v>
      </c>
      <c r="AB50">
        <f t="shared" ca="1" si="10"/>
        <v>5</v>
      </c>
      <c r="AC50">
        <f t="shared" ca="1" si="10"/>
        <v>3</v>
      </c>
      <c r="AD50">
        <f t="shared" ca="1" si="10"/>
        <v>10</v>
      </c>
      <c r="AE50">
        <f t="shared" ca="1" si="10"/>
        <v>4</v>
      </c>
      <c r="AF50">
        <f t="shared" ca="1" si="10"/>
        <v>9</v>
      </c>
      <c r="AG50">
        <f t="shared" ca="1" si="10"/>
        <v>1</v>
      </c>
      <c r="AH50" s="25">
        <f t="shared" ca="1" si="6"/>
        <v>177</v>
      </c>
      <c r="AI50">
        <v>72</v>
      </c>
      <c r="AJ50">
        <v>89</v>
      </c>
      <c r="AK50">
        <f t="shared" si="3"/>
        <v>17</v>
      </c>
      <c r="AL50" s="15">
        <f t="shared" ca="1" si="4"/>
        <v>15753</v>
      </c>
      <c r="AM50" s="15">
        <f t="shared" ca="1" si="5"/>
        <v>3009</v>
      </c>
    </row>
    <row r="51" spans="1:39">
      <c r="A51" s="27"/>
      <c r="B51" t="s">
        <v>68</v>
      </c>
      <c r="C51">
        <f t="shared" ca="1" si="11"/>
        <v>9</v>
      </c>
      <c r="D51">
        <f t="shared" ca="1" si="11"/>
        <v>9</v>
      </c>
      <c r="E51">
        <f t="shared" ca="1" si="11"/>
        <v>9</v>
      </c>
      <c r="F51">
        <f t="shared" ca="1" si="11"/>
        <v>1</v>
      </c>
      <c r="G51">
        <f t="shared" ca="1" si="11"/>
        <v>5</v>
      </c>
      <c r="H51">
        <f t="shared" ca="1" si="11"/>
        <v>6</v>
      </c>
      <c r="I51">
        <f t="shared" ca="1" si="11"/>
        <v>1</v>
      </c>
      <c r="J51">
        <f t="shared" ca="1" si="11"/>
        <v>3</v>
      </c>
      <c r="K51">
        <f t="shared" ca="1" si="11"/>
        <v>8</v>
      </c>
      <c r="L51">
        <f t="shared" ca="1" si="11"/>
        <v>3</v>
      </c>
      <c r="M51">
        <f t="shared" ca="1" si="11"/>
        <v>10</v>
      </c>
      <c r="N51">
        <f t="shared" ca="1" si="11"/>
        <v>4</v>
      </c>
      <c r="O51">
        <f t="shared" ca="1" si="11"/>
        <v>1</v>
      </c>
      <c r="P51">
        <f t="shared" ca="1" si="11"/>
        <v>8</v>
      </c>
      <c r="Q51">
        <f t="shared" ca="1" si="11"/>
        <v>5</v>
      </c>
      <c r="R51">
        <f t="shared" ref="R51:AG57" ca="1" si="12">RANDBETWEEN(1,10)</f>
        <v>8</v>
      </c>
      <c r="S51">
        <f t="shared" ca="1" si="12"/>
        <v>5</v>
      </c>
      <c r="T51">
        <f t="shared" ca="1" si="12"/>
        <v>2</v>
      </c>
      <c r="U51">
        <f t="shared" ca="1" si="12"/>
        <v>7</v>
      </c>
      <c r="V51">
        <f t="shared" ca="1" si="12"/>
        <v>9</v>
      </c>
      <c r="W51">
        <f t="shared" ca="1" si="12"/>
        <v>3</v>
      </c>
      <c r="X51">
        <f t="shared" ca="1" si="12"/>
        <v>5</v>
      </c>
      <c r="Y51">
        <f t="shared" ca="1" si="12"/>
        <v>3</v>
      </c>
      <c r="Z51">
        <f t="shared" ca="1" si="12"/>
        <v>9</v>
      </c>
      <c r="AA51">
        <f t="shared" ca="1" si="12"/>
        <v>1</v>
      </c>
      <c r="AB51">
        <f t="shared" ca="1" si="12"/>
        <v>4</v>
      </c>
      <c r="AC51">
        <f t="shared" ca="1" si="12"/>
        <v>5</v>
      </c>
      <c r="AD51">
        <f t="shared" ca="1" si="12"/>
        <v>5</v>
      </c>
      <c r="AE51">
        <f t="shared" ca="1" si="12"/>
        <v>10</v>
      </c>
      <c r="AF51">
        <f t="shared" ca="1" si="12"/>
        <v>2</v>
      </c>
      <c r="AG51">
        <f t="shared" ca="1" si="12"/>
        <v>7</v>
      </c>
      <c r="AH51" s="25">
        <f t="shared" ca="1" si="6"/>
        <v>167</v>
      </c>
      <c r="AI51">
        <v>236</v>
      </c>
      <c r="AJ51">
        <v>268</v>
      </c>
      <c r="AK51">
        <f t="shared" si="3"/>
        <v>32</v>
      </c>
      <c r="AL51" s="15">
        <f t="shared" ca="1" si="4"/>
        <v>44756</v>
      </c>
      <c r="AM51" s="15">
        <f t="shared" ca="1" si="5"/>
        <v>5344</v>
      </c>
    </row>
    <row r="52" spans="1:39">
      <c r="A52" s="27"/>
      <c r="B52" t="s">
        <v>69</v>
      </c>
      <c r="C52">
        <f t="shared" ref="C52:R57" ca="1" si="13">RANDBETWEEN(1,10)</f>
        <v>1</v>
      </c>
      <c r="D52">
        <f t="shared" ca="1" si="13"/>
        <v>6</v>
      </c>
      <c r="E52">
        <f t="shared" ca="1" si="13"/>
        <v>3</v>
      </c>
      <c r="F52">
        <f t="shared" ca="1" si="13"/>
        <v>3</v>
      </c>
      <c r="G52">
        <f t="shared" ca="1" si="13"/>
        <v>6</v>
      </c>
      <c r="H52">
        <f t="shared" ca="1" si="13"/>
        <v>6</v>
      </c>
      <c r="I52">
        <f t="shared" ca="1" si="13"/>
        <v>9</v>
      </c>
      <c r="J52">
        <f t="shared" ca="1" si="13"/>
        <v>6</v>
      </c>
      <c r="K52">
        <f t="shared" ca="1" si="13"/>
        <v>10</v>
      </c>
      <c r="L52">
        <f t="shared" ca="1" si="13"/>
        <v>1</v>
      </c>
      <c r="M52">
        <f t="shared" ca="1" si="13"/>
        <v>4</v>
      </c>
      <c r="N52">
        <f t="shared" ca="1" si="13"/>
        <v>6</v>
      </c>
      <c r="O52">
        <f t="shared" ca="1" si="13"/>
        <v>8</v>
      </c>
      <c r="P52">
        <f t="shared" ca="1" si="13"/>
        <v>6</v>
      </c>
      <c r="Q52">
        <f t="shared" ca="1" si="13"/>
        <v>7</v>
      </c>
      <c r="R52">
        <f t="shared" ca="1" si="13"/>
        <v>7</v>
      </c>
      <c r="S52">
        <f t="shared" ca="1" si="12"/>
        <v>7</v>
      </c>
      <c r="T52">
        <f t="shared" ca="1" si="12"/>
        <v>2</v>
      </c>
      <c r="U52">
        <f t="shared" ca="1" si="12"/>
        <v>3</v>
      </c>
      <c r="V52">
        <f t="shared" ca="1" si="12"/>
        <v>3</v>
      </c>
      <c r="W52">
        <f t="shared" ca="1" si="12"/>
        <v>8</v>
      </c>
      <c r="X52">
        <f t="shared" ca="1" si="12"/>
        <v>1</v>
      </c>
      <c r="Y52">
        <f t="shared" ca="1" si="12"/>
        <v>9</v>
      </c>
      <c r="Z52">
        <f t="shared" ca="1" si="12"/>
        <v>10</v>
      </c>
      <c r="AA52">
        <f t="shared" ca="1" si="12"/>
        <v>9</v>
      </c>
      <c r="AB52">
        <f t="shared" ca="1" si="12"/>
        <v>3</v>
      </c>
      <c r="AC52">
        <f t="shared" ca="1" si="12"/>
        <v>3</v>
      </c>
      <c r="AD52">
        <f t="shared" ca="1" si="12"/>
        <v>5</v>
      </c>
      <c r="AE52">
        <f t="shared" ca="1" si="12"/>
        <v>7</v>
      </c>
      <c r="AF52">
        <f t="shared" ca="1" si="12"/>
        <v>1</v>
      </c>
      <c r="AG52">
        <f t="shared" ca="1" si="12"/>
        <v>4</v>
      </c>
      <c r="AH52" s="25">
        <f t="shared" ca="1" si="6"/>
        <v>164</v>
      </c>
      <c r="AI52">
        <v>156</v>
      </c>
      <c r="AJ52">
        <v>178</v>
      </c>
      <c r="AK52">
        <f t="shared" si="3"/>
        <v>22</v>
      </c>
      <c r="AL52" s="15">
        <f t="shared" ca="1" si="4"/>
        <v>29192</v>
      </c>
      <c r="AM52" s="15">
        <f t="shared" ca="1" si="5"/>
        <v>3608</v>
      </c>
    </row>
    <row r="53" spans="1:39">
      <c r="A53" s="27"/>
      <c r="B53" t="s">
        <v>70</v>
      </c>
      <c r="C53">
        <f t="shared" ca="1" si="13"/>
        <v>7</v>
      </c>
      <c r="D53">
        <f t="shared" ca="1" si="13"/>
        <v>7</v>
      </c>
      <c r="E53">
        <f t="shared" ca="1" si="13"/>
        <v>4</v>
      </c>
      <c r="F53">
        <f t="shared" ca="1" si="13"/>
        <v>10</v>
      </c>
      <c r="G53">
        <f t="shared" ca="1" si="13"/>
        <v>9</v>
      </c>
      <c r="H53">
        <f t="shared" ca="1" si="13"/>
        <v>8</v>
      </c>
      <c r="I53">
        <f t="shared" ca="1" si="13"/>
        <v>1</v>
      </c>
      <c r="J53">
        <f t="shared" ca="1" si="13"/>
        <v>4</v>
      </c>
      <c r="K53">
        <f t="shared" ca="1" si="13"/>
        <v>10</v>
      </c>
      <c r="L53">
        <f t="shared" ca="1" si="13"/>
        <v>4</v>
      </c>
      <c r="M53">
        <f t="shared" ca="1" si="13"/>
        <v>5</v>
      </c>
      <c r="N53">
        <f t="shared" ca="1" si="13"/>
        <v>9</v>
      </c>
      <c r="O53">
        <f t="shared" ca="1" si="13"/>
        <v>2</v>
      </c>
      <c r="P53">
        <f t="shared" ca="1" si="13"/>
        <v>7</v>
      </c>
      <c r="Q53">
        <f t="shared" ca="1" si="13"/>
        <v>3</v>
      </c>
      <c r="R53">
        <f t="shared" ca="1" si="13"/>
        <v>9</v>
      </c>
      <c r="S53">
        <f t="shared" ca="1" si="12"/>
        <v>4</v>
      </c>
      <c r="T53">
        <f t="shared" ca="1" si="12"/>
        <v>4</v>
      </c>
      <c r="U53">
        <f t="shared" ca="1" si="12"/>
        <v>3</v>
      </c>
      <c r="V53">
        <f t="shared" ca="1" si="12"/>
        <v>10</v>
      </c>
      <c r="W53">
        <f t="shared" ca="1" si="12"/>
        <v>6</v>
      </c>
      <c r="X53">
        <f t="shared" ca="1" si="12"/>
        <v>6</v>
      </c>
      <c r="Y53">
        <f t="shared" ca="1" si="12"/>
        <v>8</v>
      </c>
      <c r="Z53">
        <f t="shared" ca="1" si="12"/>
        <v>2</v>
      </c>
      <c r="AA53">
        <f t="shared" ca="1" si="12"/>
        <v>8</v>
      </c>
      <c r="AB53">
        <f t="shared" ca="1" si="12"/>
        <v>8</v>
      </c>
      <c r="AC53">
        <f t="shared" ca="1" si="12"/>
        <v>3</v>
      </c>
      <c r="AD53">
        <f t="shared" ca="1" si="12"/>
        <v>5</v>
      </c>
      <c r="AE53">
        <f t="shared" ca="1" si="12"/>
        <v>5</v>
      </c>
      <c r="AF53">
        <f t="shared" ca="1" si="12"/>
        <v>7</v>
      </c>
      <c r="AG53">
        <f t="shared" ca="1" si="12"/>
        <v>10</v>
      </c>
      <c r="AH53" s="25">
        <f t="shared" ca="1" si="6"/>
        <v>188</v>
      </c>
      <c r="AI53">
        <v>182</v>
      </c>
      <c r="AJ53">
        <v>225</v>
      </c>
      <c r="AK53">
        <f t="shared" si="3"/>
        <v>43</v>
      </c>
      <c r="AL53" s="15">
        <f t="shared" ca="1" si="4"/>
        <v>42300</v>
      </c>
      <c r="AM53" s="15">
        <f t="shared" ca="1" si="5"/>
        <v>8084</v>
      </c>
    </row>
    <row r="54" spans="1:39">
      <c r="A54" s="27"/>
      <c r="B54" t="s">
        <v>71</v>
      </c>
      <c r="C54">
        <f t="shared" ca="1" si="13"/>
        <v>9</v>
      </c>
      <c r="D54">
        <f t="shared" ca="1" si="13"/>
        <v>4</v>
      </c>
      <c r="E54">
        <f t="shared" ca="1" si="13"/>
        <v>5</v>
      </c>
      <c r="F54">
        <f t="shared" ca="1" si="13"/>
        <v>4</v>
      </c>
      <c r="G54">
        <f t="shared" ca="1" si="13"/>
        <v>3</v>
      </c>
      <c r="H54">
        <f t="shared" ca="1" si="13"/>
        <v>8</v>
      </c>
      <c r="I54">
        <f t="shared" ca="1" si="13"/>
        <v>6</v>
      </c>
      <c r="J54">
        <f t="shared" ca="1" si="13"/>
        <v>6</v>
      </c>
      <c r="K54">
        <f t="shared" ca="1" si="13"/>
        <v>9</v>
      </c>
      <c r="L54">
        <f t="shared" ca="1" si="13"/>
        <v>6</v>
      </c>
      <c r="M54">
        <f t="shared" ca="1" si="13"/>
        <v>9</v>
      </c>
      <c r="N54">
        <f t="shared" ca="1" si="13"/>
        <v>3</v>
      </c>
      <c r="O54">
        <f t="shared" ca="1" si="13"/>
        <v>10</v>
      </c>
      <c r="P54">
        <f t="shared" ca="1" si="13"/>
        <v>9</v>
      </c>
      <c r="Q54">
        <f t="shared" ca="1" si="13"/>
        <v>10</v>
      </c>
      <c r="R54">
        <f t="shared" ca="1" si="13"/>
        <v>3</v>
      </c>
      <c r="S54">
        <f t="shared" ca="1" si="12"/>
        <v>8</v>
      </c>
      <c r="T54">
        <f t="shared" ca="1" si="12"/>
        <v>5</v>
      </c>
      <c r="U54">
        <f t="shared" ca="1" si="12"/>
        <v>6</v>
      </c>
      <c r="V54">
        <f t="shared" ca="1" si="12"/>
        <v>10</v>
      </c>
      <c r="W54">
        <f t="shared" ca="1" si="12"/>
        <v>3</v>
      </c>
      <c r="X54">
        <f t="shared" ca="1" si="12"/>
        <v>1</v>
      </c>
      <c r="Y54">
        <f t="shared" ca="1" si="12"/>
        <v>6</v>
      </c>
      <c r="Z54">
        <f t="shared" ca="1" si="12"/>
        <v>7</v>
      </c>
      <c r="AA54">
        <f t="shared" ca="1" si="12"/>
        <v>10</v>
      </c>
      <c r="AB54">
        <f t="shared" ca="1" si="12"/>
        <v>7</v>
      </c>
      <c r="AC54">
        <f t="shared" ca="1" si="12"/>
        <v>3</v>
      </c>
      <c r="AD54">
        <f t="shared" ca="1" si="12"/>
        <v>8</v>
      </c>
      <c r="AE54">
        <f t="shared" ca="1" si="12"/>
        <v>4</v>
      </c>
      <c r="AF54">
        <f t="shared" ca="1" si="12"/>
        <v>5</v>
      </c>
      <c r="AG54">
        <f t="shared" ca="1" si="12"/>
        <v>4</v>
      </c>
      <c r="AH54" s="25">
        <f t="shared" ca="1" si="6"/>
        <v>191</v>
      </c>
      <c r="AI54">
        <v>23</v>
      </c>
      <c r="AJ54">
        <v>35</v>
      </c>
      <c r="AK54">
        <f t="shared" si="3"/>
        <v>12</v>
      </c>
      <c r="AL54" s="15">
        <f t="shared" ca="1" si="4"/>
        <v>6685</v>
      </c>
      <c r="AM54" s="15">
        <f t="shared" ca="1" si="5"/>
        <v>2292</v>
      </c>
    </row>
    <row r="55" spans="1:39">
      <c r="A55" s="27"/>
      <c r="B55" t="s">
        <v>72</v>
      </c>
      <c r="C55">
        <f t="shared" ca="1" si="13"/>
        <v>8</v>
      </c>
      <c r="D55">
        <f t="shared" ca="1" si="13"/>
        <v>5</v>
      </c>
      <c r="E55">
        <f t="shared" ca="1" si="13"/>
        <v>1</v>
      </c>
      <c r="F55">
        <f t="shared" ca="1" si="13"/>
        <v>8</v>
      </c>
      <c r="G55">
        <f t="shared" ca="1" si="13"/>
        <v>1</v>
      </c>
      <c r="H55">
        <f t="shared" ca="1" si="13"/>
        <v>6</v>
      </c>
      <c r="I55">
        <f t="shared" ca="1" si="13"/>
        <v>5</v>
      </c>
      <c r="J55">
        <f t="shared" ca="1" si="13"/>
        <v>4</v>
      </c>
      <c r="K55">
        <f t="shared" ca="1" si="13"/>
        <v>9</v>
      </c>
      <c r="L55">
        <f t="shared" ca="1" si="13"/>
        <v>5</v>
      </c>
      <c r="M55">
        <f t="shared" ca="1" si="13"/>
        <v>3</v>
      </c>
      <c r="N55">
        <f t="shared" ca="1" si="13"/>
        <v>5</v>
      </c>
      <c r="O55">
        <f t="shared" ca="1" si="13"/>
        <v>5</v>
      </c>
      <c r="P55">
        <f t="shared" ca="1" si="13"/>
        <v>2</v>
      </c>
      <c r="Q55">
        <f t="shared" ca="1" si="13"/>
        <v>5</v>
      </c>
      <c r="R55">
        <f t="shared" ca="1" si="13"/>
        <v>5</v>
      </c>
      <c r="S55">
        <f t="shared" ca="1" si="12"/>
        <v>6</v>
      </c>
      <c r="T55">
        <f t="shared" ca="1" si="12"/>
        <v>8</v>
      </c>
      <c r="U55">
        <f t="shared" ca="1" si="12"/>
        <v>10</v>
      </c>
      <c r="V55">
        <f t="shared" ca="1" si="12"/>
        <v>4</v>
      </c>
      <c r="W55">
        <f t="shared" ca="1" si="12"/>
        <v>1</v>
      </c>
      <c r="X55">
        <f t="shared" ca="1" si="12"/>
        <v>1</v>
      </c>
      <c r="Y55">
        <f t="shared" ca="1" si="12"/>
        <v>10</v>
      </c>
      <c r="Z55">
        <f t="shared" ca="1" si="12"/>
        <v>6</v>
      </c>
      <c r="AA55">
        <f t="shared" ca="1" si="12"/>
        <v>10</v>
      </c>
      <c r="AB55">
        <f t="shared" ca="1" si="12"/>
        <v>8</v>
      </c>
      <c r="AC55">
        <f t="shared" ca="1" si="12"/>
        <v>7</v>
      </c>
      <c r="AD55">
        <f t="shared" ca="1" si="12"/>
        <v>10</v>
      </c>
      <c r="AE55">
        <f t="shared" ca="1" si="12"/>
        <v>4</v>
      </c>
      <c r="AF55">
        <f t="shared" ca="1" si="12"/>
        <v>3</v>
      </c>
      <c r="AG55">
        <f t="shared" ca="1" si="12"/>
        <v>3</v>
      </c>
      <c r="AH55" s="25">
        <f t="shared" ca="1" si="6"/>
        <v>168</v>
      </c>
      <c r="AI55">
        <v>205</v>
      </c>
      <c r="AJ55">
        <v>260</v>
      </c>
      <c r="AK55">
        <f t="shared" si="3"/>
        <v>55</v>
      </c>
      <c r="AL55" s="15">
        <f t="shared" ca="1" si="4"/>
        <v>43680</v>
      </c>
      <c r="AM55" s="15">
        <f t="shared" ca="1" si="5"/>
        <v>9240</v>
      </c>
    </row>
    <row r="56" spans="1:39">
      <c r="A56" s="27"/>
      <c r="B56" t="s">
        <v>73</v>
      </c>
      <c r="C56">
        <f t="shared" ca="1" si="13"/>
        <v>9</v>
      </c>
      <c r="D56">
        <f t="shared" ca="1" si="13"/>
        <v>10</v>
      </c>
      <c r="E56">
        <f t="shared" ca="1" si="13"/>
        <v>6</v>
      </c>
      <c r="F56">
        <f t="shared" ca="1" si="13"/>
        <v>9</v>
      </c>
      <c r="G56">
        <f t="shared" ca="1" si="13"/>
        <v>3</v>
      </c>
      <c r="H56">
        <f t="shared" ca="1" si="13"/>
        <v>8</v>
      </c>
      <c r="I56">
        <f t="shared" ca="1" si="13"/>
        <v>4</v>
      </c>
      <c r="J56">
        <f t="shared" ca="1" si="13"/>
        <v>5</v>
      </c>
      <c r="K56">
        <f t="shared" ca="1" si="13"/>
        <v>6</v>
      </c>
      <c r="L56">
        <f t="shared" ca="1" si="13"/>
        <v>10</v>
      </c>
      <c r="M56">
        <f t="shared" ca="1" si="13"/>
        <v>3</v>
      </c>
      <c r="N56">
        <f t="shared" ca="1" si="13"/>
        <v>1</v>
      </c>
      <c r="O56">
        <f t="shared" ca="1" si="13"/>
        <v>5</v>
      </c>
      <c r="P56">
        <f t="shared" ca="1" si="13"/>
        <v>6</v>
      </c>
      <c r="Q56">
        <f t="shared" ca="1" si="13"/>
        <v>10</v>
      </c>
      <c r="R56">
        <f t="shared" ca="1" si="13"/>
        <v>6</v>
      </c>
      <c r="S56">
        <f t="shared" ca="1" si="12"/>
        <v>6</v>
      </c>
      <c r="T56">
        <f t="shared" ca="1" si="12"/>
        <v>9</v>
      </c>
      <c r="U56">
        <f t="shared" ca="1" si="12"/>
        <v>6</v>
      </c>
      <c r="V56">
        <f t="shared" ca="1" si="12"/>
        <v>7</v>
      </c>
      <c r="W56">
        <f t="shared" ca="1" si="12"/>
        <v>2</v>
      </c>
      <c r="X56">
        <f t="shared" ca="1" si="12"/>
        <v>7</v>
      </c>
      <c r="Y56">
        <f t="shared" ca="1" si="12"/>
        <v>6</v>
      </c>
      <c r="Z56">
        <f t="shared" ca="1" si="12"/>
        <v>4</v>
      </c>
      <c r="AA56">
        <f t="shared" ca="1" si="12"/>
        <v>2</v>
      </c>
      <c r="AB56">
        <f t="shared" ca="1" si="12"/>
        <v>9</v>
      </c>
      <c r="AC56">
        <f t="shared" ca="1" si="12"/>
        <v>9</v>
      </c>
      <c r="AD56">
        <f t="shared" ca="1" si="12"/>
        <v>5</v>
      </c>
      <c r="AE56">
        <f t="shared" ca="1" si="12"/>
        <v>5</v>
      </c>
      <c r="AF56">
        <f t="shared" ca="1" si="12"/>
        <v>3</v>
      </c>
      <c r="AG56">
        <f t="shared" ca="1" si="12"/>
        <v>1</v>
      </c>
      <c r="AH56" s="25">
        <f t="shared" ca="1" si="6"/>
        <v>182</v>
      </c>
      <c r="AI56">
        <v>325</v>
      </c>
      <c r="AJ56">
        <v>358</v>
      </c>
      <c r="AK56">
        <f t="shared" si="3"/>
        <v>33</v>
      </c>
      <c r="AL56" s="15">
        <f t="shared" ca="1" si="4"/>
        <v>65156</v>
      </c>
      <c r="AM56" s="15">
        <f t="shared" ca="1" si="5"/>
        <v>6006</v>
      </c>
    </row>
    <row r="57" spans="1:39">
      <c r="A57" s="27"/>
      <c r="B57" t="s">
        <v>74</v>
      </c>
      <c r="C57">
        <f t="shared" ca="1" si="13"/>
        <v>5</v>
      </c>
      <c r="D57">
        <f t="shared" ca="1" si="13"/>
        <v>3</v>
      </c>
      <c r="E57">
        <f t="shared" ca="1" si="13"/>
        <v>3</v>
      </c>
      <c r="F57">
        <f t="shared" ca="1" si="13"/>
        <v>1</v>
      </c>
      <c r="G57">
        <f t="shared" ca="1" si="13"/>
        <v>2</v>
      </c>
      <c r="H57">
        <f t="shared" ca="1" si="13"/>
        <v>9</v>
      </c>
      <c r="I57">
        <f t="shared" ca="1" si="13"/>
        <v>1</v>
      </c>
      <c r="J57">
        <f t="shared" ca="1" si="13"/>
        <v>10</v>
      </c>
      <c r="K57">
        <f t="shared" ca="1" si="13"/>
        <v>10</v>
      </c>
      <c r="L57">
        <f t="shared" ca="1" si="13"/>
        <v>10</v>
      </c>
      <c r="M57">
        <f t="shared" ca="1" si="13"/>
        <v>2</v>
      </c>
      <c r="N57">
        <f t="shared" ca="1" si="13"/>
        <v>9</v>
      </c>
      <c r="O57">
        <f t="shared" ca="1" si="13"/>
        <v>7</v>
      </c>
      <c r="P57">
        <f t="shared" ca="1" si="13"/>
        <v>5</v>
      </c>
      <c r="Q57">
        <f t="shared" ca="1" si="13"/>
        <v>6</v>
      </c>
      <c r="R57">
        <f t="shared" ca="1" si="13"/>
        <v>9</v>
      </c>
      <c r="S57">
        <f t="shared" ca="1" si="12"/>
        <v>5</v>
      </c>
      <c r="T57">
        <f t="shared" ca="1" si="12"/>
        <v>3</v>
      </c>
      <c r="U57">
        <f t="shared" ca="1" si="12"/>
        <v>1</v>
      </c>
      <c r="V57">
        <f t="shared" ca="1" si="12"/>
        <v>9</v>
      </c>
      <c r="W57">
        <f t="shared" ca="1" si="12"/>
        <v>8</v>
      </c>
      <c r="X57">
        <f t="shared" ca="1" si="12"/>
        <v>3</v>
      </c>
      <c r="Y57">
        <f t="shared" ca="1" si="12"/>
        <v>8</v>
      </c>
      <c r="Z57">
        <f t="shared" ca="1" si="12"/>
        <v>3</v>
      </c>
      <c r="AA57">
        <f t="shared" ca="1" si="12"/>
        <v>8</v>
      </c>
      <c r="AB57">
        <f t="shared" ca="1" si="12"/>
        <v>8</v>
      </c>
      <c r="AC57">
        <f t="shared" ca="1" si="12"/>
        <v>3</v>
      </c>
      <c r="AD57">
        <f t="shared" ca="1" si="12"/>
        <v>7</v>
      </c>
      <c r="AE57">
        <f t="shared" ca="1" si="12"/>
        <v>7</v>
      </c>
      <c r="AF57">
        <f t="shared" ca="1" si="12"/>
        <v>8</v>
      </c>
      <c r="AG57">
        <f t="shared" ca="1" si="12"/>
        <v>1</v>
      </c>
      <c r="AH57" s="25">
        <f t="shared" ca="1" si="6"/>
        <v>174</v>
      </c>
      <c r="AI57">
        <v>340</v>
      </c>
      <c r="AJ57">
        <v>380</v>
      </c>
      <c r="AK57">
        <f t="shared" si="3"/>
        <v>40</v>
      </c>
      <c r="AL57" s="15">
        <f t="shared" ca="1" si="4"/>
        <v>66120</v>
      </c>
      <c r="AM57" s="15">
        <f t="shared" ca="1" si="5"/>
        <v>6960</v>
      </c>
    </row>
    <row r="58" spans="1:39">
      <c r="A58" s="27"/>
    </row>
    <row r="59" spans="1:39">
      <c r="A59" s="27"/>
    </row>
    <row r="60" spans="1:39">
      <c r="A60" s="27"/>
    </row>
    <row r="61" spans="1:39">
      <c r="A61" s="27"/>
    </row>
    <row r="62" spans="1:39">
      <c r="A62" s="27"/>
    </row>
    <row r="63" spans="1:39">
      <c r="A63" s="27"/>
    </row>
    <row r="64" spans="1:39">
      <c r="A64" s="27"/>
    </row>
    <row r="65" spans="1:1">
      <c r="A65" s="27"/>
    </row>
    <row r="66" spans="1:1">
      <c r="A66" s="27"/>
    </row>
    <row r="67" spans="1:1">
      <c r="A67" s="27"/>
    </row>
    <row r="68" spans="1:1">
      <c r="A68" s="27"/>
    </row>
    <row r="69" spans="1:1">
      <c r="A69" s="27"/>
    </row>
    <row r="70" spans="1:1">
      <c r="A70" s="27"/>
    </row>
    <row r="71" spans="1:1">
      <c r="A71" s="27"/>
    </row>
    <row r="72" spans="1:1">
      <c r="A72" s="27"/>
    </row>
    <row r="73" spans="1:1">
      <c r="A73" s="27"/>
    </row>
    <row r="74" spans="1:1">
      <c r="A74" s="27"/>
    </row>
    <row r="75" spans="1:1">
      <c r="A75" s="27"/>
    </row>
    <row r="76" spans="1:1">
      <c r="A76" s="27"/>
    </row>
    <row r="77" spans="1:1">
      <c r="A77" s="27"/>
    </row>
    <row r="78" spans="1:1">
      <c r="A78" s="27"/>
    </row>
    <row r="79" spans="1:1">
      <c r="A79" s="27"/>
    </row>
    <row r="80" spans="1:1">
      <c r="A80" s="27"/>
    </row>
    <row r="81" spans="1:1">
      <c r="A81" s="27"/>
    </row>
    <row r="82" spans="1:1">
      <c r="A82" s="27"/>
    </row>
    <row r="83" spans="1:1">
      <c r="A83" s="27"/>
    </row>
    <row r="84" spans="1:1">
      <c r="A84" s="27"/>
    </row>
    <row r="85" spans="1:1">
      <c r="A85" s="27"/>
    </row>
    <row r="86" spans="1:1">
      <c r="A86" s="27"/>
    </row>
    <row r="87" spans="1:1">
      <c r="A87" s="27"/>
    </row>
  </sheetData>
  <mergeCells count="9">
    <mergeCell ref="A1:A29"/>
    <mergeCell ref="A30:A58"/>
    <mergeCell ref="A59:A87"/>
    <mergeCell ref="AM1:AM2"/>
    <mergeCell ref="AH1:AH2"/>
    <mergeCell ref="AI1:AI2"/>
    <mergeCell ref="AJ1:AJ2"/>
    <mergeCell ref="AK1:AK2"/>
    <mergeCell ref="AL1:AL2"/>
  </mergeCells>
  <dataValidations count="2">
    <dataValidation type="list" allowBlank="1" showInputMessage="1" showErrorMessage="1" sqref="AP2" xr:uid="{00000000-0002-0000-0800-000000000000}">
      <formula1>"2020,2021,2022,2023,2024,2025,2026,2027,2028,2029,2030"</formula1>
    </dataValidation>
    <dataValidation type="list" allowBlank="1" showInputMessage="1" showErrorMessage="1" sqref="AP1" xr:uid="{00000000-0002-0000-0800-000001000000}">
      <formula1>"January,February,March,Aprail,May,June,July,August,September,October,November,December"</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AT87"/>
  <sheetViews>
    <sheetView workbookViewId="0">
      <pane xSplit="1" topLeftCell="U1" activePane="topRight" state="frozenSplit"/>
      <selection pane="topRight" activeCell="AP17" sqref="AP17"/>
    </sheetView>
  </sheetViews>
  <sheetFormatPr defaultRowHeight="15"/>
  <cols>
    <col min="1" max="1" width="16.85546875" bestFit="1" customWidth="1"/>
    <col min="2" max="2" width="13.7109375" customWidth="1"/>
    <col min="3" max="3" width="4.28515625" customWidth="1"/>
    <col min="4" max="4" width="3.28515625" customWidth="1"/>
    <col min="5" max="5" width="3.7109375" customWidth="1"/>
    <col min="6" max="6" width="4.28515625" customWidth="1"/>
    <col min="7" max="7" width="5.140625" customWidth="1"/>
    <col min="8" max="8" width="4.28515625" customWidth="1"/>
    <col min="9" max="9" width="5.28515625" customWidth="1"/>
    <col min="10" max="10" width="4.28515625" customWidth="1"/>
    <col min="11" max="11" width="3.28515625" customWidth="1"/>
    <col min="12" max="12" width="3.7109375" customWidth="1"/>
    <col min="13" max="13" width="4.28515625" customWidth="1"/>
    <col min="14" max="14" width="5.140625" customWidth="1"/>
    <col min="15" max="15" width="4.28515625" customWidth="1"/>
    <col min="16" max="16" width="5.28515625" customWidth="1"/>
    <col min="17" max="17" width="4.28515625" customWidth="1"/>
    <col min="18" max="18" width="3.28515625" customWidth="1"/>
    <col min="19" max="19" width="3.7109375" customWidth="1"/>
    <col min="20" max="20" width="4.28515625" customWidth="1"/>
    <col min="21" max="21" width="5.140625" customWidth="1"/>
    <col min="22" max="22" width="4.28515625" customWidth="1"/>
    <col min="23" max="23" width="5.28515625" customWidth="1"/>
    <col min="24" max="24" width="4.28515625" customWidth="1"/>
    <col min="25" max="25" width="3.28515625" customWidth="1"/>
    <col min="26" max="26" width="3.7109375" customWidth="1"/>
    <col min="27" max="27" width="4.28515625" customWidth="1"/>
    <col min="28" max="28" width="5.140625" customWidth="1"/>
    <col min="29" max="29" width="4.28515625" customWidth="1"/>
    <col min="30" max="30" width="5.28515625" customWidth="1"/>
    <col min="31" max="31" width="4.28515625" customWidth="1"/>
    <col min="32" max="32" width="3.28515625" customWidth="1"/>
    <col min="33" max="33" width="3.7109375" customWidth="1"/>
    <col min="34" max="34" width="6.5703125" customWidth="1"/>
    <col min="35" max="35" width="12.42578125" customWidth="1"/>
    <col min="36" max="36" width="10.7109375" customWidth="1"/>
    <col min="38" max="38" width="10" customWidth="1"/>
    <col min="39" max="39" width="10.85546875" customWidth="1"/>
    <col min="41" max="41" width="15.28515625" bestFit="1" customWidth="1"/>
    <col min="42" max="42" width="11.28515625" customWidth="1"/>
    <col min="44" max="44" width="10.28515625" customWidth="1"/>
    <col min="46" max="46" width="10.28515625" customWidth="1"/>
  </cols>
  <sheetData>
    <row r="1" spans="1:42">
      <c r="A1" s="27"/>
      <c r="C1" s="8" t="str">
        <f>TEXT(C2,"DDD")</f>
        <v>Thu</v>
      </c>
      <c r="D1" s="8" t="str">
        <f t="shared" ref="D1:AG1" si="0">TEXT(D2,"DDD")</f>
        <v>Fri</v>
      </c>
      <c r="E1" s="8" t="str">
        <f t="shared" si="0"/>
        <v>Sat</v>
      </c>
      <c r="F1" s="8" t="str">
        <f t="shared" si="0"/>
        <v>Sun</v>
      </c>
      <c r="G1" s="8" t="str">
        <f t="shared" si="0"/>
        <v>Mon</v>
      </c>
      <c r="H1" s="8" t="str">
        <f t="shared" si="0"/>
        <v>Tue</v>
      </c>
      <c r="I1" s="8" t="str">
        <f t="shared" si="0"/>
        <v>Wed</v>
      </c>
      <c r="J1" s="8" t="str">
        <f t="shared" si="0"/>
        <v>Thu</v>
      </c>
      <c r="K1" s="8" t="str">
        <f t="shared" si="0"/>
        <v>Fri</v>
      </c>
      <c r="L1" s="8" t="str">
        <f t="shared" si="0"/>
        <v>Sat</v>
      </c>
      <c r="M1" s="8" t="str">
        <f t="shared" si="0"/>
        <v>Sun</v>
      </c>
      <c r="N1" s="8" t="str">
        <f t="shared" si="0"/>
        <v>Mon</v>
      </c>
      <c r="O1" s="8" t="str">
        <f t="shared" si="0"/>
        <v>Tue</v>
      </c>
      <c r="P1" s="8" t="str">
        <f t="shared" si="0"/>
        <v>Wed</v>
      </c>
      <c r="Q1" s="8" t="str">
        <f t="shared" si="0"/>
        <v>Thu</v>
      </c>
      <c r="R1" s="8" t="str">
        <f t="shared" si="0"/>
        <v>Fri</v>
      </c>
      <c r="S1" s="8" t="str">
        <f t="shared" si="0"/>
        <v>Sat</v>
      </c>
      <c r="T1" s="8" t="str">
        <f t="shared" si="0"/>
        <v>Sun</v>
      </c>
      <c r="U1" s="8" t="str">
        <f t="shared" si="0"/>
        <v>Mon</v>
      </c>
      <c r="V1" s="8" t="str">
        <f t="shared" si="0"/>
        <v>Tue</v>
      </c>
      <c r="W1" s="8" t="str">
        <f t="shared" si="0"/>
        <v>Wed</v>
      </c>
      <c r="X1" s="8" t="str">
        <f t="shared" si="0"/>
        <v>Thu</v>
      </c>
      <c r="Y1" s="8" t="str">
        <f t="shared" si="0"/>
        <v>Fri</v>
      </c>
      <c r="Z1" s="8" t="str">
        <f t="shared" si="0"/>
        <v>Sat</v>
      </c>
      <c r="AA1" s="8" t="str">
        <f t="shared" si="0"/>
        <v>Sun</v>
      </c>
      <c r="AB1" s="8" t="str">
        <f t="shared" si="0"/>
        <v>Mon</v>
      </c>
      <c r="AC1" s="8" t="str">
        <f t="shared" si="0"/>
        <v>Tue</v>
      </c>
      <c r="AD1" s="8" t="str">
        <f t="shared" si="0"/>
        <v>Wed</v>
      </c>
      <c r="AE1" s="8" t="str">
        <f t="shared" si="0"/>
        <v>Thu</v>
      </c>
      <c r="AF1" s="8" t="str">
        <f t="shared" si="0"/>
        <v>Fri</v>
      </c>
      <c r="AG1" s="8" t="str">
        <f t="shared" si="0"/>
        <v>Sat</v>
      </c>
      <c r="AH1" s="28" t="s">
        <v>75</v>
      </c>
      <c r="AI1" s="28" t="s">
        <v>76</v>
      </c>
      <c r="AJ1" s="30" t="s">
        <v>77</v>
      </c>
      <c r="AK1" s="28" t="s">
        <v>78</v>
      </c>
      <c r="AL1" s="29" t="s">
        <v>79</v>
      </c>
      <c r="AM1" s="29" t="s">
        <v>80</v>
      </c>
      <c r="AO1" s="5" t="s">
        <v>81</v>
      </c>
      <c r="AP1" s="10" t="s">
        <v>101</v>
      </c>
    </row>
    <row r="2" spans="1:42">
      <c r="A2" s="27"/>
      <c r="B2" s="1" t="s">
        <v>0</v>
      </c>
      <c r="C2" s="9">
        <f>IF(COLUMNS($C$2:C2)&gt;DAY($AP$4),"",$AP$3+COLUMNS($C$2:C2)-1)</f>
        <v>45505</v>
      </c>
      <c r="D2" s="9">
        <f>IF(COLUMNS($C$2:D2)&gt;DAY($AP$4),"",$AP$3+COLUMNS($C$2:D2)-1)</f>
        <v>45506</v>
      </c>
      <c r="E2" s="9">
        <f>IF(COLUMNS($C$2:E2)&gt;DAY($AP$4),"",$AP$3+COLUMNS($C$2:E2)-1)</f>
        <v>45507</v>
      </c>
      <c r="F2" s="9">
        <f>IF(COLUMNS($C$2:F2)&gt;DAY($AP$4),"",$AP$3+COLUMNS($C$2:F2)-1)</f>
        <v>45508</v>
      </c>
      <c r="G2" s="9">
        <f>IF(COLUMNS($C$2:G2)&gt;DAY($AP$4),"",$AP$3+COLUMNS($C$2:G2)-1)</f>
        <v>45509</v>
      </c>
      <c r="H2" s="9">
        <f>IF(COLUMNS($C$2:H2)&gt;DAY($AP$4),"",$AP$3+COLUMNS($C$2:H2)-1)</f>
        <v>45510</v>
      </c>
      <c r="I2" s="9">
        <f>IF(COLUMNS($C$2:I2)&gt;DAY($AP$4),"",$AP$3+COLUMNS($C$2:I2)-1)</f>
        <v>45511</v>
      </c>
      <c r="J2" s="9">
        <f>IF(COLUMNS($C$2:J2)&gt;DAY($AP$4),"",$AP$3+COLUMNS($C$2:J2)-1)</f>
        <v>45512</v>
      </c>
      <c r="K2" s="9">
        <f>IF(COLUMNS($C$2:K2)&gt;DAY($AP$4),"",$AP$3+COLUMNS($C$2:K2)-1)</f>
        <v>45513</v>
      </c>
      <c r="L2" s="9">
        <f>IF(COLUMNS($C$2:L2)&gt;DAY($AP$4),"",$AP$3+COLUMNS($C$2:L2)-1)</f>
        <v>45514</v>
      </c>
      <c r="M2" s="9">
        <f>IF(COLUMNS($C$2:M2)&gt;DAY($AP$4),"",$AP$3+COLUMNS($C$2:M2)-1)</f>
        <v>45515</v>
      </c>
      <c r="N2" s="9">
        <f>IF(COLUMNS($C$2:N2)&gt;DAY($AP$4),"",$AP$3+COLUMNS($C$2:N2)-1)</f>
        <v>45516</v>
      </c>
      <c r="O2" s="9">
        <f>IF(COLUMNS($C$2:O2)&gt;DAY($AP$4),"",$AP$3+COLUMNS($C$2:O2)-1)</f>
        <v>45517</v>
      </c>
      <c r="P2" s="9">
        <f>IF(COLUMNS($C$2:P2)&gt;DAY($AP$4),"",$AP$3+COLUMNS($C$2:P2)-1)</f>
        <v>45518</v>
      </c>
      <c r="Q2" s="9">
        <f>IF(COLUMNS($C$2:Q2)&gt;DAY($AP$4),"",$AP$3+COLUMNS($C$2:Q2)-1)</f>
        <v>45519</v>
      </c>
      <c r="R2" s="9">
        <f>IF(COLUMNS($C$2:R2)&gt;DAY($AP$4),"",$AP$3+COLUMNS($C$2:R2)-1)</f>
        <v>45520</v>
      </c>
      <c r="S2" s="9">
        <f>IF(COLUMNS($C$2:S2)&gt;DAY($AP$4),"",$AP$3+COLUMNS($C$2:S2)-1)</f>
        <v>45521</v>
      </c>
      <c r="T2" s="9">
        <f>IF(COLUMNS($C$2:T2)&gt;DAY($AP$4),"",$AP$3+COLUMNS($C$2:T2)-1)</f>
        <v>45522</v>
      </c>
      <c r="U2" s="9">
        <f>IF(COLUMNS($C$2:U2)&gt;DAY($AP$4),"",$AP$3+COLUMNS($C$2:U2)-1)</f>
        <v>45523</v>
      </c>
      <c r="V2" s="9">
        <f>IF(COLUMNS($C$2:V2)&gt;DAY($AP$4),"",$AP$3+COLUMNS($C$2:V2)-1)</f>
        <v>45524</v>
      </c>
      <c r="W2" s="9">
        <f>IF(COLUMNS($C$2:W2)&gt;DAY($AP$4),"",$AP$3+COLUMNS($C$2:W2)-1)</f>
        <v>45525</v>
      </c>
      <c r="X2" s="9">
        <f>IF(COLUMNS($C$2:X2)&gt;DAY($AP$4),"",$AP$3+COLUMNS($C$2:X2)-1)</f>
        <v>45526</v>
      </c>
      <c r="Y2" s="9">
        <f>IF(COLUMNS($C$2:Y2)&gt;DAY($AP$4),"",$AP$3+COLUMNS($C$2:Y2)-1)</f>
        <v>45527</v>
      </c>
      <c r="Z2" s="9">
        <f>IF(COLUMNS($C$2:Z2)&gt;DAY($AP$4),"",$AP$3+COLUMNS($C$2:Z2)-1)</f>
        <v>45528</v>
      </c>
      <c r="AA2" s="9">
        <f>IF(COLUMNS($C$2:AA2)&gt;DAY($AP$4),"",$AP$3+COLUMNS($C$2:AA2)-1)</f>
        <v>45529</v>
      </c>
      <c r="AB2" s="9">
        <f>IF(COLUMNS($C$2:AB2)&gt;DAY($AP$4),"",$AP$3+COLUMNS($C$2:AB2)-1)</f>
        <v>45530</v>
      </c>
      <c r="AC2" s="9">
        <f>IF(COLUMNS($C$2:AC2)&gt;DAY($AP$4),"",$AP$3+COLUMNS($C$2:AC2)-1)</f>
        <v>45531</v>
      </c>
      <c r="AD2" s="9">
        <f>IF(COLUMNS($C$2:AD2)&gt;DAY($AP$4),"",$AP$3+COLUMNS($C$2:AD2)-1)</f>
        <v>45532</v>
      </c>
      <c r="AE2" s="9">
        <f>IF(COLUMNS($C$2:AE2)&gt;DAY($AP$4),"",$AP$3+COLUMNS($C$2:AE2)-1)</f>
        <v>45533</v>
      </c>
      <c r="AF2" s="9">
        <f>IF(COLUMNS($C$2:AF2)&gt;DAY($AP$4),"",$AP$3+COLUMNS($C$2:AF2)-1)</f>
        <v>45534</v>
      </c>
      <c r="AG2" s="9">
        <f>IF(COLUMNS($C$2:AG2)&gt;DAY($AP$4),"",$AP$3+COLUMNS($C$2:AG2)-1)</f>
        <v>45535</v>
      </c>
      <c r="AH2" s="28"/>
      <c r="AI2" s="28"/>
      <c r="AJ2" s="30"/>
      <c r="AK2" s="28"/>
      <c r="AL2" s="29"/>
      <c r="AM2" s="29"/>
      <c r="AO2" s="6" t="s">
        <v>83</v>
      </c>
      <c r="AP2" s="11">
        <v>2024</v>
      </c>
    </row>
    <row r="3" spans="1:42">
      <c r="A3" s="27"/>
      <c r="B3" t="s">
        <v>18</v>
      </c>
      <c r="C3">
        <v>8</v>
      </c>
      <c r="D3">
        <v>8</v>
      </c>
      <c r="E3">
        <v>4</v>
      </c>
      <c r="F3">
        <v>6</v>
      </c>
      <c r="G3">
        <v>10</v>
      </c>
      <c r="H3">
        <v>4</v>
      </c>
      <c r="I3">
        <v>8</v>
      </c>
      <c r="J3">
        <v>3</v>
      </c>
      <c r="K3">
        <v>8</v>
      </c>
      <c r="L3">
        <v>5</v>
      </c>
      <c r="M3">
        <v>8</v>
      </c>
      <c r="N3">
        <v>2</v>
      </c>
      <c r="O3">
        <v>9</v>
      </c>
      <c r="P3">
        <v>4</v>
      </c>
      <c r="Q3">
        <v>6</v>
      </c>
      <c r="R3">
        <v>2</v>
      </c>
      <c r="S3">
        <v>7</v>
      </c>
      <c r="T3">
        <v>5</v>
      </c>
      <c r="U3">
        <v>6</v>
      </c>
      <c r="V3">
        <v>1</v>
      </c>
      <c r="W3">
        <v>3</v>
      </c>
      <c r="X3">
        <v>10</v>
      </c>
      <c r="Y3">
        <v>6</v>
      </c>
      <c r="Z3">
        <v>2</v>
      </c>
      <c r="AA3">
        <v>4</v>
      </c>
      <c r="AB3">
        <v>4</v>
      </c>
      <c r="AC3">
        <v>3</v>
      </c>
      <c r="AD3">
        <v>2</v>
      </c>
      <c r="AE3">
        <v>1</v>
      </c>
      <c r="AF3">
        <v>6</v>
      </c>
      <c r="AG3">
        <v>5</v>
      </c>
      <c r="AH3" s="25">
        <f>IF(SUM($C3:$AG3)&gt;0,SUM($C3:$AG3),"")</f>
        <v>160</v>
      </c>
      <c r="AI3">
        <v>40</v>
      </c>
      <c r="AJ3">
        <v>80</v>
      </c>
      <c r="AK3">
        <f>AJ3-AI3</f>
        <v>40</v>
      </c>
      <c r="AL3" s="15">
        <f>AJ3*AH3</f>
        <v>12800</v>
      </c>
      <c r="AM3" s="15">
        <f>AK3*AH3</f>
        <v>6400</v>
      </c>
      <c r="AO3" s="7" t="s">
        <v>84</v>
      </c>
      <c r="AP3" s="4">
        <f>DATE(AP2,MONTH(AP1&amp;1),1)</f>
        <v>45505</v>
      </c>
    </row>
    <row r="4" spans="1:42">
      <c r="A4" s="27"/>
      <c r="B4" t="s">
        <v>20</v>
      </c>
      <c r="C4">
        <v>2</v>
      </c>
      <c r="D4">
        <v>9</v>
      </c>
      <c r="E4">
        <v>2</v>
      </c>
      <c r="F4">
        <v>7</v>
      </c>
      <c r="G4">
        <v>4</v>
      </c>
      <c r="H4">
        <v>8</v>
      </c>
      <c r="I4">
        <v>10</v>
      </c>
      <c r="J4">
        <v>6</v>
      </c>
      <c r="K4">
        <v>6</v>
      </c>
      <c r="L4">
        <v>5</v>
      </c>
      <c r="M4">
        <v>3</v>
      </c>
      <c r="N4">
        <v>1</v>
      </c>
      <c r="O4">
        <v>2</v>
      </c>
      <c r="P4">
        <v>6</v>
      </c>
      <c r="Q4">
        <v>5</v>
      </c>
      <c r="R4">
        <v>3</v>
      </c>
      <c r="S4">
        <v>1</v>
      </c>
      <c r="T4">
        <v>6</v>
      </c>
      <c r="U4">
        <v>4</v>
      </c>
      <c r="V4">
        <v>1</v>
      </c>
      <c r="W4">
        <v>9</v>
      </c>
      <c r="X4">
        <v>1</v>
      </c>
      <c r="Y4">
        <v>3</v>
      </c>
      <c r="Z4">
        <v>7</v>
      </c>
      <c r="AA4">
        <v>2</v>
      </c>
      <c r="AB4">
        <v>1</v>
      </c>
      <c r="AC4">
        <v>9</v>
      </c>
      <c r="AD4">
        <v>10</v>
      </c>
      <c r="AE4">
        <v>8</v>
      </c>
      <c r="AF4">
        <v>9</v>
      </c>
      <c r="AG4">
        <v>7</v>
      </c>
      <c r="AH4" s="25">
        <f>IF(SUM($C4:$AG4)&gt;0,SUM($C4:$AG4),"")</f>
        <v>157</v>
      </c>
      <c r="AI4">
        <v>7</v>
      </c>
      <c r="AJ4">
        <v>15</v>
      </c>
      <c r="AK4">
        <f t="shared" ref="AK4:AK57" si="1">AJ4-AI4</f>
        <v>8</v>
      </c>
      <c r="AL4" s="15">
        <f t="shared" ref="AL4:AL57" si="2">AJ4*AH4</f>
        <v>2355</v>
      </c>
      <c r="AM4" s="15">
        <f t="shared" ref="AM4:AM57" si="3">AK4*AH4</f>
        <v>1256</v>
      </c>
      <c r="AO4" s="7" t="s">
        <v>85</v>
      </c>
      <c r="AP4" s="4">
        <f>EOMONTH(AP3,0)</f>
        <v>45535</v>
      </c>
    </row>
    <row r="5" spans="1:42">
      <c r="A5" s="27"/>
      <c r="B5" t="s">
        <v>21</v>
      </c>
      <c r="C5">
        <v>1</v>
      </c>
      <c r="D5">
        <v>3</v>
      </c>
      <c r="E5">
        <v>8</v>
      </c>
      <c r="F5">
        <v>1</v>
      </c>
      <c r="G5">
        <v>6</v>
      </c>
      <c r="H5">
        <v>5</v>
      </c>
      <c r="I5">
        <v>10</v>
      </c>
      <c r="J5">
        <v>5</v>
      </c>
      <c r="K5">
        <v>7</v>
      </c>
      <c r="L5">
        <v>1</v>
      </c>
      <c r="M5">
        <v>3</v>
      </c>
      <c r="N5">
        <v>2</v>
      </c>
      <c r="O5">
        <v>7</v>
      </c>
      <c r="P5">
        <v>5</v>
      </c>
      <c r="Q5">
        <v>8</v>
      </c>
      <c r="R5">
        <v>9</v>
      </c>
      <c r="S5">
        <v>9</v>
      </c>
      <c r="T5">
        <v>8</v>
      </c>
      <c r="U5">
        <v>9</v>
      </c>
      <c r="V5">
        <v>4</v>
      </c>
      <c r="W5">
        <v>6</v>
      </c>
      <c r="X5">
        <v>7</v>
      </c>
      <c r="Y5">
        <v>9</v>
      </c>
      <c r="Z5">
        <v>4</v>
      </c>
      <c r="AA5">
        <v>3</v>
      </c>
      <c r="AB5">
        <v>10</v>
      </c>
      <c r="AC5">
        <v>8</v>
      </c>
      <c r="AD5">
        <v>6</v>
      </c>
      <c r="AE5">
        <v>1</v>
      </c>
      <c r="AF5">
        <v>6</v>
      </c>
      <c r="AG5">
        <v>7</v>
      </c>
      <c r="AH5" s="25">
        <f t="shared" ref="AH5:AH57" si="4">IF(SUM($C5:$AG5)&gt;0,SUM($C5:$AG5),"")</f>
        <v>178</v>
      </c>
      <c r="AI5">
        <v>5</v>
      </c>
      <c r="AJ5">
        <v>10</v>
      </c>
      <c r="AK5">
        <f t="shared" si="1"/>
        <v>5</v>
      </c>
      <c r="AL5" s="15">
        <f t="shared" si="2"/>
        <v>1780</v>
      </c>
      <c r="AM5" s="15">
        <f t="shared" si="3"/>
        <v>890</v>
      </c>
    </row>
    <row r="6" spans="1:42">
      <c r="A6" s="27"/>
      <c r="B6" t="s">
        <v>23</v>
      </c>
      <c r="C6">
        <v>7</v>
      </c>
      <c r="D6">
        <v>7</v>
      </c>
      <c r="E6">
        <v>8</v>
      </c>
      <c r="F6">
        <v>8</v>
      </c>
      <c r="G6">
        <v>9</v>
      </c>
      <c r="H6">
        <v>4</v>
      </c>
      <c r="I6">
        <v>4</v>
      </c>
      <c r="J6">
        <v>4</v>
      </c>
      <c r="K6">
        <v>5</v>
      </c>
      <c r="L6">
        <v>3</v>
      </c>
      <c r="M6">
        <v>9</v>
      </c>
      <c r="N6">
        <v>9</v>
      </c>
      <c r="O6">
        <v>5</v>
      </c>
      <c r="P6">
        <v>10</v>
      </c>
      <c r="Q6">
        <v>7</v>
      </c>
      <c r="R6">
        <v>5</v>
      </c>
      <c r="S6">
        <v>5</v>
      </c>
      <c r="T6">
        <v>1</v>
      </c>
      <c r="U6">
        <v>8</v>
      </c>
      <c r="V6">
        <v>6</v>
      </c>
      <c r="W6">
        <v>1</v>
      </c>
      <c r="X6">
        <v>5</v>
      </c>
      <c r="Y6">
        <v>4</v>
      </c>
      <c r="Z6">
        <v>6</v>
      </c>
      <c r="AA6">
        <v>10</v>
      </c>
      <c r="AB6">
        <v>7</v>
      </c>
      <c r="AC6">
        <v>6</v>
      </c>
      <c r="AD6">
        <v>1</v>
      </c>
      <c r="AE6">
        <v>7</v>
      </c>
      <c r="AF6">
        <v>6</v>
      </c>
      <c r="AG6">
        <v>9</v>
      </c>
      <c r="AH6" s="25">
        <f t="shared" si="4"/>
        <v>186</v>
      </c>
      <c r="AI6">
        <v>45</v>
      </c>
      <c r="AJ6">
        <v>80</v>
      </c>
      <c r="AK6">
        <f t="shared" si="1"/>
        <v>35</v>
      </c>
      <c r="AL6" s="15">
        <f t="shared" si="2"/>
        <v>14880</v>
      </c>
      <c r="AM6" s="15">
        <f t="shared" si="3"/>
        <v>6510</v>
      </c>
    </row>
    <row r="7" spans="1:42">
      <c r="A7" s="27"/>
      <c r="B7" t="s">
        <v>24</v>
      </c>
      <c r="C7">
        <v>2</v>
      </c>
      <c r="D7">
        <v>2</v>
      </c>
      <c r="E7">
        <v>8</v>
      </c>
      <c r="F7">
        <v>8</v>
      </c>
      <c r="G7">
        <v>8</v>
      </c>
      <c r="H7">
        <v>6</v>
      </c>
      <c r="I7">
        <v>7</v>
      </c>
      <c r="J7">
        <v>6</v>
      </c>
      <c r="K7">
        <v>2</v>
      </c>
      <c r="L7">
        <v>1</v>
      </c>
      <c r="M7">
        <v>2</v>
      </c>
      <c r="N7">
        <v>1</v>
      </c>
      <c r="O7">
        <v>7</v>
      </c>
      <c r="P7">
        <v>2</v>
      </c>
      <c r="Q7">
        <v>2</v>
      </c>
      <c r="R7">
        <v>2</v>
      </c>
      <c r="S7">
        <v>4</v>
      </c>
      <c r="T7">
        <v>7</v>
      </c>
      <c r="U7">
        <v>3</v>
      </c>
      <c r="V7">
        <v>3</v>
      </c>
      <c r="W7">
        <v>4</v>
      </c>
      <c r="X7">
        <v>1</v>
      </c>
      <c r="Y7">
        <v>7</v>
      </c>
      <c r="Z7">
        <v>6</v>
      </c>
      <c r="AA7">
        <v>9</v>
      </c>
      <c r="AB7">
        <v>10</v>
      </c>
      <c r="AC7">
        <v>3</v>
      </c>
      <c r="AD7">
        <v>3</v>
      </c>
      <c r="AE7">
        <v>7</v>
      </c>
      <c r="AF7">
        <v>9</v>
      </c>
      <c r="AG7">
        <v>3</v>
      </c>
      <c r="AH7" s="25">
        <f t="shared" si="4"/>
        <v>145</v>
      </c>
      <c r="AI7">
        <v>392</v>
      </c>
      <c r="AJ7">
        <v>420</v>
      </c>
      <c r="AK7">
        <f t="shared" si="1"/>
        <v>28</v>
      </c>
      <c r="AL7" s="15">
        <f t="shared" si="2"/>
        <v>60900</v>
      </c>
      <c r="AM7" s="15">
        <f t="shared" si="3"/>
        <v>4060</v>
      </c>
      <c r="AO7" s="1" t="s">
        <v>86</v>
      </c>
    </row>
    <row r="8" spans="1:42">
      <c r="A8" s="27"/>
      <c r="B8" t="s">
        <v>25</v>
      </c>
      <c r="C8">
        <v>4</v>
      </c>
      <c r="D8">
        <v>7</v>
      </c>
      <c r="E8">
        <v>5</v>
      </c>
      <c r="F8">
        <v>8</v>
      </c>
      <c r="G8">
        <v>2</v>
      </c>
      <c r="H8">
        <v>2</v>
      </c>
      <c r="I8">
        <v>1</v>
      </c>
      <c r="J8">
        <v>9</v>
      </c>
      <c r="K8">
        <v>6</v>
      </c>
      <c r="L8">
        <v>1</v>
      </c>
      <c r="M8">
        <v>3</v>
      </c>
      <c r="N8">
        <v>7</v>
      </c>
      <c r="O8">
        <v>4</v>
      </c>
      <c r="P8">
        <v>3</v>
      </c>
      <c r="Q8">
        <v>10</v>
      </c>
      <c r="R8">
        <v>6</v>
      </c>
      <c r="S8">
        <v>5</v>
      </c>
      <c r="T8">
        <v>2</v>
      </c>
      <c r="U8">
        <v>9</v>
      </c>
      <c r="V8">
        <v>1</v>
      </c>
      <c r="W8">
        <v>8</v>
      </c>
      <c r="X8">
        <v>5</v>
      </c>
      <c r="Y8">
        <v>5</v>
      </c>
      <c r="Z8">
        <v>1</v>
      </c>
      <c r="AA8">
        <v>9</v>
      </c>
      <c r="AB8">
        <v>8</v>
      </c>
      <c r="AC8">
        <v>7</v>
      </c>
      <c r="AD8">
        <v>7</v>
      </c>
      <c r="AE8">
        <v>10</v>
      </c>
      <c r="AF8">
        <v>5</v>
      </c>
      <c r="AG8">
        <v>4</v>
      </c>
      <c r="AH8" s="25">
        <f t="shared" si="4"/>
        <v>164</v>
      </c>
      <c r="AI8">
        <v>86</v>
      </c>
      <c r="AJ8">
        <v>100</v>
      </c>
      <c r="AK8">
        <f t="shared" si="1"/>
        <v>14</v>
      </c>
      <c r="AL8" s="15">
        <f t="shared" si="2"/>
        <v>16400</v>
      </c>
      <c r="AM8" s="15">
        <f t="shared" si="3"/>
        <v>2296</v>
      </c>
      <c r="AO8" t="s">
        <v>87</v>
      </c>
    </row>
    <row r="9" spans="1:42">
      <c r="A9" s="27"/>
      <c r="B9" t="s">
        <v>26</v>
      </c>
      <c r="C9">
        <v>10</v>
      </c>
      <c r="D9">
        <v>2</v>
      </c>
      <c r="E9">
        <v>2</v>
      </c>
      <c r="F9">
        <v>7</v>
      </c>
      <c r="G9">
        <v>9</v>
      </c>
      <c r="H9">
        <v>8</v>
      </c>
      <c r="I9">
        <v>5</v>
      </c>
      <c r="J9">
        <v>1</v>
      </c>
      <c r="K9">
        <v>7</v>
      </c>
      <c r="L9">
        <v>10</v>
      </c>
      <c r="M9">
        <v>8</v>
      </c>
      <c r="N9">
        <v>2</v>
      </c>
      <c r="O9">
        <v>3</v>
      </c>
      <c r="P9">
        <v>8</v>
      </c>
      <c r="Q9">
        <v>5</v>
      </c>
      <c r="R9">
        <v>4</v>
      </c>
      <c r="S9">
        <v>8</v>
      </c>
      <c r="T9">
        <v>3</v>
      </c>
      <c r="U9">
        <v>4</v>
      </c>
      <c r="V9">
        <v>1</v>
      </c>
      <c r="W9">
        <v>9</v>
      </c>
      <c r="X9">
        <v>8</v>
      </c>
      <c r="Y9">
        <v>4</v>
      </c>
      <c r="Z9">
        <v>10</v>
      </c>
      <c r="AA9">
        <v>10</v>
      </c>
      <c r="AB9">
        <v>5</v>
      </c>
      <c r="AC9">
        <v>9</v>
      </c>
      <c r="AD9">
        <v>4</v>
      </c>
      <c r="AE9">
        <v>4</v>
      </c>
      <c r="AF9">
        <v>3</v>
      </c>
      <c r="AG9">
        <v>7</v>
      </c>
      <c r="AH9" s="25">
        <f t="shared" si="4"/>
        <v>180</v>
      </c>
      <c r="AI9">
        <v>271</v>
      </c>
      <c r="AJ9">
        <v>300</v>
      </c>
      <c r="AK9">
        <f t="shared" si="1"/>
        <v>29</v>
      </c>
      <c r="AL9" s="15">
        <f t="shared" si="2"/>
        <v>54000</v>
      </c>
      <c r="AM9" s="15">
        <f t="shared" si="3"/>
        <v>5220</v>
      </c>
      <c r="AO9" t="s">
        <v>88</v>
      </c>
      <c r="AP9" s="13">
        <f>'Attendence (Aug)'!AL3</f>
        <v>50000</v>
      </c>
    </row>
    <row r="10" spans="1:42">
      <c r="A10" s="27"/>
      <c r="B10" t="s">
        <v>27</v>
      </c>
      <c r="C10">
        <v>10</v>
      </c>
      <c r="D10">
        <v>7</v>
      </c>
      <c r="E10">
        <v>8</v>
      </c>
      <c r="F10">
        <v>2</v>
      </c>
      <c r="G10">
        <v>2</v>
      </c>
      <c r="H10">
        <v>6</v>
      </c>
      <c r="I10">
        <v>4</v>
      </c>
      <c r="J10">
        <v>1</v>
      </c>
      <c r="K10">
        <v>5</v>
      </c>
      <c r="L10">
        <v>6</v>
      </c>
      <c r="M10">
        <v>1</v>
      </c>
      <c r="N10">
        <v>2</v>
      </c>
      <c r="O10">
        <v>8</v>
      </c>
      <c r="P10">
        <v>8</v>
      </c>
      <c r="Q10">
        <v>2</v>
      </c>
      <c r="R10">
        <v>6</v>
      </c>
      <c r="S10">
        <v>2</v>
      </c>
      <c r="T10">
        <v>9</v>
      </c>
      <c r="U10">
        <v>9</v>
      </c>
      <c r="V10">
        <v>5</v>
      </c>
      <c r="W10">
        <v>2</v>
      </c>
      <c r="X10">
        <v>3</v>
      </c>
      <c r="Y10">
        <v>10</v>
      </c>
      <c r="Z10">
        <v>6</v>
      </c>
      <c r="AA10">
        <v>2</v>
      </c>
      <c r="AB10">
        <v>2</v>
      </c>
      <c r="AC10">
        <v>10</v>
      </c>
      <c r="AD10">
        <v>3</v>
      </c>
      <c r="AE10">
        <v>4</v>
      </c>
      <c r="AF10">
        <v>4</v>
      </c>
      <c r="AG10">
        <v>4</v>
      </c>
      <c r="AH10" s="25">
        <f t="shared" si="4"/>
        <v>153</v>
      </c>
      <c r="AI10">
        <v>226</v>
      </c>
      <c r="AJ10">
        <v>250</v>
      </c>
      <c r="AK10">
        <f t="shared" si="1"/>
        <v>24</v>
      </c>
      <c r="AL10" s="15">
        <f t="shared" si="2"/>
        <v>38250</v>
      </c>
      <c r="AM10" s="15">
        <f t="shared" si="3"/>
        <v>3672</v>
      </c>
      <c r="AO10" t="s">
        <v>89</v>
      </c>
      <c r="AP10" s="13">
        <f>'Attendence (Aug)'!AL4</f>
        <v>15000</v>
      </c>
    </row>
    <row r="11" spans="1:42">
      <c r="A11" s="27"/>
      <c r="B11" t="s">
        <v>28</v>
      </c>
      <c r="C11">
        <v>5</v>
      </c>
      <c r="D11">
        <v>6</v>
      </c>
      <c r="E11">
        <v>5</v>
      </c>
      <c r="F11">
        <v>5</v>
      </c>
      <c r="G11">
        <v>7</v>
      </c>
      <c r="H11">
        <v>8</v>
      </c>
      <c r="I11">
        <v>3</v>
      </c>
      <c r="J11">
        <v>10</v>
      </c>
      <c r="K11">
        <v>3</v>
      </c>
      <c r="L11">
        <v>10</v>
      </c>
      <c r="M11">
        <v>4</v>
      </c>
      <c r="N11">
        <v>8</v>
      </c>
      <c r="O11">
        <v>7</v>
      </c>
      <c r="P11">
        <v>1</v>
      </c>
      <c r="Q11">
        <v>6</v>
      </c>
      <c r="R11">
        <v>2</v>
      </c>
      <c r="S11">
        <v>1</v>
      </c>
      <c r="T11">
        <v>9</v>
      </c>
      <c r="U11">
        <v>2</v>
      </c>
      <c r="V11">
        <v>7</v>
      </c>
      <c r="W11">
        <v>5</v>
      </c>
      <c r="X11">
        <v>8</v>
      </c>
      <c r="Y11">
        <v>2</v>
      </c>
      <c r="Z11">
        <v>6</v>
      </c>
      <c r="AA11">
        <v>3</v>
      </c>
      <c r="AB11">
        <v>1</v>
      </c>
      <c r="AC11">
        <v>8</v>
      </c>
      <c r="AD11">
        <v>1</v>
      </c>
      <c r="AE11">
        <v>10</v>
      </c>
      <c r="AF11">
        <v>9</v>
      </c>
      <c r="AG11">
        <v>4</v>
      </c>
      <c r="AH11" s="25">
        <f t="shared" si="4"/>
        <v>166</v>
      </c>
      <c r="AI11">
        <v>390</v>
      </c>
      <c r="AJ11">
        <v>450</v>
      </c>
      <c r="AK11">
        <f t="shared" si="1"/>
        <v>60</v>
      </c>
      <c r="AL11" s="15">
        <f t="shared" si="2"/>
        <v>74700</v>
      </c>
      <c r="AM11" s="15">
        <f t="shared" si="3"/>
        <v>9960</v>
      </c>
      <c r="AO11" t="s">
        <v>90</v>
      </c>
      <c r="AP11" s="13">
        <f>'Attendence (Aug)'!AL5</f>
        <v>18000</v>
      </c>
    </row>
    <row r="12" spans="1:42">
      <c r="A12" s="27"/>
      <c r="B12" t="s">
        <v>29</v>
      </c>
      <c r="C12">
        <v>5</v>
      </c>
      <c r="D12">
        <v>9</v>
      </c>
      <c r="E12">
        <v>1</v>
      </c>
      <c r="F12">
        <v>6</v>
      </c>
      <c r="G12">
        <v>10</v>
      </c>
      <c r="H12">
        <v>4</v>
      </c>
      <c r="I12">
        <v>6</v>
      </c>
      <c r="J12">
        <v>3</v>
      </c>
      <c r="K12">
        <v>6</v>
      </c>
      <c r="L12">
        <v>2</v>
      </c>
      <c r="M12">
        <v>5</v>
      </c>
      <c r="N12">
        <v>5</v>
      </c>
      <c r="O12">
        <v>3</v>
      </c>
      <c r="P12">
        <v>8</v>
      </c>
      <c r="Q12">
        <v>1</v>
      </c>
      <c r="R12">
        <v>2</v>
      </c>
      <c r="S12">
        <v>4</v>
      </c>
      <c r="T12">
        <v>8</v>
      </c>
      <c r="U12">
        <v>2</v>
      </c>
      <c r="V12">
        <v>5</v>
      </c>
      <c r="W12">
        <v>8</v>
      </c>
      <c r="X12">
        <v>4</v>
      </c>
      <c r="Y12">
        <v>8</v>
      </c>
      <c r="Z12">
        <v>8</v>
      </c>
      <c r="AA12">
        <v>5</v>
      </c>
      <c r="AB12">
        <v>2</v>
      </c>
      <c r="AC12">
        <v>8</v>
      </c>
      <c r="AD12">
        <v>1</v>
      </c>
      <c r="AE12">
        <v>7</v>
      </c>
      <c r="AF12">
        <v>3</v>
      </c>
      <c r="AG12">
        <v>2</v>
      </c>
      <c r="AH12" s="25">
        <f t="shared" si="4"/>
        <v>151</v>
      </c>
      <c r="AI12">
        <v>379</v>
      </c>
      <c r="AJ12">
        <v>430</v>
      </c>
      <c r="AK12">
        <f t="shared" si="1"/>
        <v>51</v>
      </c>
      <c r="AL12" s="15">
        <f t="shared" si="2"/>
        <v>64930</v>
      </c>
      <c r="AM12" s="15">
        <f t="shared" si="3"/>
        <v>7701</v>
      </c>
      <c r="AO12" t="s">
        <v>91</v>
      </c>
      <c r="AP12" s="13">
        <f>-'Attendence (Aug)'!AL6</f>
        <v>-9666.6666666666661</v>
      </c>
    </row>
    <row r="13" spans="1:42">
      <c r="A13" s="27"/>
      <c r="B13" t="s">
        <v>30</v>
      </c>
      <c r="C13">
        <v>3</v>
      </c>
      <c r="D13">
        <v>9</v>
      </c>
      <c r="E13">
        <v>2</v>
      </c>
      <c r="F13">
        <v>8</v>
      </c>
      <c r="G13">
        <v>3</v>
      </c>
      <c r="H13">
        <v>3</v>
      </c>
      <c r="I13">
        <v>3</v>
      </c>
      <c r="J13">
        <v>5</v>
      </c>
      <c r="K13">
        <v>1</v>
      </c>
      <c r="L13">
        <v>5</v>
      </c>
      <c r="M13">
        <v>3</v>
      </c>
      <c r="N13">
        <v>6</v>
      </c>
      <c r="O13">
        <v>4</v>
      </c>
      <c r="P13">
        <v>5</v>
      </c>
      <c r="Q13">
        <v>1</v>
      </c>
      <c r="R13">
        <v>1</v>
      </c>
      <c r="S13">
        <v>4</v>
      </c>
      <c r="T13">
        <v>7</v>
      </c>
      <c r="U13">
        <v>2</v>
      </c>
      <c r="V13">
        <v>10</v>
      </c>
      <c r="W13">
        <v>5</v>
      </c>
      <c r="X13">
        <v>8</v>
      </c>
      <c r="Y13">
        <v>2</v>
      </c>
      <c r="Z13">
        <v>8</v>
      </c>
      <c r="AA13">
        <v>8</v>
      </c>
      <c r="AB13">
        <v>3</v>
      </c>
      <c r="AC13">
        <v>2</v>
      </c>
      <c r="AD13">
        <v>8</v>
      </c>
      <c r="AE13">
        <v>4</v>
      </c>
      <c r="AF13">
        <v>3</v>
      </c>
      <c r="AG13">
        <v>4</v>
      </c>
      <c r="AH13" s="25">
        <f t="shared" si="4"/>
        <v>140</v>
      </c>
      <c r="AI13">
        <v>368</v>
      </c>
      <c r="AJ13">
        <v>435</v>
      </c>
      <c r="AK13">
        <f t="shared" si="1"/>
        <v>67</v>
      </c>
      <c r="AL13" s="15">
        <f t="shared" si="2"/>
        <v>60900</v>
      </c>
      <c r="AM13" s="15">
        <f t="shared" si="3"/>
        <v>9380</v>
      </c>
      <c r="AO13" t="s">
        <v>92</v>
      </c>
      <c r="AP13" s="13">
        <v>10000</v>
      </c>
    </row>
    <row r="14" spans="1:42">
      <c r="A14" s="27"/>
      <c r="B14" t="s">
        <v>31</v>
      </c>
      <c r="C14">
        <v>7</v>
      </c>
      <c r="D14">
        <v>7</v>
      </c>
      <c r="E14">
        <v>4</v>
      </c>
      <c r="F14">
        <v>7</v>
      </c>
      <c r="G14">
        <v>10</v>
      </c>
      <c r="H14">
        <v>5</v>
      </c>
      <c r="I14">
        <v>5</v>
      </c>
      <c r="J14">
        <v>1</v>
      </c>
      <c r="K14">
        <v>8</v>
      </c>
      <c r="L14">
        <v>6</v>
      </c>
      <c r="M14">
        <v>1</v>
      </c>
      <c r="N14">
        <v>4</v>
      </c>
      <c r="O14">
        <v>5</v>
      </c>
      <c r="P14">
        <v>9</v>
      </c>
      <c r="Q14">
        <v>7</v>
      </c>
      <c r="R14">
        <v>4</v>
      </c>
      <c r="S14">
        <v>7</v>
      </c>
      <c r="T14">
        <v>3</v>
      </c>
      <c r="U14">
        <v>4</v>
      </c>
      <c r="V14">
        <v>10</v>
      </c>
      <c r="W14">
        <v>9</v>
      </c>
      <c r="X14">
        <v>2</v>
      </c>
      <c r="Y14">
        <v>8</v>
      </c>
      <c r="Z14">
        <v>6</v>
      </c>
      <c r="AA14">
        <v>6</v>
      </c>
      <c r="AB14">
        <v>5</v>
      </c>
      <c r="AC14">
        <v>1</v>
      </c>
      <c r="AD14">
        <v>4</v>
      </c>
      <c r="AE14">
        <v>4</v>
      </c>
      <c r="AF14">
        <v>1</v>
      </c>
      <c r="AG14">
        <v>5</v>
      </c>
      <c r="AH14" s="25">
        <f t="shared" si="4"/>
        <v>165</v>
      </c>
      <c r="AI14">
        <v>88</v>
      </c>
      <c r="AJ14">
        <v>99</v>
      </c>
      <c r="AK14">
        <f t="shared" si="1"/>
        <v>11</v>
      </c>
      <c r="AL14" s="15">
        <f t="shared" si="2"/>
        <v>16335</v>
      </c>
      <c r="AM14" s="15">
        <f t="shared" si="3"/>
        <v>1815</v>
      </c>
      <c r="AO14" t="s">
        <v>93</v>
      </c>
      <c r="AP14" s="13">
        <v>2000</v>
      </c>
    </row>
    <row r="15" spans="1:42">
      <c r="A15" s="27"/>
      <c r="B15" t="s">
        <v>32</v>
      </c>
      <c r="C15">
        <v>10</v>
      </c>
      <c r="D15">
        <v>9</v>
      </c>
      <c r="E15">
        <v>9</v>
      </c>
      <c r="F15">
        <v>3</v>
      </c>
      <c r="G15">
        <v>9</v>
      </c>
      <c r="H15">
        <v>2</v>
      </c>
      <c r="I15">
        <v>10</v>
      </c>
      <c r="J15">
        <v>2</v>
      </c>
      <c r="K15">
        <v>9</v>
      </c>
      <c r="L15">
        <v>3</v>
      </c>
      <c r="M15">
        <v>8</v>
      </c>
      <c r="N15">
        <v>9</v>
      </c>
      <c r="O15">
        <v>10</v>
      </c>
      <c r="P15">
        <v>7</v>
      </c>
      <c r="Q15">
        <v>6</v>
      </c>
      <c r="R15">
        <v>3</v>
      </c>
      <c r="S15">
        <v>10</v>
      </c>
      <c r="T15">
        <v>1</v>
      </c>
      <c r="U15">
        <v>10</v>
      </c>
      <c r="V15">
        <v>2</v>
      </c>
      <c r="W15">
        <v>4</v>
      </c>
      <c r="X15">
        <v>4</v>
      </c>
      <c r="Y15">
        <v>1</v>
      </c>
      <c r="Z15">
        <v>2</v>
      </c>
      <c r="AA15">
        <v>8</v>
      </c>
      <c r="AB15">
        <v>6</v>
      </c>
      <c r="AC15">
        <v>2</v>
      </c>
      <c r="AD15">
        <v>7</v>
      </c>
      <c r="AE15">
        <v>10</v>
      </c>
      <c r="AF15">
        <v>9</v>
      </c>
      <c r="AG15">
        <v>4</v>
      </c>
      <c r="AH15" s="25">
        <f t="shared" si="4"/>
        <v>189</v>
      </c>
      <c r="AI15">
        <v>391</v>
      </c>
      <c r="AJ15">
        <v>500</v>
      </c>
      <c r="AK15">
        <f t="shared" si="1"/>
        <v>109</v>
      </c>
      <c r="AL15" s="15">
        <f t="shared" si="2"/>
        <v>94500</v>
      </c>
      <c r="AM15" s="15">
        <f t="shared" si="3"/>
        <v>20601</v>
      </c>
      <c r="AO15" t="s">
        <v>80</v>
      </c>
      <c r="AP15" s="13">
        <f>SUM(AM3:AM57)</f>
        <v>296980</v>
      </c>
    </row>
    <row r="16" spans="1:42">
      <c r="A16" s="27"/>
      <c r="B16" t="s">
        <v>33</v>
      </c>
      <c r="C16">
        <v>7</v>
      </c>
      <c r="D16">
        <v>8</v>
      </c>
      <c r="E16">
        <v>9</v>
      </c>
      <c r="F16">
        <v>3</v>
      </c>
      <c r="G16">
        <v>9</v>
      </c>
      <c r="H16">
        <v>8</v>
      </c>
      <c r="I16">
        <v>8</v>
      </c>
      <c r="J16">
        <v>6</v>
      </c>
      <c r="K16">
        <v>7</v>
      </c>
      <c r="L16">
        <v>8</v>
      </c>
      <c r="M16">
        <v>6</v>
      </c>
      <c r="N16">
        <v>3</v>
      </c>
      <c r="O16">
        <v>9</v>
      </c>
      <c r="P16">
        <v>6</v>
      </c>
      <c r="Q16">
        <v>7</v>
      </c>
      <c r="R16">
        <v>7</v>
      </c>
      <c r="S16">
        <v>4</v>
      </c>
      <c r="T16">
        <v>3</v>
      </c>
      <c r="U16">
        <v>1</v>
      </c>
      <c r="V16">
        <v>1</v>
      </c>
      <c r="W16">
        <v>8</v>
      </c>
      <c r="X16">
        <v>10</v>
      </c>
      <c r="Y16">
        <v>7</v>
      </c>
      <c r="Z16">
        <v>4</v>
      </c>
      <c r="AA16">
        <v>9</v>
      </c>
      <c r="AB16">
        <v>4</v>
      </c>
      <c r="AC16">
        <v>7</v>
      </c>
      <c r="AD16">
        <v>5</v>
      </c>
      <c r="AE16">
        <v>5</v>
      </c>
      <c r="AF16">
        <v>10</v>
      </c>
      <c r="AG16">
        <v>10</v>
      </c>
      <c r="AH16" s="25">
        <f t="shared" si="4"/>
        <v>199</v>
      </c>
      <c r="AI16">
        <v>261</v>
      </c>
      <c r="AJ16">
        <v>300</v>
      </c>
      <c r="AK16">
        <f t="shared" si="1"/>
        <v>39</v>
      </c>
      <c r="AL16" s="15">
        <f t="shared" si="2"/>
        <v>59700</v>
      </c>
      <c r="AM16" s="15">
        <f t="shared" si="3"/>
        <v>7761</v>
      </c>
      <c r="AO16" s="1" t="s">
        <v>94</v>
      </c>
      <c r="AP16" s="14">
        <f>AP15-(AP9+AP10+AP11+(-AP12)+AP13+AP14)</f>
        <v>192313.33333333331</v>
      </c>
    </row>
    <row r="17" spans="1:46">
      <c r="A17" s="27"/>
      <c r="B17" t="s">
        <v>34</v>
      </c>
      <c r="C17">
        <v>2</v>
      </c>
      <c r="D17">
        <v>7</v>
      </c>
      <c r="E17">
        <v>10</v>
      </c>
      <c r="F17">
        <v>1</v>
      </c>
      <c r="G17">
        <v>5</v>
      </c>
      <c r="H17">
        <v>7</v>
      </c>
      <c r="I17">
        <v>8</v>
      </c>
      <c r="J17">
        <v>3</v>
      </c>
      <c r="K17">
        <v>2</v>
      </c>
      <c r="L17">
        <v>2</v>
      </c>
      <c r="M17">
        <v>1</v>
      </c>
      <c r="N17">
        <v>10</v>
      </c>
      <c r="O17">
        <v>2</v>
      </c>
      <c r="P17">
        <v>2</v>
      </c>
      <c r="Q17">
        <v>10</v>
      </c>
      <c r="R17">
        <v>4</v>
      </c>
      <c r="S17">
        <v>1</v>
      </c>
      <c r="T17">
        <v>8</v>
      </c>
      <c r="U17">
        <v>3</v>
      </c>
      <c r="V17">
        <v>5</v>
      </c>
      <c r="W17">
        <v>2</v>
      </c>
      <c r="X17">
        <v>2</v>
      </c>
      <c r="Y17">
        <v>4</v>
      </c>
      <c r="Z17">
        <v>8</v>
      </c>
      <c r="AA17">
        <v>6</v>
      </c>
      <c r="AB17">
        <v>5</v>
      </c>
      <c r="AC17">
        <v>1</v>
      </c>
      <c r="AD17">
        <v>7</v>
      </c>
      <c r="AE17">
        <v>10</v>
      </c>
      <c r="AF17">
        <v>3</v>
      </c>
      <c r="AG17">
        <v>10</v>
      </c>
      <c r="AH17" s="25">
        <f t="shared" si="4"/>
        <v>151</v>
      </c>
      <c r="AI17">
        <v>67</v>
      </c>
      <c r="AJ17">
        <v>99</v>
      </c>
      <c r="AK17">
        <f t="shared" si="1"/>
        <v>32</v>
      </c>
      <c r="AL17" s="15">
        <f t="shared" si="2"/>
        <v>14949</v>
      </c>
      <c r="AM17" s="15">
        <f t="shared" si="3"/>
        <v>4832</v>
      </c>
      <c r="AR17" s="13"/>
      <c r="AT17" s="13"/>
    </row>
    <row r="18" spans="1:46">
      <c r="A18" s="27"/>
      <c r="B18" t="s">
        <v>35</v>
      </c>
      <c r="C18">
        <v>3</v>
      </c>
      <c r="D18">
        <v>3</v>
      </c>
      <c r="E18">
        <v>1</v>
      </c>
      <c r="F18">
        <v>2</v>
      </c>
      <c r="G18">
        <v>1</v>
      </c>
      <c r="H18">
        <v>8</v>
      </c>
      <c r="I18">
        <v>1</v>
      </c>
      <c r="J18">
        <v>6</v>
      </c>
      <c r="K18">
        <v>9</v>
      </c>
      <c r="L18">
        <v>3</v>
      </c>
      <c r="M18">
        <v>3</v>
      </c>
      <c r="N18">
        <v>5</v>
      </c>
      <c r="O18">
        <v>9</v>
      </c>
      <c r="P18">
        <v>1</v>
      </c>
      <c r="Q18">
        <v>3</v>
      </c>
      <c r="R18">
        <v>8</v>
      </c>
      <c r="S18">
        <v>3</v>
      </c>
      <c r="T18">
        <v>9</v>
      </c>
      <c r="U18">
        <v>6</v>
      </c>
      <c r="V18">
        <v>10</v>
      </c>
      <c r="W18">
        <v>8</v>
      </c>
      <c r="X18">
        <v>6</v>
      </c>
      <c r="Y18">
        <v>4</v>
      </c>
      <c r="Z18">
        <v>8</v>
      </c>
      <c r="AA18">
        <v>5</v>
      </c>
      <c r="AB18">
        <v>10</v>
      </c>
      <c r="AC18">
        <v>1</v>
      </c>
      <c r="AD18">
        <v>7</v>
      </c>
      <c r="AE18">
        <v>1</v>
      </c>
      <c r="AF18">
        <v>6</v>
      </c>
      <c r="AG18">
        <v>7</v>
      </c>
      <c r="AH18" s="25">
        <f t="shared" si="4"/>
        <v>157</v>
      </c>
      <c r="AI18">
        <v>138</v>
      </c>
      <c r="AJ18">
        <v>150</v>
      </c>
      <c r="AK18">
        <f t="shared" si="1"/>
        <v>12</v>
      </c>
      <c r="AL18" s="15">
        <f t="shared" si="2"/>
        <v>23550</v>
      </c>
      <c r="AM18" s="15">
        <f t="shared" si="3"/>
        <v>1884</v>
      </c>
    </row>
    <row r="19" spans="1:46">
      <c r="A19" s="27"/>
      <c r="B19" t="s">
        <v>36</v>
      </c>
      <c r="C19">
        <v>9</v>
      </c>
      <c r="D19">
        <v>3</v>
      </c>
      <c r="E19">
        <v>1</v>
      </c>
      <c r="F19">
        <v>4</v>
      </c>
      <c r="G19">
        <v>4</v>
      </c>
      <c r="H19">
        <v>5</v>
      </c>
      <c r="I19">
        <v>4</v>
      </c>
      <c r="J19">
        <v>9</v>
      </c>
      <c r="K19">
        <v>4</v>
      </c>
      <c r="L19">
        <v>5</v>
      </c>
      <c r="M19">
        <v>7</v>
      </c>
      <c r="N19">
        <v>9</v>
      </c>
      <c r="O19">
        <v>3</v>
      </c>
      <c r="P19">
        <v>10</v>
      </c>
      <c r="Q19">
        <v>5</v>
      </c>
      <c r="R19">
        <v>6</v>
      </c>
      <c r="S19">
        <v>5</v>
      </c>
      <c r="T19">
        <v>3</v>
      </c>
      <c r="U19">
        <v>4</v>
      </c>
      <c r="V19">
        <v>8</v>
      </c>
      <c r="W19">
        <v>1</v>
      </c>
      <c r="X19">
        <v>1</v>
      </c>
      <c r="Y19">
        <v>7</v>
      </c>
      <c r="Z19">
        <v>8</v>
      </c>
      <c r="AA19">
        <v>6</v>
      </c>
      <c r="AB19">
        <v>2</v>
      </c>
      <c r="AC19">
        <v>1</v>
      </c>
      <c r="AD19">
        <v>3</v>
      </c>
      <c r="AE19">
        <v>5</v>
      </c>
      <c r="AF19">
        <v>8</v>
      </c>
      <c r="AG19">
        <v>8</v>
      </c>
      <c r="AH19" s="25">
        <f t="shared" si="4"/>
        <v>158</v>
      </c>
      <c r="AI19">
        <v>60</v>
      </c>
      <c r="AJ19">
        <v>80</v>
      </c>
      <c r="AK19">
        <f t="shared" si="1"/>
        <v>20</v>
      </c>
      <c r="AL19" s="15">
        <f t="shared" si="2"/>
        <v>12640</v>
      </c>
      <c r="AM19" s="15">
        <f t="shared" si="3"/>
        <v>3160</v>
      </c>
    </row>
    <row r="20" spans="1:46">
      <c r="A20" s="27"/>
      <c r="B20" t="s">
        <v>37</v>
      </c>
      <c r="C20">
        <v>9</v>
      </c>
      <c r="D20">
        <v>6</v>
      </c>
      <c r="E20">
        <v>9</v>
      </c>
      <c r="F20">
        <v>2</v>
      </c>
      <c r="G20">
        <v>4</v>
      </c>
      <c r="H20">
        <v>2</v>
      </c>
      <c r="I20">
        <v>5</v>
      </c>
      <c r="J20">
        <v>6</v>
      </c>
      <c r="K20">
        <v>4</v>
      </c>
      <c r="L20">
        <v>6</v>
      </c>
      <c r="M20">
        <v>4</v>
      </c>
      <c r="N20">
        <v>5</v>
      </c>
      <c r="O20">
        <v>4</v>
      </c>
      <c r="P20">
        <v>4</v>
      </c>
      <c r="Q20">
        <v>8</v>
      </c>
      <c r="R20">
        <v>2</v>
      </c>
      <c r="S20">
        <v>7</v>
      </c>
      <c r="T20">
        <v>8</v>
      </c>
      <c r="U20">
        <v>1</v>
      </c>
      <c r="V20">
        <v>4</v>
      </c>
      <c r="W20">
        <v>1</v>
      </c>
      <c r="X20">
        <v>2</v>
      </c>
      <c r="Y20">
        <v>7</v>
      </c>
      <c r="Z20">
        <v>9</v>
      </c>
      <c r="AA20">
        <v>4</v>
      </c>
      <c r="AB20">
        <v>3</v>
      </c>
      <c r="AC20">
        <v>3</v>
      </c>
      <c r="AD20">
        <v>6</v>
      </c>
      <c r="AE20">
        <v>5</v>
      </c>
      <c r="AF20">
        <v>10</v>
      </c>
      <c r="AG20">
        <v>8</v>
      </c>
      <c r="AH20" s="25">
        <f t="shared" si="4"/>
        <v>158</v>
      </c>
      <c r="AI20">
        <v>44</v>
      </c>
      <c r="AJ20">
        <v>50</v>
      </c>
      <c r="AK20">
        <f t="shared" si="1"/>
        <v>6</v>
      </c>
      <c r="AL20" s="15">
        <f t="shared" si="2"/>
        <v>7900</v>
      </c>
      <c r="AM20" s="15">
        <f t="shared" si="3"/>
        <v>948</v>
      </c>
    </row>
    <row r="21" spans="1:46">
      <c r="A21" s="27"/>
      <c r="B21" t="s">
        <v>38</v>
      </c>
      <c r="C21">
        <v>8</v>
      </c>
      <c r="D21">
        <v>10</v>
      </c>
      <c r="E21">
        <v>4</v>
      </c>
      <c r="F21">
        <v>1</v>
      </c>
      <c r="G21">
        <v>6</v>
      </c>
      <c r="H21">
        <v>9</v>
      </c>
      <c r="I21">
        <v>10</v>
      </c>
      <c r="J21">
        <v>7</v>
      </c>
      <c r="K21">
        <v>7</v>
      </c>
      <c r="L21">
        <v>2</v>
      </c>
      <c r="M21">
        <v>10</v>
      </c>
      <c r="N21">
        <v>9</v>
      </c>
      <c r="O21">
        <v>7</v>
      </c>
      <c r="P21">
        <v>7</v>
      </c>
      <c r="Q21">
        <v>10</v>
      </c>
      <c r="R21">
        <v>10</v>
      </c>
      <c r="S21">
        <v>2</v>
      </c>
      <c r="T21">
        <v>8</v>
      </c>
      <c r="U21">
        <v>1</v>
      </c>
      <c r="V21">
        <v>8</v>
      </c>
      <c r="W21">
        <v>4</v>
      </c>
      <c r="X21">
        <v>9</v>
      </c>
      <c r="Y21">
        <v>3</v>
      </c>
      <c r="Z21">
        <v>7</v>
      </c>
      <c r="AA21">
        <v>7</v>
      </c>
      <c r="AB21">
        <v>1</v>
      </c>
      <c r="AC21">
        <v>6</v>
      </c>
      <c r="AD21">
        <v>9</v>
      </c>
      <c r="AE21">
        <v>5</v>
      </c>
      <c r="AF21">
        <v>4</v>
      </c>
      <c r="AG21">
        <v>4</v>
      </c>
      <c r="AH21" s="25">
        <f t="shared" si="4"/>
        <v>195</v>
      </c>
      <c r="AI21">
        <v>308</v>
      </c>
      <c r="AJ21">
        <v>320</v>
      </c>
      <c r="AK21">
        <f t="shared" si="1"/>
        <v>12</v>
      </c>
      <c r="AL21" s="15">
        <f t="shared" si="2"/>
        <v>62400</v>
      </c>
      <c r="AM21" s="15">
        <f t="shared" si="3"/>
        <v>2340</v>
      </c>
    </row>
    <row r="22" spans="1:46">
      <c r="A22" s="27"/>
      <c r="B22" t="s">
        <v>39</v>
      </c>
      <c r="C22">
        <v>10</v>
      </c>
      <c r="D22">
        <v>5</v>
      </c>
      <c r="E22">
        <v>2</v>
      </c>
      <c r="F22">
        <v>6</v>
      </c>
      <c r="G22">
        <v>10</v>
      </c>
      <c r="H22">
        <v>2</v>
      </c>
      <c r="I22">
        <v>1</v>
      </c>
      <c r="J22">
        <v>9</v>
      </c>
      <c r="K22">
        <v>1</v>
      </c>
      <c r="L22">
        <v>4</v>
      </c>
      <c r="M22">
        <v>2</v>
      </c>
      <c r="N22">
        <v>10</v>
      </c>
      <c r="O22">
        <v>2</v>
      </c>
      <c r="P22">
        <v>8</v>
      </c>
      <c r="Q22">
        <v>8</v>
      </c>
      <c r="R22">
        <v>9</v>
      </c>
      <c r="S22">
        <v>5</v>
      </c>
      <c r="T22">
        <v>3</v>
      </c>
      <c r="U22">
        <v>4</v>
      </c>
      <c r="V22">
        <v>3</v>
      </c>
      <c r="W22">
        <v>8</v>
      </c>
      <c r="X22">
        <v>9</v>
      </c>
      <c r="Y22">
        <v>10</v>
      </c>
      <c r="Z22">
        <v>1</v>
      </c>
      <c r="AA22">
        <v>1</v>
      </c>
      <c r="AB22">
        <v>4</v>
      </c>
      <c r="AC22">
        <v>4</v>
      </c>
      <c r="AD22">
        <v>4</v>
      </c>
      <c r="AE22">
        <v>4</v>
      </c>
      <c r="AF22">
        <v>5</v>
      </c>
      <c r="AG22">
        <v>8</v>
      </c>
      <c r="AH22" s="25">
        <f t="shared" si="4"/>
        <v>162</v>
      </c>
      <c r="AI22">
        <v>234</v>
      </c>
      <c r="AJ22">
        <v>250</v>
      </c>
      <c r="AK22">
        <f t="shared" si="1"/>
        <v>16</v>
      </c>
      <c r="AL22" s="15">
        <f t="shared" si="2"/>
        <v>40500</v>
      </c>
      <c r="AM22" s="15">
        <f t="shared" si="3"/>
        <v>2592</v>
      </c>
    </row>
    <row r="23" spans="1:46">
      <c r="A23" s="27"/>
      <c r="B23" t="s">
        <v>40</v>
      </c>
      <c r="C23">
        <v>7</v>
      </c>
      <c r="D23">
        <v>3</v>
      </c>
      <c r="E23">
        <v>7</v>
      </c>
      <c r="F23">
        <v>6</v>
      </c>
      <c r="G23">
        <v>7</v>
      </c>
      <c r="H23">
        <v>9</v>
      </c>
      <c r="I23">
        <v>2</v>
      </c>
      <c r="J23">
        <v>3</v>
      </c>
      <c r="K23">
        <v>6</v>
      </c>
      <c r="L23">
        <v>6</v>
      </c>
      <c r="M23">
        <v>4</v>
      </c>
      <c r="N23">
        <v>9</v>
      </c>
      <c r="O23">
        <v>8</v>
      </c>
      <c r="P23">
        <v>3</v>
      </c>
      <c r="Q23">
        <v>3</v>
      </c>
      <c r="R23">
        <v>3</v>
      </c>
      <c r="S23">
        <v>2</v>
      </c>
      <c r="T23">
        <v>7</v>
      </c>
      <c r="U23">
        <v>10</v>
      </c>
      <c r="V23">
        <v>6</v>
      </c>
      <c r="W23">
        <v>9</v>
      </c>
      <c r="X23">
        <v>5</v>
      </c>
      <c r="Y23">
        <v>4</v>
      </c>
      <c r="Z23">
        <v>8</v>
      </c>
      <c r="AA23">
        <v>10</v>
      </c>
      <c r="AB23">
        <v>8</v>
      </c>
      <c r="AC23">
        <v>3</v>
      </c>
      <c r="AD23">
        <v>6</v>
      </c>
      <c r="AE23">
        <v>4</v>
      </c>
      <c r="AF23">
        <v>1</v>
      </c>
      <c r="AG23">
        <v>1</v>
      </c>
      <c r="AH23" s="25">
        <f t="shared" si="4"/>
        <v>170</v>
      </c>
      <c r="AI23">
        <v>121</v>
      </c>
      <c r="AJ23">
        <v>140</v>
      </c>
      <c r="AK23">
        <f t="shared" si="1"/>
        <v>19</v>
      </c>
      <c r="AL23" s="15">
        <f t="shared" si="2"/>
        <v>23800</v>
      </c>
      <c r="AM23" s="15">
        <f t="shared" si="3"/>
        <v>3230</v>
      </c>
    </row>
    <row r="24" spans="1:46">
      <c r="A24" s="27"/>
      <c r="B24" t="s">
        <v>41</v>
      </c>
      <c r="C24">
        <v>2</v>
      </c>
      <c r="D24">
        <v>5</v>
      </c>
      <c r="E24">
        <v>4</v>
      </c>
      <c r="F24">
        <v>5</v>
      </c>
      <c r="G24">
        <v>8</v>
      </c>
      <c r="H24">
        <v>4</v>
      </c>
      <c r="I24">
        <v>8</v>
      </c>
      <c r="J24">
        <v>1</v>
      </c>
      <c r="K24">
        <v>7</v>
      </c>
      <c r="L24">
        <v>6</v>
      </c>
      <c r="M24">
        <v>7</v>
      </c>
      <c r="N24">
        <v>2</v>
      </c>
      <c r="O24">
        <v>7</v>
      </c>
      <c r="P24">
        <v>4</v>
      </c>
      <c r="Q24">
        <v>3</v>
      </c>
      <c r="R24">
        <v>1</v>
      </c>
      <c r="S24">
        <v>7</v>
      </c>
      <c r="T24">
        <v>6</v>
      </c>
      <c r="U24">
        <v>5</v>
      </c>
      <c r="V24">
        <v>7</v>
      </c>
      <c r="W24">
        <v>4</v>
      </c>
      <c r="X24">
        <v>5</v>
      </c>
      <c r="Y24">
        <v>10</v>
      </c>
      <c r="Z24">
        <v>6</v>
      </c>
      <c r="AA24">
        <v>2</v>
      </c>
      <c r="AB24">
        <v>8</v>
      </c>
      <c r="AC24">
        <v>8</v>
      </c>
      <c r="AD24">
        <v>3</v>
      </c>
      <c r="AE24">
        <v>7</v>
      </c>
      <c r="AF24">
        <v>3</v>
      </c>
      <c r="AG24">
        <v>6</v>
      </c>
      <c r="AH24" s="25">
        <f t="shared" si="4"/>
        <v>161</v>
      </c>
      <c r="AI24">
        <v>350</v>
      </c>
      <c r="AJ24">
        <v>390</v>
      </c>
      <c r="AK24">
        <f t="shared" si="1"/>
        <v>40</v>
      </c>
      <c r="AL24" s="15">
        <f t="shared" si="2"/>
        <v>62790</v>
      </c>
      <c r="AM24" s="15">
        <f t="shared" si="3"/>
        <v>6440</v>
      </c>
    </row>
    <row r="25" spans="1:46">
      <c r="A25" s="27"/>
      <c r="B25" t="s">
        <v>42</v>
      </c>
      <c r="C25">
        <v>3</v>
      </c>
      <c r="D25">
        <v>2</v>
      </c>
      <c r="E25">
        <v>6</v>
      </c>
      <c r="F25">
        <v>8</v>
      </c>
      <c r="G25">
        <v>7</v>
      </c>
      <c r="H25">
        <v>7</v>
      </c>
      <c r="I25">
        <v>6</v>
      </c>
      <c r="J25">
        <v>8</v>
      </c>
      <c r="K25">
        <v>4</v>
      </c>
      <c r="L25">
        <v>3</v>
      </c>
      <c r="M25">
        <v>8</v>
      </c>
      <c r="N25">
        <v>10</v>
      </c>
      <c r="O25">
        <v>2</v>
      </c>
      <c r="P25">
        <v>3</v>
      </c>
      <c r="Q25">
        <v>10</v>
      </c>
      <c r="R25">
        <v>10</v>
      </c>
      <c r="S25">
        <v>2</v>
      </c>
      <c r="T25">
        <v>7</v>
      </c>
      <c r="U25">
        <v>8</v>
      </c>
      <c r="V25">
        <v>10</v>
      </c>
      <c r="W25">
        <v>1</v>
      </c>
      <c r="X25">
        <v>7</v>
      </c>
      <c r="Y25">
        <v>10</v>
      </c>
      <c r="Z25">
        <v>2</v>
      </c>
      <c r="AA25">
        <v>2</v>
      </c>
      <c r="AB25">
        <v>9</v>
      </c>
      <c r="AC25">
        <v>9</v>
      </c>
      <c r="AD25">
        <v>5</v>
      </c>
      <c r="AE25">
        <v>6</v>
      </c>
      <c r="AF25">
        <v>9</v>
      </c>
      <c r="AG25">
        <v>7</v>
      </c>
      <c r="AH25" s="25">
        <f t="shared" si="4"/>
        <v>191</v>
      </c>
      <c r="AI25">
        <v>211</v>
      </c>
      <c r="AJ25">
        <v>240</v>
      </c>
      <c r="AK25">
        <f t="shared" si="1"/>
        <v>29</v>
      </c>
      <c r="AL25" s="15">
        <f t="shared" si="2"/>
        <v>45840</v>
      </c>
      <c r="AM25" s="15">
        <f t="shared" si="3"/>
        <v>5539</v>
      </c>
    </row>
    <row r="26" spans="1:46">
      <c r="A26" s="27"/>
      <c r="B26" t="s">
        <v>43</v>
      </c>
      <c r="C26">
        <v>4</v>
      </c>
      <c r="D26">
        <v>1</v>
      </c>
      <c r="E26">
        <v>8</v>
      </c>
      <c r="F26">
        <v>6</v>
      </c>
      <c r="G26">
        <v>10</v>
      </c>
      <c r="H26">
        <v>2</v>
      </c>
      <c r="I26">
        <v>9</v>
      </c>
      <c r="J26">
        <v>6</v>
      </c>
      <c r="K26">
        <v>1</v>
      </c>
      <c r="L26">
        <v>5</v>
      </c>
      <c r="M26">
        <v>10</v>
      </c>
      <c r="N26">
        <v>3</v>
      </c>
      <c r="O26">
        <v>1</v>
      </c>
      <c r="P26">
        <v>10</v>
      </c>
      <c r="Q26">
        <v>8</v>
      </c>
      <c r="R26">
        <v>1</v>
      </c>
      <c r="S26">
        <v>6</v>
      </c>
      <c r="T26">
        <v>5</v>
      </c>
      <c r="U26">
        <v>5</v>
      </c>
      <c r="V26">
        <v>8</v>
      </c>
      <c r="W26">
        <v>6</v>
      </c>
      <c r="X26">
        <v>6</v>
      </c>
      <c r="Y26">
        <v>8</v>
      </c>
      <c r="Z26">
        <v>6</v>
      </c>
      <c r="AA26">
        <v>9</v>
      </c>
      <c r="AB26">
        <v>9</v>
      </c>
      <c r="AC26">
        <v>3</v>
      </c>
      <c r="AD26">
        <v>7</v>
      </c>
      <c r="AE26">
        <v>6</v>
      </c>
      <c r="AF26">
        <v>4</v>
      </c>
      <c r="AG26">
        <v>6</v>
      </c>
      <c r="AH26" s="25">
        <f t="shared" si="4"/>
        <v>179</v>
      </c>
      <c r="AI26">
        <v>247</v>
      </c>
      <c r="AJ26">
        <v>280</v>
      </c>
      <c r="AK26">
        <f t="shared" si="1"/>
        <v>33</v>
      </c>
      <c r="AL26" s="15">
        <f t="shared" si="2"/>
        <v>50120</v>
      </c>
      <c r="AM26" s="15">
        <f t="shared" si="3"/>
        <v>5907</v>
      </c>
    </row>
    <row r="27" spans="1:46">
      <c r="A27" s="27"/>
      <c r="B27" t="s">
        <v>44</v>
      </c>
      <c r="C27">
        <v>6</v>
      </c>
      <c r="D27">
        <v>3</v>
      </c>
      <c r="E27">
        <v>2</v>
      </c>
      <c r="F27">
        <v>7</v>
      </c>
      <c r="G27">
        <v>5</v>
      </c>
      <c r="H27">
        <v>9</v>
      </c>
      <c r="I27">
        <v>5</v>
      </c>
      <c r="J27">
        <v>6</v>
      </c>
      <c r="K27">
        <v>4</v>
      </c>
      <c r="L27">
        <v>5</v>
      </c>
      <c r="M27">
        <v>9</v>
      </c>
      <c r="N27">
        <v>8</v>
      </c>
      <c r="O27">
        <v>4</v>
      </c>
      <c r="P27">
        <v>1</v>
      </c>
      <c r="Q27">
        <v>6</v>
      </c>
      <c r="R27">
        <v>1</v>
      </c>
      <c r="S27">
        <v>10</v>
      </c>
      <c r="T27">
        <v>1</v>
      </c>
      <c r="U27">
        <v>9</v>
      </c>
      <c r="V27">
        <v>2</v>
      </c>
      <c r="W27">
        <v>5</v>
      </c>
      <c r="X27">
        <v>6</v>
      </c>
      <c r="Y27">
        <v>5</v>
      </c>
      <c r="Z27">
        <v>10</v>
      </c>
      <c r="AA27">
        <v>6</v>
      </c>
      <c r="AB27">
        <v>5</v>
      </c>
      <c r="AC27">
        <v>7</v>
      </c>
      <c r="AD27">
        <v>3</v>
      </c>
      <c r="AE27">
        <v>8</v>
      </c>
      <c r="AF27">
        <v>2</v>
      </c>
      <c r="AG27">
        <v>6</v>
      </c>
      <c r="AH27" s="25">
        <f t="shared" si="4"/>
        <v>166</v>
      </c>
      <c r="AI27">
        <v>286</v>
      </c>
      <c r="AJ27">
        <v>320</v>
      </c>
      <c r="AK27">
        <f t="shared" si="1"/>
        <v>34</v>
      </c>
      <c r="AL27" s="15">
        <f t="shared" si="2"/>
        <v>53120</v>
      </c>
      <c r="AM27" s="15">
        <f t="shared" si="3"/>
        <v>5644</v>
      </c>
    </row>
    <row r="28" spans="1:46">
      <c r="A28" s="27"/>
      <c r="B28" t="s">
        <v>45</v>
      </c>
      <c r="C28">
        <v>7</v>
      </c>
      <c r="D28">
        <v>4</v>
      </c>
      <c r="E28">
        <v>10</v>
      </c>
      <c r="F28">
        <v>5</v>
      </c>
      <c r="G28">
        <v>7</v>
      </c>
      <c r="H28">
        <v>5</v>
      </c>
      <c r="I28">
        <v>4</v>
      </c>
      <c r="J28">
        <v>1</v>
      </c>
      <c r="K28">
        <v>1</v>
      </c>
      <c r="L28">
        <v>10</v>
      </c>
      <c r="M28">
        <v>5</v>
      </c>
      <c r="N28">
        <v>1</v>
      </c>
      <c r="O28">
        <v>6</v>
      </c>
      <c r="P28">
        <v>9</v>
      </c>
      <c r="Q28">
        <v>8</v>
      </c>
      <c r="R28">
        <v>10</v>
      </c>
      <c r="S28">
        <v>5</v>
      </c>
      <c r="T28">
        <v>4</v>
      </c>
      <c r="U28">
        <v>7</v>
      </c>
      <c r="V28">
        <v>1</v>
      </c>
      <c r="W28">
        <v>4</v>
      </c>
      <c r="X28">
        <v>6</v>
      </c>
      <c r="Y28">
        <v>7</v>
      </c>
      <c r="Z28">
        <v>4</v>
      </c>
      <c r="AA28">
        <v>3</v>
      </c>
      <c r="AB28">
        <v>10</v>
      </c>
      <c r="AC28">
        <v>7</v>
      </c>
      <c r="AD28">
        <v>7</v>
      </c>
      <c r="AE28">
        <v>6</v>
      </c>
      <c r="AF28">
        <v>9</v>
      </c>
      <c r="AG28">
        <v>2</v>
      </c>
      <c r="AH28" s="25">
        <f t="shared" si="4"/>
        <v>175</v>
      </c>
      <c r="AI28">
        <v>67</v>
      </c>
      <c r="AJ28">
        <v>80</v>
      </c>
      <c r="AK28">
        <f t="shared" si="1"/>
        <v>13</v>
      </c>
      <c r="AL28" s="15">
        <f t="shared" si="2"/>
        <v>14000</v>
      </c>
      <c r="AM28" s="15">
        <f t="shared" si="3"/>
        <v>2275</v>
      </c>
    </row>
    <row r="29" spans="1:46">
      <c r="A29" s="27"/>
      <c r="B29" t="s">
        <v>46</v>
      </c>
      <c r="C29">
        <v>3</v>
      </c>
      <c r="D29">
        <v>5</v>
      </c>
      <c r="E29">
        <v>8</v>
      </c>
      <c r="F29">
        <v>5</v>
      </c>
      <c r="G29">
        <v>1</v>
      </c>
      <c r="H29">
        <v>3</v>
      </c>
      <c r="I29">
        <v>1</v>
      </c>
      <c r="J29">
        <v>5</v>
      </c>
      <c r="K29">
        <v>1</v>
      </c>
      <c r="L29">
        <v>1</v>
      </c>
      <c r="M29">
        <v>9</v>
      </c>
      <c r="N29">
        <v>9</v>
      </c>
      <c r="O29">
        <v>4</v>
      </c>
      <c r="P29">
        <v>5</v>
      </c>
      <c r="Q29">
        <v>5</v>
      </c>
      <c r="R29">
        <v>1</v>
      </c>
      <c r="S29">
        <v>4</v>
      </c>
      <c r="T29">
        <v>4</v>
      </c>
      <c r="U29">
        <v>7</v>
      </c>
      <c r="V29">
        <v>5</v>
      </c>
      <c r="W29">
        <v>8</v>
      </c>
      <c r="X29">
        <v>9</v>
      </c>
      <c r="Y29">
        <v>4</v>
      </c>
      <c r="Z29">
        <v>3</v>
      </c>
      <c r="AA29">
        <v>10</v>
      </c>
      <c r="AB29">
        <v>3</v>
      </c>
      <c r="AC29">
        <v>2</v>
      </c>
      <c r="AD29">
        <v>8</v>
      </c>
      <c r="AE29">
        <v>2</v>
      </c>
      <c r="AF29">
        <v>9</v>
      </c>
      <c r="AG29">
        <v>9</v>
      </c>
      <c r="AH29" s="25">
        <f t="shared" si="4"/>
        <v>153</v>
      </c>
      <c r="AI29">
        <v>335</v>
      </c>
      <c r="AJ29">
        <v>350</v>
      </c>
      <c r="AK29">
        <f t="shared" si="1"/>
        <v>15</v>
      </c>
      <c r="AL29" s="15">
        <f t="shared" si="2"/>
        <v>53550</v>
      </c>
      <c r="AM29" s="15">
        <f t="shared" si="3"/>
        <v>2295</v>
      </c>
    </row>
    <row r="30" spans="1:46">
      <c r="A30" s="27"/>
      <c r="B30" t="s">
        <v>47</v>
      </c>
      <c r="C30">
        <v>8</v>
      </c>
      <c r="D30">
        <v>8</v>
      </c>
      <c r="E30">
        <v>2</v>
      </c>
      <c r="F30">
        <v>7</v>
      </c>
      <c r="G30">
        <v>3</v>
      </c>
      <c r="H30">
        <v>5</v>
      </c>
      <c r="I30">
        <v>9</v>
      </c>
      <c r="J30">
        <v>5</v>
      </c>
      <c r="K30">
        <v>10</v>
      </c>
      <c r="L30">
        <v>1</v>
      </c>
      <c r="M30">
        <v>7</v>
      </c>
      <c r="N30">
        <v>7</v>
      </c>
      <c r="O30">
        <v>1</v>
      </c>
      <c r="P30">
        <v>1</v>
      </c>
      <c r="Q30">
        <v>9</v>
      </c>
      <c r="R30">
        <v>10</v>
      </c>
      <c r="S30">
        <v>5</v>
      </c>
      <c r="T30">
        <v>6</v>
      </c>
      <c r="U30">
        <v>8</v>
      </c>
      <c r="V30">
        <v>4</v>
      </c>
      <c r="W30">
        <v>9</v>
      </c>
      <c r="X30">
        <v>7</v>
      </c>
      <c r="Y30">
        <v>1</v>
      </c>
      <c r="Z30">
        <v>5</v>
      </c>
      <c r="AA30">
        <v>9</v>
      </c>
      <c r="AB30">
        <v>9</v>
      </c>
      <c r="AC30">
        <v>7</v>
      </c>
      <c r="AD30">
        <v>8</v>
      </c>
      <c r="AE30">
        <v>5</v>
      </c>
      <c r="AF30">
        <v>2</v>
      </c>
      <c r="AG30">
        <v>2</v>
      </c>
      <c r="AH30" s="25">
        <f t="shared" si="4"/>
        <v>180</v>
      </c>
      <c r="AI30">
        <v>366</v>
      </c>
      <c r="AJ30">
        <v>400</v>
      </c>
      <c r="AK30">
        <f t="shared" si="1"/>
        <v>34</v>
      </c>
      <c r="AL30" s="15">
        <f t="shared" si="2"/>
        <v>72000</v>
      </c>
      <c r="AM30" s="15">
        <f t="shared" si="3"/>
        <v>6120</v>
      </c>
    </row>
    <row r="31" spans="1:46">
      <c r="A31" s="27"/>
      <c r="B31" t="s">
        <v>48</v>
      </c>
      <c r="C31">
        <v>8</v>
      </c>
      <c r="D31">
        <v>8</v>
      </c>
      <c r="E31">
        <v>3</v>
      </c>
      <c r="F31">
        <v>8</v>
      </c>
      <c r="G31">
        <v>7</v>
      </c>
      <c r="H31">
        <v>5</v>
      </c>
      <c r="I31">
        <v>3</v>
      </c>
      <c r="J31">
        <v>8</v>
      </c>
      <c r="K31">
        <v>3</v>
      </c>
      <c r="L31">
        <v>6</v>
      </c>
      <c r="M31">
        <v>9</v>
      </c>
      <c r="N31">
        <v>4</v>
      </c>
      <c r="O31">
        <v>10</v>
      </c>
      <c r="P31">
        <v>7</v>
      </c>
      <c r="Q31">
        <v>10</v>
      </c>
      <c r="R31">
        <v>2</v>
      </c>
      <c r="S31">
        <v>1</v>
      </c>
      <c r="T31">
        <v>9</v>
      </c>
      <c r="U31">
        <v>10</v>
      </c>
      <c r="V31">
        <v>6</v>
      </c>
      <c r="W31">
        <v>4</v>
      </c>
      <c r="X31">
        <v>2</v>
      </c>
      <c r="Y31">
        <v>2</v>
      </c>
      <c r="Z31">
        <v>3</v>
      </c>
      <c r="AA31">
        <v>2</v>
      </c>
      <c r="AB31">
        <v>7</v>
      </c>
      <c r="AC31">
        <v>5</v>
      </c>
      <c r="AD31">
        <v>5</v>
      </c>
      <c r="AE31">
        <v>1</v>
      </c>
      <c r="AF31">
        <v>6</v>
      </c>
      <c r="AG31">
        <v>10</v>
      </c>
      <c r="AH31" s="25">
        <f t="shared" si="4"/>
        <v>174</v>
      </c>
      <c r="AI31">
        <v>167</v>
      </c>
      <c r="AJ31">
        <v>200</v>
      </c>
      <c r="AK31">
        <f t="shared" si="1"/>
        <v>33</v>
      </c>
      <c r="AL31" s="15">
        <f t="shared" si="2"/>
        <v>34800</v>
      </c>
      <c r="AM31" s="15">
        <f t="shared" si="3"/>
        <v>5742</v>
      </c>
    </row>
    <row r="32" spans="1:46">
      <c r="A32" s="27"/>
      <c r="B32" t="s">
        <v>49</v>
      </c>
      <c r="C32">
        <v>4</v>
      </c>
      <c r="D32">
        <v>8</v>
      </c>
      <c r="E32">
        <v>10</v>
      </c>
      <c r="F32">
        <v>7</v>
      </c>
      <c r="G32">
        <v>7</v>
      </c>
      <c r="H32">
        <v>9</v>
      </c>
      <c r="I32">
        <v>9</v>
      </c>
      <c r="J32">
        <v>9</v>
      </c>
      <c r="K32">
        <v>4</v>
      </c>
      <c r="L32">
        <v>3</v>
      </c>
      <c r="M32">
        <v>4</v>
      </c>
      <c r="N32">
        <v>3</v>
      </c>
      <c r="O32">
        <v>8</v>
      </c>
      <c r="P32">
        <v>9</v>
      </c>
      <c r="Q32">
        <v>10</v>
      </c>
      <c r="R32">
        <v>5</v>
      </c>
      <c r="S32">
        <v>1</v>
      </c>
      <c r="T32">
        <v>2</v>
      </c>
      <c r="U32">
        <v>4</v>
      </c>
      <c r="V32">
        <v>5</v>
      </c>
      <c r="W32">
        <v>5</v>
      </c>
      <c r="X32">
        <v>8</v>
      </c>
      <c r="Y32">
        <v>9</v>
      </c>
      <c r="Z32">
        <v>6</v>
      </c>
      <c r="AA32">
        <v>8</v>
      </c>
      <c r="AB32">
        <v>8</v>
      </c>
      <c r="AC32">
        <v>3</v>
      </c>
      <c r="AD32">
        <v>7</v>
      </c>
      <c r="AE32">
        <v>10</v>
      </c>
      <c r="AF32">
        <v>2</v>
      </c>
      <c r="AG32">
        <v>4</v>
      </c>
      <c r="AH32" s="25">
        <f t="shared" si="4"/>
        <v>191</v>
      </c>
      <c r="AI32">
        <v>73</v>
      </c>
      <c r="AJ32">
        <v>100</v>
      </c>
      <c r="AK32">
        <f t="shared" si="1"/>
        <v>27</v>
      </c>
      <c r="AL32" s="15">
        <f t="shared" si="2"/>
        <v>19100</v>
      </c>
      <c r="AM32" s="15">
        <f t="shared" si="3"/>
        <v>5157</v>
      </c>
    </row>
    <row r="33" spans="1:39">
      <c r="A33" s="27"/>
      <c r="B33" t="s">
        <v>50</v>
      </c>
      <c r="C33">
        <v>3</v>
      </c>
      <c r="D33">
        <v>10</v>
      </c>
      <c r="E33">
        <v>10</v>
      </c>
      <c r="F33">
        <v>5</v>
      </c>
      <c r="G33">
        <v>6</v>
      </c>
      <c r="H33">
        <v>5</v>
      </c>
      <c r="I33">
        <v>9</v>
      </c>
      <c r="J33">
        <v>10</v>
      </c>
      <c r="K33">
        <v>9</v>
      </c>
      <c r="L33">
        <v>8</v>
      </c>
      <c r="M33">
        <v>6</v>
      </c>
      <c r="N33">
        <v>1</v>
      </c>
      <c r="O33">
        <v>7</v>
      </c>
      <c r="P33">
        <v>9</v>
      </c>
      <c r="Q33">
        <v>5</v>
      </c>
      <c r="R33">
        <v>10</v>
      </c>
      <c r="S33">
        <v>6</v>
      </c>
      <c r="T33">
        <v>3</v>
      </c>
      <c r="U33">
        <v>1</v>
      </c>
      <c r="V33">
        <v>1</v>
      </c>
      <c r="W33">
        <v>8</v>
      </c>
      <c r="X33">
        <v>7</v>
      </c>
      <c r="Y33">
        <v>3</v>
      </c>
      <c r="Z33">
        <v>8</v>
      </c>
      <c r="AA33">
        <v>3</v>
      </c>
      <c r="AB33">
        <v>5</v>
      </c>
      <c r="AC33">
        <v>2</v>
      </c>
      <c r="AD33">
        <v>8</v>
      </c>
      <c r="AE33">
        <v>9</v>
      </c>
      <c r="AF33">
        <v>6</v>
      </c>
      <c r="AG33">
        <v>2</v>
      </c>
      <c r="AH33" s="25">
        <f t="shared" si="4"/>
        <v>185</v>
      </c>
      <c r="AI33">
        <v>367</v>
      </c>
      <c r="AJ33">
        <v>450</v>
      </c>
      <c r="AK33">
        <f t="shared" si="1"/>
        <v>83</v>
      </c>
      <c r="AL33" s="15">
        <f t="shared" si="2"/>
        <v>83250</v>
      </c>
      <c r="AM33" s="15">
        <f t="shared" si="3"/>
        <v>15355</v>
      </c>
    </row>
    <row r="34" spans="1:39">
      <c r="A34" s="27"/>
      <c r="B34" t="s">
        <v>51</v>
      </c>
      <c r="C34">
        <v>10</v>
      </c>
      <c r="D34">
        <v>4</v>
      </c>
      <c r="E34">
        <v>4</v>
      </c>
      <c r="F34">
        <v>2</v>
      </c>
      <c r="G34">
        <v>7</v>
      </c>
      <c r="H34">
        <v>10</v>
      </c>
      <c r="I34">
        <v>10</v>
      </c>
      <c r="J34">
        <v>8</v>
      </c>
      <c r="K34">
        <v>4</v>
      </c>
      <c r="L34">
        <v>8</v>
      </c>
      <c r="M34">
        <v>8</v>
      </c>
      <c r="N34">
        <v>8</v>
      </c>
      <c r="O34">
        <v>10</v>
      </c>
      <c r="P34">
        <v>3</v>
      </c>
      <c r="Q34">
        <v>2</v>
      </c>
      <c r="R34">
        <v>3</v>
      </c>
      <c r="S34">
        <v>6</v>
      </c>
      <c r="T34">
        <v>9</v>
      </c>
      <c r="U34">
        <v>5</v>
      </c>
      <c r="V34">
        <v>8</v>
      </c>
      <c r="W34">
        <v>2</v>
      </c>
      <c r="X34">
        <v>7</v>
      </c>
      <c r="Y34">
        <v>2</v>
      </c>
      <c r="Z34">
        <v>3</v>
      </c>
      <c r="AA34">
        <v>7</v>
      </c>
      <c r="AB34">
        <v>10</v>
      </c>
      <c r="AC34">
        <v>1</v>
      </c>
      <c r="AD34">
        <v>4</v>
      </c>
      <c r="AE34">
        <v>8</v>
      </c>
      <c r="AF34">
        <v>4</v>
      </c>
      <c r="AG34">
        <v>9</v>
      </c>
      <c r="AH34" s="25">
        <f t="shared" si="4"/>
        <v>186</v>
      </c>
      <c r="AI34">
        <v>342</v>
      </c>
      <c r="AJ34">
        <v>390</v>
      </c>
      <c r="AK34">
        <f t="shared" si="1"/>
        <v>48</v>
      </c>
      <c r="AL34" s="15">
        <f t="shared" si="2"/>
        <v>72540</v>
      </c>
      <c r="AM34" s="15">
        <f t="shared" si="3"/>
        <v>8928</v>
      </c>
    </row>
    <row r="35" spans="1:39">
      <c r="A35" s="27"/>
      <c r="B35" t="s">
        <v>52</v>
      </c>
      <c r="C35">
        <v>3</v>
      </c>
      <c r="D35">
        <v>9</v>
      </c>
      <c r="E35">
        <v>3</v>
      </c>
      <c r="F35">
        <v>9</v>
      </c>
      <c r="G35">
        <v>1</v>
      </c>
      <c r="H35">
        <v>2</v>
      </c>
      <c r="I35">
        <v>1</v>
      </c>
      <c r="J35">
        <v>6</v>
      </c>
      <c r="K35">
        <v>4</v>
      </c>
      <c r="L35">
        <v>4</v>
      </c>
      <c r="M35">
        <v>2</v>
      </c>
      <c r="N35">
        <v>2</v>
      </c>
      <c r="O35">
        <v>3</v>
      </c>
      <c r="P35">
        <v>10</v>
      </c>
      <c r="Q35">
        <v>6</v>
      </c>
      <c r="R35">
        <v>5</v>
      </c>
      <c r="S35">
        <v>10</v>
      </c>
      <c r="T35">
        <v>10</v>
      </c>
      <c r="U35">
        <v>1</v>
      </c>
      <c r="V35">
        <v>6</v>
      </c>
      <c r="W35">
        <v>6</v>
      </c>
      <c r="X35">
        <v>3</v>
      </c>
      <c r="Y35">
        <v>10</v>
      </c>
      <c r="Z35">
        <v>2</v>
      </c>
      <c r="AA35">
        <v>9</v>
      </c>
      <c r="AB35">
        <v>6</v>
      </c>
      <c r="AC35">
        <v>10</v>
      </c>
      <c r="AD35">
        <v>4</v>
      </c>
      <c r="AE35">
        <v>7</v>
      </c>
      <c r="AF35">
        <v>5</v>
      </c>
      <c r="AG35">
        <v>1</v>
      </c>
      <c r="AH35" s="25">
        <f t="shared" si="4"/>
        <v>160</v>
      </c>
      <c r="AI35">
        <v>363</v>
      </c>
      <c r="AJ35">
        <v>420</v>
      </c>
      <c r="AK35">
        <f t="shared" si="1"/>
        <v>57</v>
      </c>
      <c r="AL35" s="15">
        <f t="shared" si="2"/>
        <v>67200</v>
      </c>
      <c r="AM35" s="15">
        <f t="shared" si="3"/>
        <v>9120</v>
      </c>
    </row>
    <row r="36" spans="1:39">
      <c r="A36" s="27"/>
      <c r="B36" t="s">
        <v>53</v>
      </c>
      <c r="C36">
        <v>10</v>
      </c>
      <c r="D36">
        <v>7</v>
      </c>
      <c r="E36">
        <v>3</v>
      </c>
      <c r="F36">
        <v>7</v>
      </c>
      <c r="G36">
        <v>10</v>
      </c>
      <c r="H36">
        <v>9</v>
      </c>
      <c r="I36">
        <v>2</v>
      </c>
      <c r="J36">
        <v>10</v>
      </c>
      <c r="K36">
        <v>6</v>
      </c>
      <c r="L36">
        <v>5</v>
      </c>
      <c r="M36">
        <v>3</v>
      </c>
      <c r="N36">
        <v>9</v>
      </c>
      <c r="O36">
        <v>5</v>
      </c>
      <c r="P36">
        <v>2</v>
      </c>
      <c r="Q36">
        <v>8</v>
      </c>
      <c r="R36">
        <v>7</v>
      </c>
      <c r="S36">
        <v>6</v>
      </c>
      <c r="T36">
        <v>2</v>
      </c>
      <c r="U36">
        <v>5</v>
      </c>
      <c r="V36">
        <v>5</v>
      </c>
      <c r="W36">
        <v>3</v>
      </c>
      <c r="X36">
        <v>8</v>
      </c>
      <c r="Y36">
        <v>3</v>
      </c>
      <c r="Z36">
        <v>8</v>
      </c>
      <c r="AA36">
        <v>3</v>
      </c>
      <c r="AB36">
        <v>1</v>
      </c>
      <c r="AC36">
        <v>9</v>
      </c>
      <c r="AD36">
        <v>7</v>
      </c>
      <c r="AE36">
        <v>5</v>
      </c>
      <c r="AF36">
        <v>1</v>
      </c>
      <c r="AG36">
        <v>5</v>
      </c>
      <c r="AH36" s="25">
        <f t="shared" si="4"/>
        <v>174</v>
      </c>
      <c r="AI36">
        <v>263</v>
      </c>
      <c r="AJ36">
        <v>300</v>
      </c>
      <c r="AK36">
        <f t="shared" si="1"/>
        <v>37</v>
      </c>
      <c r="AL36" s="15">
        <f t="shared" si="2"/>
        <v>52200</v>
      </c>
      <c r="AM36" s="15">
        <f t="shared" si="3"/>
        <v>6438</v>
      </c>
    </row>
    <row r="37" spans="1:39">
      <c r="A37" s="27"/>
      <c r="B37" t="s">
        <v>54</v>
      </c>
      <c r="C37">
        <v>8</v>
      </c>
      <c r="D37">
        <v>9</v>
      </c>
      <c r="E37">
        <v>3</v>
      </c>
      <c r="F37">
        <v>3</v>
      </c>
      <c r="G37">
        <v>2</v>
      </c>
      <c r="H37">
        <v>6</v>
      </c>
      <c r="I37">
        <v>3</v>
      </c>
      <c r="J37">
        <v>8</v>
      </c>
      <c r="K37">
        <v>1</v>
      </c>
      <c r="L37">
        <v>2</v>
      </c>
      <c r="M37">
        <v>6</v>
      </c>
      <c r="N37">
        <v>2</v>
      </c>
      <c r="O37">
        <v>9</v>
      </c>
      <c r="P37">
        <v>1</v>
      </c>
      <c r="Q37">
        <v>9</v>
      </c>
      <c r="R37">
        <v>9</v>
      </c>
      <c r="S37">
        <v>4</v>
      </c>
      <c r="T37">
        <v>2</v>
      </c>
      <c r="U37">
        <v>3</v>
      </c>
      <c r="V37">
        <v>5</v>
      </c>
      <c r="W37">
        <v>7</v>
      </c>
      <c r="X37">
        <v>9</v>
      </c>
      <c r="Y37">
        <v>6</v>
      </c>
      <c r="Z37">
        <v>5</v>
      </c>
      <c r="AA37">
        <v>1</v>
      </c>
      <c r="AB37">
        <v>4</v>
      </c>
      <c r="AC37">
        <v>5</v>
      </c>
      <c r="AD37">
        <v>8</v>
      </c>
      <c r="AE37">
        <v>1</v>
      </c>
      <c r="AF37">
        <v>10</v>
      </c>
      <c r="AG37">
        <v>6</v>
      </c>
      <c r="AH37" s="25">
        <f t="shared" si="4"/>
        <v>157</v>
      </c>
      <c r="AI37">
        <v>96</v>
      </c>
      <c r="AJ37">
        <v>120</v>
      </c>
      <c r="AK37">
        <f t="shared" si="1"/>
        <v>24</v>
      </c>
      <c r="AL37" s="15">
        <f t="shared" si="2"/>
        <v>18840</v>
      </c>
      <c r="AM37" s="15">
        <f t="shared" si="3"/>
        <v>3768</v>
      </c>
    </row>
    <row r="38" spans="1:39">
      <c r="A38" s="27"/>
      <c r="B38" t="s">
        <v>55</v>
      </c>
      <c r="C38">
        <v>8</v>
      </c>
      <c r="D38">
        <v>6</v>
      </c>
      <c r="E38">
        <v>8</v>
      </c>
      <c r="F38">
        <v>1</v>
      </c>
      <c r="G38">
        <v>3</v>
      </c>
      <c r="H38">
        <v>2</v>
      </c>
      <c r="I38">
        <v>3</v>
      </c>
      <c r="J38">
        <v>6</v>
      </c>
      <c r="K38">
        <v>10</v>
      </c>
      <c r="L38">
        <v>9</v>
      </c>
      <c r="M38">
        <v>4</v>
      </c>
      <c r="N38">
        <v>3</v>
      </c>
      <c r="O38">
        <v>2</v>
      </c>
      <c r="P38">
        <v>5</v>
      </c>
      <c r="Q38">
        <v>4</v>
      </c>
      <c r="R38">
        <v>5</v>
      </c>
      <c r="S38">
        <v>1</v>
      </c>
      <c r="T38">
        <v>6</v>
      </c>
      <c r="U38">
        <v>5</v>
      </c>
      <c r="V38">
        <v>3</v>
      </c>
      <c r="W38">
        <v>4</v>
      </c>
      <c r="X38">
        <v>1</v>
      </c>
      <c r="Y38">
        <v>1</v>
      </c>
      <c r="Z38">
        <v>8</v>
      </c>
      <c r="AA38">
        <v>4</v>
      </c>
      <c r="AB38">
        <v>5</v>
      </c>
      <c r="AC38">
        <v>4</v>
      </c>
      <c r="AD38">
        <v>3</v>
      </c>
      <c r="AE38">
        <v>2</v>
      </c>
      <c r="AF38">
        <v>3</v>
      </c>
      <c r="AG38">
        <v>7</v>
      </c>
      <c r="AH38" s="25">
        <f t="shared" si="4"/>
        <v>136</v>
      </c>
      <c r="AI38">
        <v>196</v>
      </c>
      <c r="AJ38">
        <v>230</v>
      </c>
      <c r="AK38">
        <f t="shared" si="1"/>
        <v>34</v>
      </c>
      <c r="AL38" s="15">
        <f t="shared" si="2"/>
        <v>31280</v>
      </c>
      <c r="AM38" s="15">
        <f t="shared" si="3"/>
        <v>4624</v>
      </c>
    </row>
    <row r="39" spans="1:39">
      <c r="A39" s="27"/>
      <c r="B39" t="s">
        <v>56</v>
      </c>
      <c r="C39">
        <v>3</v>
      </c>
      <c r="D39">
        <v>2</v>
      </c>
      <c r="E39">
        <v>5</v>
      </c>
      <c r="F39">
        <v>6</v>
      </c>
      <c r="G39">
        <v>1</v>
      </c>
      <c r="H39">
        <v>10</v>
      </c>
      <c r="I39">
        <v>4</v>
      </c>
      <c r="J39">
        <v>3</v>
      </c>
      <c r="K39">
        <v>3</v>
      </c>
      <c r="L39">
        <v>5</v>
      </c>
      <c r="M39">
        <v>2</v>
      </c>
      <c r="N39">
        <v>7</v>
      </c>
      <c r="O39">
        <v>3</v>
      </c>
      <c r="P39">
        <v>9</v>
      </c>
      <c r="Q39">
        <v>8</v>
      </c>
      <c r="R39">
        <v>6</v>
      </c>
      <c r="S39">
        <v>1</v>
      </c>
      <c r="T39">
        <v>4</v>
      </c>
      <c r="U39">
        <v>10</v>
      </c>
      <c r="V39">
        <v>8</v>
      </c>
      <c r="W39">
        <v>3</v>
      </c>
      <c r="X39">
        <v>1</v>
      </c>
      <c r="Y39">
        <v>4</v>
      </c>
      <c r="Z39">
        <v>10</v>
      </c>
      <c r="AA39">
        <v>10</v>
      </c>
      <c r="AB39">
        <v>3</v>
      </c>
      <c r="AC39">
        <v>5</v>
      </c>
      <c r="AD39">
        <v>4</v>
      </c>
      <c r="AE39">
        <v>9</v>
      </c>
      <c r="AF39">
        <v>7</v>
      </c>
      <c r="AG39">
        <v>8</v>
      </c>
      <c r="AH39" s="25">
        <f t="shared" si="4"/>
        <v>164</v>
      </c>
      <c r="AI39">
        <v>98</v>
      </c>
      <c r="AJ39">
        <v>115</v>
      </c>
      <c r="AK39">
        <f t="shared" si="1"/>
        <v>17</v>
      </c>
      <c r="AL39" s="15">
        <f t="shared" si="2"/>
        <v>18860</v>
      </c>
      <c r="AM39" s="15">
        <f t="shared" si="3"/>
        <v>2788</v>
      </c>
    </row>
    <row r="40" spans="1:39">
      <c r="A40" s="27"/>
      <c r="B40" t="s">
        <v>57</v>
      </c>
      <c r="C40">
        <v>3</v>
      </c>
      <c r="D40">
        <v>9</v>
      </c>
      <c r="E40">
        <v>8</v>
      </c>
      <c r="F40">
        <v>7</v>
      </c>
      <c r="G40">
        <v>10</v>
      </c>
      <c r="H40">
        <v>5</v>
      </c>
      <c r="I40">
        <v>4</v>
      </c>
      <c r="J40">
        <v>3</v>
      </c>
      <c r="K40">
        <v>3</v>
      </c>
      <c r="L40">
        <v>10</v>
      </c>
      <c r="M40">
        <v>6</v>
      </c>
      <c r="N40">
        <v>1</v>
      </c>
      <c r="O40">
        <v>10</v>
      </c>
      <c r="P40">
        <v>9</v>
      </c>
      <c r="Q40">
        <v>1</v>
      </c>
      <c r="R40">
        <v>4</v>
      </c>
      <c r="S40">
        <v>3</v>
      </c>
      <c r="T40">
        <v>7</v>
      </c>
      <c r="U40">
        <v>1</v>
      </c>
      <c r="V40">
        <v>1</v>
      </c>
      <c r="W40">
        <v>5</v>
      </c>
      <c r="X40">
        <v>6</v>
      </c>
      <c r="Y40">
        <v>5</v>
      </c>
      <c r="Z40">
        <v>3</v>
      </c>
      <c r="AA40">
        <v>3</v>
      </c>
      <c r="AB40">
        <v>4</v>
      </c>
      <c r="AC40">
        <v>5</v>
      </c>
      <c r="AD40">
        <v>4</v>
      </c>
      <c r="AE40">
        <v>9</v>
      </c>
      <c r="AF40">
        <v>10</v>
      </c>
      <c r="AG40">
        <v>3</v>
      </c>
      <c r="AH40" s="25">
        <f t="shared" si="4"/>
        <v>162</v>
      </c>
      <c r="AI40">
        <v>75</v>
      </c>
      <c r="AJ40">
        <v>99</v>
      </c>
      <c r="AK40">
        <f t="shared" si="1"/>
        <v>24</v>
      </c>
      <c r="AL40" s="15">
        <f t="shared" si="2"/>
        <v>16038</v>
      </c>
      <c r="AM40" s="15">
        <f t="shared" si="3"/>
        <v>3888</v>
      </c>
    </row>
    <row r="41" spans="1:39">
      <c r="A41" s="27"/>
      <c r="B41" t="s">
        <v>58</v>
      </c>
      <c r="C41">
        <v>1</v>
      </c>
      <c r="D41">
        <v>9</v>
      </c>
      <c r="E41">
        <v>6</v>
      </c>
      <c r="F41">
        <v>8</v>
      </c>
      <c r="G41">
        <v>3</v>
      </c>
      <c r="H41">
        <v>3</v>
      </c>
      <c r="I41">
        <v>4</v>
      </c>
      <c r="J41">
        <v>9</v>
      </c>
      <c r="K41">
        <v>9</v>
      </c>
      <c r="L41">
        <v>6</v>
      </c>
      <c r="M41">
        <v>2</v>
      </c>
      <c r="N41">
        <v>1</v>
      </c>
      <c r="O41">
        <v>5</v>
      </c>
      <c r="P41">
        <v>8</v>
      </c>
      <c r="Q41">
        <v>7</v>
      </c>
      <c r="R41">
        <v>5</v>
      </c>
      <c r="S41">
        <v>6</v>
      </c>
      <c r="T41">
        <v>7</v>
      </c>
      <c r="U41">
        <v>3</v>
      </c>
      <c r="V41">
        <v>2</v>
      </c>
      <c r="W41">
        <v>5</v>
      </c>
      <c r="X41">
        <v>2</v>
      </c>
      <c r="Y41">
        <v>8</v>
      </c>
      <c r="Z41">
        <v>8</v>
      </c>
      <c r="AA41">
        <v>10</v>
      </c>
      <c r="AB41">
        <v>5</v>
      </c>
      <c r="AC41">
        <v>1</v>
      </c>
      <c r="AD41">
        <v>8</v>
      </c>
      <c r="AE41">
        <v>1</v>
      </c>
      <c r="AF41">
        <v>8</v>
      </c>
      <c r="AG41">
        <v>5</v>
      </c>
      <c r="AH41" s="25">
        <f t="shared" si="4"/>
        <v>165</v>
      </c>
      <c r="AI41">
        <v>105</v>
      </c>
      <c r="AJ41">
        <v>140</v>
      </c>
      <c r="AK41">
        <f t="shared" si="1"/>
        <v>35</v>
      </c>
      <c r="AL41" s="15">
        <f t="shared" si="2"/>
        <v>23100</v>
      </c>
      <c r="AM41" s="15">
        <f t="shared" si="3"/>
        <v>5775</v>
      </c>
    </row>
    <row r="42" spans="1:39">
      <c r="A42" s="27"/>
      <c r="B42" t="s">
        <v>59</v>
      </c>
      <c r="C42">
        <v>9</v>
      </c>
      <c r="D42">
        <v>8</v>
      </c>
      <c r="E42">
        <v>1</v>
      </c>
      <c r="F42">
        <v>8</v>
      </c>
      <c r="G42">
        <v>10</v>
      </c>
      <c r="H42">
        <v>8</v>
      </c>
      <c r="I42">
        <v>5</v>
      </c>
      <c r="J42">
        <v>4</v>
      </c>
      <c r="K42">
        <v>5</v>
      </c>
      <c r="L42">
        <v>9</v>
      </c>
      <c r="M42">
        <v>7</v>
      </c>
      <c r="N42">
        <v>10</v>
      </c>
      <c r="O42">
        <v>7</v>
      </c>
      <c r="P42">
        <v>4</v>
      </c>
      <c r="Q42">
        <v>4</v>
      </c>
      <c r="R42">
        <v>4</v>
      </c>
      <c r="S42">
        <v>8</v>
      </c>
      <c r="T42">
        <v>1</v>
      </c>
      <c r="U42">
        <v>10</v>
      </c>
      <c r="V42">
        <v>4</v>
      </c>
      <c r="W42">
        <v>1</v>
      </c>
      <c r="X42">
        <v>6</v>
      </c>
      <c r="Y42">
        <v>6</v>
      </c>
      <c r="Z42">
        <v>6</v>
      </c>
      <c r="AA42">
        <v>5</v>
      </c>
      <c r="AB42">
        <v>6</v>
      </c>
      <c r="AC42">
        <v>1</v>
      </c>
      <c r="AD42">
        <v>10</v>
      </c>
      <c r="AE42">
        <v>10</v>
      </c>
      <c r="AF42">
        <v>9</v>
      </c>
      <c r="AG42">
        <v>8</v>
      </c>
      <c r="AH42" s="25">
        <f t="shared" si="4"/>
        <v>194</v>
      </c>
      <c r="AI42">
        <v>37</v>
      </c>
      <c r="AJ42">
        <v>50</v>
      </c>
      <c r="AK42">
        <f t="shared" si="1"/>
        <v>13</v>
      </c>
      <c r="AL42" s="15">
        <f t="shared" si="2"/>
        <v>9700</v>
      </c>
      <c r="AM42" s="15">
        <f t="shared" si="3"/>
        <v>2522</v>
      </c>
    </row>
    <row r="43" spans="1:39">
      <c r="A43" s="27"/>
      <c r="B43" t="s">
        <v>60</v>
      </c>
      <c r="C43">
        <v>1</v>
      </c>
      <c r="D43">
        <v>10</v>
      </c>
      <c r="E43">
        <v>4</v>
      </c>
      <c r="F43">
        <v>4</v>
      </c>
      <c r="G43">
        <v>2</v>
      </c>
      <c r="H43">
        <v>3</v>
      </c>
      <c r="I43">
        <v>9</v>
      </c>
      <c r="J43">
        <v>1</v>
      </c>
      <c r="K43">
        <v>5</v>
      </c>
      <c r="L43">
        <v>3</v>
      </c>
      <c r="M43">
        <v>7</v>
      </c>
      <c r="N43">
        <v>6</v>
      </c>
      <c r="O43">
        <v>9</v>
      </c>
      <c r="P43">
        <v>10</v>
      </c>
      <c r="Q43">
        <v>8</v>
      </c>
      <c r="R43">
        <v>2</v>
      </c>
      <c r="S43">
        <v>6</v>
      </c>
      <c r="T43">
        <v>2</v>
      </c>
      <c r="U43">
        <v>2</v>
      </c>
      <c r="V43">
        <v>5</v>
      </c>
      <c r="W43">
        <v>3</v>
      </c>
      <c r="X43">
        <v>1</v>
      </c>
      <c r="Y43">
        <v>3</v>
      </c>
      <c r="Z43">
        <v>9</v>
      </c>
      <c r="AA43">
        <v>6</v>
      </c>
      <c r="AB43">
        <v>6</v>
      </c>
      <c r="AC43">
        <v>1</v>
      </c>
      <c r="AD43">
        <v>1</v>
      </c>
      <c r="AE43">
        <v>9</v>
      </c>
      <c r="AF43">
        <v>6</v>
      </c>
      <c r="AG43">
        <v>6</v>
      </c>
      <c r="AH43" s="25">
        <f t="shared" si="4"/>
        <v>150</v>
      </c>
      <c r="AI43">
        <v>221</v>
      </c>
      <c r="AJ43">
        <v>250</v>
      </c>
      <c r="AK43">
        <f t="shared" si="1"/>
        <v>29</v>
      </c>
      <c r="AL43" s="15">
        <f t="shared" si="2"/>
        <v>37500</v>
      </c>
      <c r="AM43" s="15">
        <f t="shared" si="3"/>
        <v>4350</v>
      </c>
    </row>
    <row r="44" spans="1:39">
      <c r="A44" s="27"/>
      <c r="B44" t="s">
        <v>61</v>
      </c>
      <c r="C44">
        <v>1</v>
      </c>
      <c r="D44">
        <v>6</v>
      </c>
      <c r="E44">
        <v>10</v>
      </c>
      <c r="F44">
        <v>8</v>
      </c>
      <c r="G44">
        <v>9</v>
      </c>
      <c r="H44">
        <v>1</v>
      </c>
      <c r="I44">
        <v>10</v>
      </c>
      <c r="J44">
        <v>9</v>
      </c>
      <c r="K44">
        <v>8</v>
      </c>
      <c r="L44">
        <v>9</v>
      </c>
      <c r="M44">
        <v>9</v>
      </c>
      <c r="N44">
        <v>8</v>
      </c>
      <c r="O44">
        <v>4</v>
      </c>
      <c r="P44">
        <v>8</v>
      </c>
      <c r="Q44">
        <v>1</v>
      </c>
      <c r="R44">
        <v>10</v>
      </c>
      <c r="S44">
        <v>10</v>
      </c>
      <c r="T44">
        <v>2</v>
      </c>
      <c r="U44">
        <v>5</v>
      </c>
      <c r="V44">
        <v>7</v>
      </c>
      <c r="W44">
        <v>7</v>
      </c>
      <c r="X44">
        <v>6</v>
      </c>
      <c r="Y44">
        <v>6</v>
      </c>
      <c r="Z44">
        <v>4</v>
      </c>
      <c r="AA44">
        <v>6</v>
      </c>
      <c r="AB44">
        <v>9</v>
      </c>
      <c r="AC44">
        <v>1</v>
      </c>
      <c r="AD44">
        <v>7</v>
      </c>
      <c r="AE44">
        <v>1</v>
      </c>
      <c r="AF44">
        <v>8</v>
      </c>
      <c r="AG44">
        <v>10</v>
      </c>
      <c r="AH44" s="25">
        <f t="shared" si="4"/>
        <v>200</v>
      </c>
      <c r="AI44">
        <v>140</v>
      </c>
      <c r="AJ44">
        <v>150</v>
      </c>
      <c r="AK44">
        <f t="shared" si="1"/>
        <v>10</v>
      </c>
      <c r="AL44" s="15">
        <f t="shared" si="2"/>
        <v>30000</v>
      </c>
      <c r="AM44" s="15">
        <f t="shared" si="3"/>
        <v>2000</v>
      </c>
    </row>
    <row r="45" spans="1:39">
      <c r="A45" s="27"/>
      <c r="B45" t="s">
        <v>62</v>
      </c>
      <c r="C45">
        <v>3</v>
      </c>
      <c r="D45">
        <v>6</v>
      </c>
      <c r="E45">
        <v>7</v>
      </c>
      <c r="F45">
        <v>10</v>
      </c>
      <c r="G45">
        <v>8</v>
      </c>
      <c r="H45">
        <v>5</v>
      </c>
      <c r="I45">
        <v>5</v>
      </c>
      <c r="J45">
        <v>6</v>
      </c>
      <c r="K45">
        <v>4</v>
      </c>
      <c r="L45">
        <v>3</v>
      </c>
      <c r="M45">
        <v>9</v>
      </c>
      <c r="N45">
        <v>10</v>
      </c>
      <c r="O45">
        <v>10</v>
      </c>
      <c r="P45">
        <v>5</v>
      </c>
      <c r="Q45">
        <v>3</v>
      </c>
      <c r="R45">
        <v>9</v>
      </c>
      <c r="S45">
        <v>2</v>
      </c>
      <c r="T45">
        <v>1</v>
      </c>
      <c r="U45">
        <v>4</v>
      </c>
      <c r="V45">
        <v>3</v>
      </c>
      <c r="W45">
        <v>5</v>
      </c>
      <c r="X45">
        <v>1</v>
      </c>
      <c r="Y45">
        <v>6</v>
      </c>
      <c r="Z45">
        <v>9</v>
      </c>
      <c r="AA45">
        <v>10</v>
      </c>
      <c r="AB45">
        <v>3</v>
      </c>
      <c r="AC45">
        <v>7</v>
      </c>
      <c r="AD45">
        <v>8</v>
      </c>
      <c r="AE45">
        <v>10</v>
      </c>
      <c r="AF45">
        <v>8</v>
      </c>
      <c r="AG45">
        <v>6</v>
      </c>
      <c r="AH45" s="25">
        <f t="shared" si="4"/>
        <v>186</v>
      </c>
      <c r="AI45">
        <v>154</v>
      </c>
      <c r="AJ45">
        <v>170</v>
      </c>
      <c r="AK45">
        <f t="shared" si="1"/>
        <v>16</v>
      </c>
      <c r="AL45" s="15">
        <f t="shared" si="2"/>
        <v>31620</v>
      </c>
      <c r="AM45" s="15">
        <f t="shared" si="3"/>
        <v>2976</v>
      </c>
    </row>
    <row r="46" spans="1:39">
      <c r="A46" s="27"/>
      <c r="B46" t="s">
        <v>63</v>
      </c>
      <c r="C46">
        <v>2</v>
      </c>
      <c r="D46">
        <v>4</v>
      </c>
      <c r="E46">
        <v>9</v>
      </c>
      <c r="F46">
        <v>4</v>
      </c>
      <c r="G46">
        <v>9</v>
      </c>
      <c r="H46">
        <v>7</v>
      </c>
      <c r="I46">
        <v>6</v>
      </c>
      <c r="J46">
        <v>1</v>
      </c>
      <c r="K46">
        <v>3</v>
      </c>
      <c r="L46">
        <v>3</v>
      </c>
      <c r="M46">
        <v>4</v>
      </c>
      <c r="N46">
        <v>7</v>
      </c>
      <c r="O46">
        <v>2</v>
      </c>
      <c r="P46">
        <v>1</v>
      </c>
      <c r="Q46">
        <v>10</v>
      </c>
      <c r="R46">
        <v>10</v>
      </c>
      <c r="S46">
        <v>6</v>
      </c>
      <c r="T46">
        <v>6</v>
      </c>
      <c r="U46">
        <v>4</v>
      </c>
      <c r="V46">
        <v>10</v>
      </c>
      <c r="W46">
        <v>1</v>
      </c>
      <c r="X46">
        <v>4</v>
      </c>
      <c r="Y46">
        <v>3</v>
      </c>
      <c r="Z46">
        <v>5</v>
      </c>
      <c r="AA46">
        <v>5</v>
      </c>
      <c r="AB46">
        <v>10</v>
      </c>
      <c r="AC46">
        <v>10</v>
      </c>
      <c r="AD46">
        <v>4</v>
      </c>
      <c r="AE46">
        <v>10</v>
      </c>
      <c r="AF46">
        <v>2</v>
      </c>
      <c r="AG46">
        <v>6</v>
      </c>
      <c r="AH46" s="25">
        <f t="shared" si="4"/>
        <v>168</v>
      </c>
      <c r="AI46">
        <v>322</v>
      </c>
      <c r="AJ46">
        <v>345</v>
      </c>
      <c r="AK46">
        <f t="shared" si="1"/>
        <v>23</v>
      </c>
      <c r="AL46" s="15">
        <f t="shared" si="2"/>
        <v>57960</v>
      </c>
      <c r="AM46" s="15">
        <f t="shared" si="3"/>
        <v>3864</v>
      </c>
    </row>
    <row r="47" spans="1:39">
      <c r="A47" s="27"/>
      <c r="B47" t="s">
        <v>64</v>
      </c>
      <c r="C47">
        <v>5</v>
      </c>
      <c r="D47">
        <v>10</v>
      </c>
      <c r="E47">
        <v>9</v>
      </c>
      <c r="F47">
        <v>9</v>
      </c>
      <c r="G47">
        <v>6</v>
      </c>
      <c r="H47">
        <v>1</v>
      </c>
      <c r="I47">
        <v>9</v>
      </c>
      <c r="J47">
        <v>2</v>
      </c>
      <c r="K47">
        <v>8</v>
      </c>
      <c r="L47">
        <v>10</v>
      </c>
      <c r="M47">
        <v>1</v>
      </c>
      <c r="N47">
        <v>10</v>
      </c>
      <c r="O47">
        <v>4</v>
      </c>
      <c r="P47">
        <v>9</v>
      </c>
      <c r="Q47">
        <v>5</v>
      </c>
      <c r="R47">
        <v>3</v>
      </c>
      <c r="S47">
        <v>3</v>
      </c>
      <c r="T47">
        <v>8</v>
      </c>
      <c r="U47">
        <v>3</v>
      </c>
      <c r="V47">
        <v>6</v>
      </c>
      <c r="W47">
        <v>6</v>
      </c>
      <c r="X47">
        <v>10</v>
      </c>
      <c r="Y47">
        <v>7</v>
      </c>
      <c r="Z47">
        <v>3</v>
      </c>
      <c r="AA47">
        <v>5</v>
      </c>
      <c r="AB47">
        <v>10</v>
      </c>
      <c r="AC47">
        <v>4</v>
      </c>
      <c r="AD47">
        <v>7</v>
      </c>
      <c r="AE47">
        <v>7</v>
      </c>
      <c r="AF47">
        <v>7</v>
      </c>
      <c r="AG47">
        <v>10</v>
      </c>
      <c r="AH47" s="25">
        <f t="shared" si="4"/>
        <v>197</v>
      </c>
      <c r="AI47">
        <v>380</v>
      </c>
      <c r="AJ47">
        <v>456</v>
      </c>
      <c r="AK47">
        <f t="shared" si="1"/>
        <v>76</v>
      </c>
      <c r="AL47" s="15">
        <f t="shared" si="2"/>
        <v>89832</v>
      </c>
      <c r="AM47" s="15">
        <f t="shared" si="3"/>
        <v>14972</v>
      </c>
    </row>
    <row r="48" spans="1:39">
      <c r="A48" s="27"/>
      <c r="B48" t="s">
        <v>65</v>
      </c>
      <c r="C48">
        <v>9</v>
      </c>
      <c r="D48">
        <v>9</v>
      </c>
      <c r="E48">
        <v>2</v>
      </c>
      <c r="F48">
        <v>9</v>
      </c>
      <c r="G48">
        <v>10</v>
      </c>
      <c r="H48">
        <v>2</v>
      </c>
      <c r="I48">
        <v>2</v>
      </c>
      <c r="J48">
        <v>1</v>
      </c>
      <c r="K48">
        <v>8</v>
      </c>
      <c r="L48">
        <v>8</v>
      </c>
      <c r="M48">
        <v>3</v>
      </c>
      <c r="N48">
        <v>10</v>
      </c>
      <c r="O48">
        <v>10</v>
      </c>
      <c r="P48">
        <v>5</v>
      </c>
      <c r="Q48">
        <v>6</v>
      </c>
      <c r="R48">
        <v>9</v>
      </c>
      <c r="S48">
        <v>6</v>
      </c>
      <c r="T48">
        <v>4</v>
      </c>
      <c r="U48">
        <v>9</v>
      </c>
      <c r="V48">
        <v>10</v>
      </c>
      <c r="W48">
        <v>6</v>
      </c>
      <c r="X48">
        <v>4</v>
      </c>
      <c r="Y48">
        <v>10</v>
      </c>
      <c r="Z48">
        <v>7</v>
      </c>
      <c r="AA48">
        <v>4</v>
      </c>
      <c r="AB48">
        <v>5</v>
      </c>
      <c r="AC48">
        <v>1</v>
      </c>
      <c r="AD48">
        <v>9</v>
      </c>
      <c r="AE48">
        <v>10</v>
      </c>
      <c r="AF48">
        <v>4</v>
      </c>
      <c r="AG48">
        <v>9</v>
      </c>
      <c r="AH48" s="25">
        <f t="shared" si="4"/>
        <v>201</v>
      </c>
      <c r="AI48">
        <v>133</v>
      </c>
      <c r="AJ48">
        <v>158</v>
      </c>
      <c r="AK48">
        <f t="shared" si="1"/>
        <v>25</v>
      </c>
      <c r="AL48" s="15">
        <f t="shared" si="2"/>
        <v>31758</v>
      </c>
      <c r="AM48" s="15">
        <f t="shared" si="3"/>
        <v>5025</v>
      </c>
    </row>
    <row r="49" spans="1:39">
      <c r="A49" s="27"/>
      <c r="B49" t="s">
        <v>66</v>
      </c>
      <c r="C49">
        <v>8</v>
      </c>
      <c r="D49">
        <v>3</v>
      </c>
      <c r="E49">
        <v>3</v>
      </c>
      <c r="F49">
        <v>4</v>
      </c>
      <c r="G49">
        <v>3</v>
      </c>
      <c r="H49">
        <v>5</v>
      </c>
      <c r="I49">
        <v>2</v>
      </c>
      <c r="J49">
        <v>1</v>
      </c>
      <c r="K49">
        <v>2</v>
      </c>
      <c r="L49">
        <v>8</v>
      </c>
      <c r="M49">
        <v>5</v>
      </c>
      <c r="N49">
        <v>7</v>
      </c>
      <c r="O49">
        <v>2</v>
      </c>
      <c r="P49">
        <v>8</v>
      </c>
      <c r="Q49">
        <v>2</v>
      </c>
      <c r="R49">
        <v>6</v>
      </c>
      <c r="S49">
        <v>9</v>
      </c>
      <c r="T49">
        <v>2</v>
      </c>
      <c r="U49">
        <v>6</v>
      </c>
      <c r="V49">
        <v>4</v>
      </c>
      <c r="W49">
        <v>2</v>
      </c>
      <c r="X49">
        <v>6</v>
      </c>
      <c r="Y49">
        <v>6</v>
      </c>
      <c r="Z49">
        <v>7</v>
      </c>
      <c r="AA49">
        <v>4</v>
      </c>
      <c r="AB49">
        <v>7</v>
      </c>
      <c r="AC49">
        <v>5</v>
      </c>
      <c r="AD49">
        <v>10</v>
      </c>
      <c r="AE49">
        <v>2</v>
      </c>
      <c r="AF49">
        <v>6</v>
      </c>
      <c r="AG49">
        <v>9</v>
      </c>
      <c r="AH49" s="25">
        <f t="shared" si="4"/>
        <v>154</v>
      </c>
      <c r="AI49">
        <v>40</v>
      </c>
      <c r="AJ49">
        <v>65</v>
      </c>
      <c r="AK49">
        <f t="shared" si="1"/>
        <v>25</v>
      </c>
      <c r="AL49" s="15">
        <f t="shared" si="2"/>
        <v>10010</v>
      </c>
      <c r="AM49" s="15">
        <f t="shared" si="3"/>
        <v>3850</v>
      </c>
    </row>
    <row r="50" spans="1:39">
      <c r="A50" s="27"/>
      <c r="B50" t="s">
        <v>67</v>
      </c>
      <c r="C50">
        <v>3</v>
      </c>
      <c r="D50">
        <v>9</v>
      </c>
      <c r="E50">
        <v>6</v>
      </c>
      <c r="F50">
        <v>10</v>
      </c>
      <c r="G50">
        <v>6</v>
      </c>
      <c r="H50">
        <v>9</v>
      </c>
      <c r="I50">
        <v>1</v>
      </c>
      <c r="J50">
        <v>5</v>
      </c>
      <c r="K50">
        <v>7</v>
      </c>
      <c r="L50">
        <v>4</v>
      </c>
      <c r="M50">
        <v>10</v>
      </c>
      <c r="N50">
        <v>5</v>
      </c>
      <c r="O50">
        <v>4</v>
      </c>
      <c r="P50">
        <v>8</v>
      </c>
      <c r="Q50">
        <v>3</v>
      </c>
      <c r="R50">
        <v>2</v>
      </c>
      <c r="S50">
        <v>3</v>
      </c>
      <c r="T50">
        <v>7</v>
      </c>
      <c r="U50">
        <v>6</v>
      </c>
      <c r="V50">
        <v>7</v>
      </c>
      <c r="W50">
        <v>4</v>
      </c>
      <c r="X50">
        <v>6</v>
      </c>
      <c r="Y50">
        <v>8</v>
      </c>
      <c r="Z50">
        <v>6</v>
      </c>
      <c r="AA50">
        <v>1</v>
      </c>
      <c r="AB50">
        <v>10</v>
      </c>
      <c r="AC50">
        <v>2</v>
      </c>
      <c r="AD50">
        <v>5</v>
      </c>
      <c r="AE50">
        <v>4</v>
      </c>
      <c r="AF50">
        <v>9</v>
      </c>
      <c r="AG50">
        <v>5</v>
      </c>
      <c r="AH50" s="25">
        <f t="shared" si="4"/>
        <v>175</v>
      </c>
      <c r="AI50">
        <v>72</v>
      </c>
      <c r="AJ50">
        <v>89</v>
      </c>
      <c r="AK50">
        <f t="shared" si="1"/>
        <v>17</v>
      </c>
      <c r="AL50" s="15">
        <f t="shared" si="2"/>
        <v>15575</v>
      </c>
      <c r="AM50" s="15">
        <f t="shared" si="3"/>
        <v>2975</v>
      </c>
    </row>
    <row r="51" spans="1:39">
      <c r="A51" s="27"/>
      <c r="B51" t="s">
        <v>68</v>
      </c>
      <c r="C51">
        <v>1</v>
      </c>
      <c r="D51">
        <v>5</v>
      </c>
      <c r="E51">
        <v>1</v>
      </c>
      <c r="F51">
        <v>1</v>
      </c>
      <c r="G51">
        <v>9</v>
      </c>
      <c r="H51">
        <v>2</v>
      </c>
      <c r="I51">
        <v>9</v>
      </c>
      <c r="J51">
        <v>7</v>
      </c>
      <c r="K51">
        <v>8</v>
      </c>
      <c r="L51">
        <v>4</v>
      </c>
      <c r="M51">
        <v>2</v>
      </c>
      <c r="N51">
        <v>9</v>
      </c>
      <c r="O51">
        <v>8</v>
      </c>
      <c r="P51">
        <v>6</v>
      </c>
      <c r="Q51">
        <v>5</v>
      </c>
      <c r="R51">
        <v>9</v>
      </c>
      <c r="S51">
        <v>8</v>
      </c>
      <c r="T51">
        <v>9</v>
      </c>
      <c r="U51">
        <v>5</v>
      </c>
      <c r="V51">
        <v>1</v>
      </c>
      <c r="W51">
        <v>6</v>
      </c>
      <c r="X51">
        <v>7</v>
      </c>
      <c r="Y51">
        <v>7</v>
      </c>
      <c r="Z51">
        <v>6</v>
      </c>
      <c r="AA51">
        <v>8</v>
      </c>
      <c r="AB51">
        <v>7</v>
      </c>
      <c r="AC51">
        <v>10</v>
      </c>
      <c r="AD51">
        <v>4</v>
      </c>
      <c r="AE51">
        <v>8</v>
      </c>
      <c r="AF51">
        <v>6</v>
      </c>
      <c r="AG51">
        <v>6</v>
      </c>
      <c r="AH51" s="25">
        <f t="shared" si="4"/>
        <v>184</v>
      </c>
      <c r="AI51">
        <v>236</v>
      </c>
      <c r="AJ51">
        <v>268</v>
      </c>
      <c r="AK51">
        <f t="shared" si="1"/>
        <v>32</v>
      </c>
      <c r="AL51" s="15">
        <f t="shared" si="2"/>
        <v>49312</v>
      </c>
      <c r="AM51" s="15">
        <f t="shared" si="3"/>
        <v>5888</v>
      </c>
    </row>
    <row r="52" spans="1:39">
      <c r="A52" s="27"/>
      <c r="B52" t="s">
        <v>69</v>
      </c>
      <c r="C52">
        <v>3</v>
      </c>
      <c r="D52">
        <v>5</v>
      </c>
      <c r="E52">
        <v>6</v>
      </c>
      <c r="F52">
        <v>9</v>
      </c>
      <c r="G52">
        <v>8</v>
      </c>
      <c r="H52">
        <v>3</v>
      </c>
      <c r="I52">
        <v>8</v>
      </c>
      <c r="J52">
        <v>10</v>
      </c>
      <c r="K52">
        <v>5</v>
      </c>
      <c r="L52">
        <v>7</v>
      </c>
      <c r="M52">
        <v>1</v>
      </c>
      <c r="N52">
        <v>5</v>
      </c>
      <c r="O52">
        <v>6</v>
      </c>
      <c r="P52">
        <v>6</v>
      </c>
      <c r="Q52">
        <v>9</v>
      </c>
      <c r="R52">
        <v>4</v>
      </c>
      <c r="S52">
        <v>2</v>
      </c>
      <c r="T52">
        <v>1</v>
      </c>
      <c r="U52">
        <v>6</v>
      </c>
      <c r="V52">
        <v>8</v>
      </c>
      <c r="W52">
        <v>5</v>
      </c>
      <c r="X52">
        <v>6</v>
      </c>
      <c r="Y52">
        <v>10</v>
      </c>
      <c r="Z52">
        <v>3</v>
      </c>
      <c r="AA52">
        <v>4</v>
      </c>
      <c r="AB52">
        <v>7</v>
      </c>
      <c r="AC52">
        <v>5</v>
      </c>
      <c r="AD52">
        <v>2</v>
      </c>
      <c r="AE52">
        <v>3</v>
      </c>
      <c r="AF52">
        <v>3</v>
      </c>
      <c r="AG52">
        <v>1</v>
      </c>
      <c r="AH52" s="25">
        <f t="shared" si="4"/>
        <v>161</v>
      </c>
      <c r="AI52">
        <v>156</v>
      </c>
      <c r="AJ52">
        <v>178</v>
      </c>
      <c r="AK52">
        <f t="shared" si="1"/>
        <v>22</v>
      </c>
      <c r="AL52" s="15">
        <f t="shared" si="2"/>
        <v>28658</v>
      </c>
      <c r="AM52" s="15">
        <f t="shared" si="3"/>
        <v>3542</v>
      </c>
    </row>
    <row r="53" spans="1:39">
      <c r="A53" s="27"/>
      <c r="B53" t="s">
        <v>70</v>
      </c>
      <c r="C53">
        <v>8</v>
      </c>
      <c r="D53">
        <v>7</v>
      </c>
      <c r="E53">
        <v>10</v>
      </c>
      <c r="F53">
        <v>8</v>
      </c>
      <c r="G53">
        <v>6</v>
      </c>
      <c r="H53">
        <v>3</v>
      </c>
      <c r="I53">
        <v>9</v>
      </c>
      <c r="J53">
        <v>9</v>
      </c>
      <c r="K53">
        <v>1</v>
      </c>
      <c r="L53">
        <v>1</v>
      </c>
      <c r="M53">
        <v>9</v>
      </c>
      <c r="N53">
        <v>4</v>
      </c>
      <c r="O53">
        <v>8</v>
      </c>
      <c r="P53">
        <v>8</v>
      </c>
      <c r="Q53">
        <v>9</v>
      </c>
      <c r="R53">
        <v>5</v>
      </c>
      <c r="S53">
        <v>10</v>
      </c>
      <c r="T53">
        <v>5</v>
      </c>
      <c r="U53">
        <v>5</v>
      </c>
      <c r="V53">
        <v>10</v>
      </c>
      <c r="W53">
        <v>2</v>
      </c>
      <c r="X53">
        <v>3</v>
      </c>
      <c r="Y53">
        <v>6</v>
      </c>
      <c r="Z53">
        <v>2</v>
      </c>
      <c r="AA53">
        <v>10</v>
      </c>
      <c r="AB53">
        <v>2</v>
      </c>
      <c r="AC53">
        <v>7</v>
      </c>
      <c r="AD53">
        <v>4</v>
      </c>
      <c r="AE53">
        <v>6</v>
      </c>
      <c r="AF53">
        <v>2</v>
      </c>
      <c r="AG53">
        <v>2</v>
      </c>
      <c r="AH53" s="25">
        <f t="shared" si="4"/>
        <v>181</v>
      </c>
      <c r="AI53">
        <v>182</v>
      </c>
      <c r="AJ53">
        <v>225</v>
      </c>
      <c r="AK53">
        <f t="shared" si="1"/>
        <v>43</v>
      </c>
      <c r="AL53" s="15">
        <f t="shared" si="2"/>
        <v>40725</v>
      </c>
      <c r="AM53" s="15">
        <f t="shared" si="3"/>
        <v>7783</v>
      </c>
    </row>
    <row r="54" spans="1:39">
      <c r="A54" s="27"/>
      <c r="B54" t="s">
        <v>71</v>
      </c>
      <c r="C54">
        <v>7</v>
      </c>
      <c r="D54">
        <v>2</v>
      </c>
      <c r="E54">
        <v>6</v>
      </c>
      <c r="F54">
        <v>5</v>
      </c>
      <c r="G54">
        <v>8</v>
      </c>
      <c r="H54">
        <v>4</v>
      </c>
      <c r="I54">
        <v>4</v>
      </c>
      <c r="J54">
        <v>10</v>
      </c>
      <c r="K54">
        <v>6</v>
      </c>
      <c r="L54">
        <v>9</v>
      </c>
      <c r="M54">
        <v>5</v>
      </c>
      <c r="N54">
        <v>5</v>
      </c>
      <c r="O54">
        <v>6</v>
      </c>
      <c r="P54">
        <v>7</v>
      </c>
      <c r="Q54">
        <v>6</v>
      </c>
      <c r="R54">
        <v>9</v>
      </c>
      <c r="S54">
        <v>4</v>
      </c>
      <c r="T54">
        <v>5</v>
      </c>
      <c r="U54">
        <v>7</v>
      </c>
      <c r="V54">
        <v>8</v>
      </c>
      <c r="W54">
        <v>10</v>
      </c>
      <c r="X54">
        <v>7</v>
      </c>
      <c r="Y54">
        <v>8</v>
      </c>
      <c r="Z54">
        <v>9</v>
      </c>
      <c r="AA54">
        <v>8</v>
      </c>
      <c r="AB54">
        <v>8</v>
      </c>
      <c r="AC54">
        <v>2</v>
      </c>
      <c r="AD54">
        <v>2</v>
      </c>
      <c r="AE54">
        <v>7</v>
      </c>
      <c r="AF54">
        <v>1</v>
      </c>
      <c r="AG54">
        <v>8</v>
      </c>
      <c r="AH54" s="25">
        <f t="shared" si="4"/>
        <v>193</v>
      </c>
      <c r="AI54">
        <v>23</v>
      </c>
      <c r="AJ54">
        <v>35</v>
      </c>
      <c r="AK54">
        <f t="shared" si="1"/>
        <v>12</v>
      </c>
      <c r="AL54" s="15">
        <f t="shared" si="2"/>
        <v>6755</v>
      </c>
      <c r="AM54" s="15">
        <f t="shared" si="3"/>
        <v>2316</v>
      </c>
    </row>
    <row r="55" spans="1:39">
      <c r="A55" s="27"/>
      <c r="B55" t="s">
        <v>72</v>
      </c>
      <c r="C55">
        <v>6</v>
      </c>
      <c r="D55">
        <v>10</v>
      </c>
      <c r="E55">
        <v>3</v>
      </c>
      <c r="F55">
        <v>9</v>
      </c>
      <c r="G55">
        <v>7</v>
      </c>
      <c r="H55">
        <v>9</v>
      </c>
      <c r="I55">
        <v>9</v>
      </c>
      <c r="J55">
        <v>2</v>
      </c>
      <c r="K55">
        <v>4</v>
      </c>
      <c r="L55">
        <v>6</v>
      </c>
      <c r="M55">
        <v>10</v>
      </c>
      <c r="N55">
        <v>4</v>
      </c>
      <c r="O55">
        <v>7</v>
      </c>
      <c r="P55">
        <v>7</v>
      </c>
      <c r="Q55">
        <v>3</v>
      </c>
      <c r="R55">
        <v>6</v>
      </c>
      <c r="S55">
        <v>1</v>
      </c>
      <c r="T55">
        <v>10</v>
      </c>
      <c r="U55">
        <v>3</v>
      </c>
      <c r="V55">
        <v>5</v>
      </c>
      <c r="W55">
        <v>1</v>
      </c>
      <c r="X55">
        <v>8</v>
      </c>
      <c r="Y55">
        <v>1</v>
      </c>
      <c r="Z55">
        <v>2</v>
      </c>
      <c r="AA55">
        <v>1</v>
      </c>
      <c r="AB55">
        <v>6</v>
      </c>
      <c r="AC55">
        <v>6</v>
      </c>
      <c r="AD55">
        <v>9</v>
      </c>
      <c r="AE55">
        <v>8</v>
      </c>
      <c r="AF55">
        <v>7</v>
      </c>
      <c r="AG55">
        <v>8</v>
      </c>
      <c r="AH55" s="25">
        <f t="shared" si="4"/>
        <v>178</v>
      </c>
      <c r="AI55">
        <v>205</v>
      </c>
      <c r="AJ55">
        <v>260</v>
      </c>
      <c r="AK55">
        <f t="shared" si="1"/>
        <v>55</v>
      </c>
      <c r="AL55" s="15">
        <f t="shared" si="2"/>
        <v>46280</v>
      </c>
      <c r="AM55" s="15">
        <f t="shared" si="3"/>
        <v>9790</v>
      </c>
    </row>
    <row r="56" spans="1:39">
      <c r="A56" s="27"/>
      <c r="B56" t="s">
        <v>73</v>
      </c>
      <c r="C56">
        <v>9</v>
      </c>
      <c r="D56">
        <v>8</v>
      </c>
      <c r="E56">
        <v>1</v>
      </c>
      <c r="F56">
        <v>10</v>
      </c>
      <c r="G56">
        <v>10</v>
      </c>
      <c r="H56">
        <v>9</v>
      </c>
      <c r="I56">
        <v>4</v>
      </c>
      <c r="J56">
        <v>3</v>
      </c>
      <c r="K56">
        <v>4</v>
      </c>
      <c r="L56">
        <v>9</v>
      </c>
      <c r="M56">
        <v>8</v>
      </c>
      <c r="N56">
        <v>9</v>
      </c>
      <c r="O56">
        <v>7</v>
      </c>
      <c r="P56">
        <v>9</v>
      </c>
      <c r="Q56">
        <v>1</v>
      </c>
      <c r="R56">
        <v>8</v>
      </c>
      <c r="S56">
        <v>10</v>
      </c>
      <c r="T56">
        <v>5</v>
      </c>
      <c r="U56">
        <v>5</v>
      </c>
      <c r="V56">
        <v>3</v>
      </c>
      <c r="W56">
        <v>3</v>
      </c>
      <c r="X56">
        <v>7</v>
      </c>
      <c r="Y56">
        <v>1</v>
      </c>
      <c r="Z56">
        <v>10</v>
      </c>
      <c r="AA56">
        <v>3</v>
      </c>
      <c r="AB56">
        <v>6</v>
      </c>
      <c r="AC56">
        <v>1</v>
      </c>
      <c r="AD56">
        <v>7</v>
      </c>
      <c r="AE56">
        <v>9</v>
      </c>
      <c r="AF56">
        <v>7</v>
      </c>
      <c r="AG56">
        <v>6</v>
      </c>
      <c r="AH56" s="25">
        <f t="shared" si="4"/>
        <v>192</v>
      </c>
      <c r="AI56">
        <v>325</v>
      </c>
      <c r="AJ56">
        <v>358</v>
      </c>
      <c r="AK56">
        <f t="shared" si="1"/>
        <v>33</v>
      </c>
      <c r="AL56" s="15">
        <f t="shared" si="2"/>
        <v>68736</v>
      </c>
      <c r="AM56" s="15">
        <f t="shared" si="3"/>
        <v>6336</v>
      </c>
    </row>
    <row r="57" spans="1:39">
      <c r="A57" s="27"/>
      <c r="B57" t="s">
        <v>74</v>
      </c>
      <c r="C57">
        <v>6</v>
      </c>
      <c r="D57">
        <v>2</v>
      </c>
      <c r="E57">
        <v>8</v>
      </c>
      <c r="F57">
        <v>9</v>
      </c>
      <c r="G57">
        <v>10</v>
      </c>
      <c r="H57">
        <v>1</v>
      </c>
      <c r="I57">
        <v>5</v>
      </c>
      <c r="J57">
        <v>9</v>
      </c>
      <c r="K57">
        <v>9</v>
      </c>
      <c r="L57">
        <v>7</v>
      </c>
      <c r="M57">
        <v>2</v>
      </c>
      <c r="N57">
        <v>10</v>
      </c>
      <c r="O57">
        <v>4</v>
      </c>
      <c r="P57">
        <v>3</v>
      </c>
      <c r="Q57">
        <v>5</v>
      </c>
      <c r="R57">
        <v>2</v>
      </c>
      <c r="S57">
        <v>3</v>
      </c>
      <c r="T57">
        <v>2</v>
      </c>
      <c r="U57">
        <v>9</v>
      </c>
      <c r="V57">
        <v>4</v>
      </c>
      <c r="W57">
        <v>3</v>
      </c>
      <c r="X57">
        <v>8</v>
      </c>
      <c r="Y57">
        <v>2</v>
      </c>
      <c r="Z57">
        <v>3</v>
      </c>
      <c r="AA57">
        <v>3</v>
      </c>
      <c r="AB57">
        <v>5</v>
      </c>
      <c r="AC57">
        <v>9</v>
      </c>
      <c r="AD57">
        <v>9</v>
      </c>
      <c r="AE57">
        <v>8</v>
      </c>
      <c r="AF57">
        <v>1</v>
      </c>
      <c r="AG57">
        <v>1</v>
      </c>
      <c r="AH57" s="25">
        <f t="shared" si="4"/>
        <v>162</v>
      </c>
      <c r="AI57">
        <v>340</v>
      </c>
      <c r="AJ57">
        <v>380</v>
      </c>
      <c r="AK57">
        <f t="shared" si="1"/>
        <v>40</v>
      </c>
      <c r="AL57" s="15">
        <f t="shared" si="2"/>
        <v>61560</v>
      </c>
      <c r="AM57" s="15">
        <f t="shared" si="3"/>
        <v>6480</v>
      </c>
    </row>
    <row r="58" spans="1:39">
      <c r="A58" s="27"/>
    </row>
    <row r="59" spans="1:39">
      <c r="A59" s="27"/>
    </row>
    <row r="60" spans="1:39">
      <c r="A60" s="27"/>
    </row>
    <row r="61" spans="1:39">
      <c r="A61" s="27"/>
    </row>
    <row r="62" spans="1:39">
      <c r="A62" s="27"/>
    </row>
    <row r="63" spans="1:39">
      <c r="A63" s="27"/>
    </row>
    <row r="64" spans="1:39">
      <c r="A64" s="27"/>
    </row>
    <row r="65" spans="1:1">
      <c r="A65" s="27"/>
    </row>
    <row r="66" spans="1:1">
      <c r="A66" s="27"/>
    </row>
    <row r="67" spans="1:1">
      <c r="A67" s="27"/>
    </row>
    <row r="68" spans="1:1">
      <c r="A68" s="27"/>
    </row>
    <row r="69" spans="1:1">
      <c r="A69" s="27"/>
    </row>
    <row r="70" spans="1:1">
      <c r="A70" s="27"/>
    </row>
    <row r="71" spans="1:1">
      <c r="A71" s="27"/>
    </row>
    <row r="72" spans="1:1">
      <c r="A72" s="27"/>
    </row>
    <row r="73" spans="1:1">
      <c r="A73" s="27"/>
    </row>
    <row r="74" spans="1:1">
      <c r="A74" s="27"/>
    </row>
    <row r="75" spans="1:1">
      <c r="A75" s="27"/>
    </row>
    <row r="76" spans="1:1">
      <c r="A76" s="27"/>
    </row>
    <row r="77" spans="1:1">
      <c r="A77" s="27"/>
    </row>
    <row r="78" spans="1:1">
      <c r="A78" s="27"/>
    </row>
    <row r="79" spans="1:1">
      <c r="A79" s="27"/>
    </row>
    <row r="80" spans="1:1">
      <c r="A80" s="27"/>
    </row>
    <row r="81" spans="1:1">
      <c r="A81" s="27"/>
    </row>
    <row r="82" spans="1:1">
      <c r="A82" s="27"/>
    </row>
    <row r="83" spans="1:1">
      <c r="A83" s="27"/>
    </row>
    <row r="84" spans="1:1">
      <c r="A84" s="27"/>
    </row>
    <row r="85" spans="1:1">
      <c r="A85" s="27"/>
    </row>
    <row r="86" spans="1:1">
      <c r="A86" s="27"/>
    </row>
    <row r="87" spans="1:1">
      <c r="A87" s="27"/>
    </row>
  </sheetData>
  <mergeCells count="9">
    <mergeCell ref="A1:A29"/>
    <mergeCell ref="A30:A58"/>
    <mergeCell ref="A59:A87"/>
    <mergeCell ref="AM1:AM2"/>
    <mergeCell ref="AH1:AH2"/>
    <mergeCell ref="AI1:AI2"/>
    <mergeCell ref="AJ1:AJ2"/>
    <mergeCell ref="AK1:AK2"/>
    <mergeCell ref="AL1:AL2"/>
  </mergeCells>
  <dataValidations count="2">
    <dataValidation type="list" allowBlank="1" showInputMessage="1" showErrorMessage="1" sqref="AP2" xr:uid="{00000000-0002-0000-0900-000000000000}">
      <formula1>"2020,2021,2022,2023,2024,2025,2026,2027,2028,2029,2030"</formula1>
    </dataValidation>
    <dataValidation type="list" allowBlank="1" showInputMessage="1" showErrorMessage="1" sqref="AP1" xr:uid="{00000000-0002-0000-0900-000001000000}">
      <formula1>"January,February,March,Aprail,May,June,July,August,September,October,November,December"</formula1>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AP87"/>
  <sheetViews>
    <sheetView workbookViewId="0">
      <pane xSplit="1" topLeftCell="S1" activePane="topRight" state="frozenSplit"/>
      <selection pane="topRight" activeCell="AP17" sqref="AP17"/>
    </sheetView>
  </sheetViews>
  <sheetFormatPr defaultRowHeight="15"/>
  <cols>
    <col min="1" max="1" width="16.85546875" bestFit="1" customWidth="1"/>
    <col min="2" max="2" width="13.7109375" customWidth="1"/>
    <col min="3" max="3" width="4.28515625" customWidth="1"/>
    <col min="4" max="4" width="5.28515625" customWidth="1"/>
    <col min="5" max="5" width="4.28515625" customWidth="1"/>
    <col min="6" max="6" width="3.28515625" customWidth="1"/>
    <col min="7" max="7" width="3.7109375" customWidth="1"/>
    <col min="8" max="8" width="4.28515625" customWidth="1"/>
    <col min="9" max="9" width="5.140625" customWidth="1"/>
    <col min="10" max="10" width="4.28515625" customWidth="1"/>
    <col min="11" max="11" width="5.28515625" customWidth="1"/>
    <col min="12" max="12" width="4.28515625" customWidth="1"/>
    <col min="13" max="13" width="3.28515625" customWidth="1"/>
    <col min="14" max="14" width="3.7109375" customWidth="1"/>
    <col min="15" max="15" width="4.28515625" customWidth="1"/>
    <col min="16" max="16" width="5.140625" customWidth="1"/>
    <col min="17" max="17" width="4.28515625" customWidth="1"/>
    <col min="18" max="18" width="5.28515625" customWidth="1"/>
    <col min="19" max="19" width="4.28515625" customWidth="1"/>
    <col min="20" max="20" width="3.28515625" customWidth="1"/>
    <col min="21" max="21" width="3.7109375" customWidth="1"/>
    <col min="22" max="22" width="4.28515625" customWidth="1"/>
    <col min="23" max="23" width="5.140625" customWidth="1"/>
    <col min="24" max="24" width="4.28515625" customWidth="1"/>
    <col min="25" max="25" width="5.28515625" customWidth="1"/>
    <col min="26" max="26" width="4.28515625" customWidth="1"/>
    <col min="27" max="27" width="3.28515625" customWidth="1"/>
    <col min="28" max="28" width="3.7109375" customWidth="1"/>
    <col min="29" max="29" width="4.28515625" customWidth="1"/>
    <col min="30" max="30" width="5.140625" customWidth="1"/>
    <col min="31" max="31" width="4.28515625" customWidth="1"/>
    <col min="32" max="32" width="5.28515625" customWidth="1"/>
    <col min="33" max="33" width="4.28515625" customWidth="1"/>
    <col min="34" max="34" width="6.5703125" customWidth="1"/>
    <col min="35" max="35" width="12.42578125" customWidth="1"/>
    <col min="36" max="36" width="10.7109375" customWidth="1"/>
    <col min="41" max="41" width="15.28515625" bestFit="1" customWidth="1"/>
    <col min="42" max="42" width="11.28515625" customWidth="1"/>
  </cols>
  <sheetData>
    <row r="1" spans="1:42">
      <c r="A1" s="27"/>
      <c r="C1" s="8" t="str">
        <f>TEXT(C2,"DDD")</f>
        <v>Sun</v>
      </c>
      <c r="D1" s="8" t="str">
        <f t="shared" ref="D1:AG1" si="0">TEXT(D2,"DDD")</f>
        <v>Mon</v>
      </c>
      <c r="E1" s="8" t="str">
        <f t="shared" si="0"/>
        <v>Tue</v>
      </c>
      <c r="F1" s="8" t="str">
        <f t="shared" si="0"/>
        <v>Wed</v>
      </c>
      <c r="G1" s="8" t="str">
        <f t="shared" si="0"/>
        <v>Thu</v>
      </c>
      <c r="H1" s="8" t="str">
        <f t="shared" si="0"/>
        <v>Fri</v>
      </c>
      <c r="I1" s="8" t="str">
        <f t="shared" si="0"/>
        <v>Sat</v>
      </c>
      <c r="J1" s="8" t="str">
        <f t="shared" si="0"/>
        <v>Sun</v>
      </c>
      <c r="K1" s="8" t="str">
        <f t="shared" si="0"/>
        <v>Mon</v>
      </c>
      <c r="L1" s="8" t="str">
        <f t="shared" si="0"/>
        <v>Tue</v>
      </c>
      <c r="M1" s="8" t="str">
        <f t="shared" si="0"/>
        <v>Wed</v>
      </c>
      <c r="N1" s="8" t="str">
        <f t="shared" si="0"/>
        <v>Thu</v>
      </c>
      <c r="O1" s="8" t="str">
        <f t="shared" si="0"/>
        <v>Fri</v>
      </c>
      <c r="P1" s="8" t="str">
        <f t="shared" si="0"/>
        <v>Sat</v>
      </c>
      <c r="Q1" s="8" t="str">
        <f t="shared" si="0"/>
        <v>Sun</v>
      </c>
      <c r="R1" s="8" t="str">
        <f t="shared" si="0"/>
        <v>Mon</v>
      </c>
      <c r="S1" s="8" t="str">
        <f t="shared" si="0"/>
        <v>Tue</v>
      </c>
      <c r="T1" s="8" t="str">
        <f t="shared" si="0"/>
        <v>Wed</v>
      </c>
      <c r="U1" s="8" t="str">
        <f t="shared" si="0"/>
        <v>Thu</v>
      </c>
      <c r="V1" s="8" t="str">
        <f t="shared" si="0"/>
        <v>Fri</v>
      </c>
      <c r="W1" s="8" t="str">
        <f t="shared" si="0"/>
        <v>Sat</v>
      </c>
      <c r="X1" s="8" t="str">
        <f t="shared" si="0"/>
        <v>Sun</v>
      </c>
      <c r="Y1" s="8" t="str">
        <f t="shared" si="0"/>
        <v>Mon</v>
      </c>
      <c r="Z1" s="8" t="str">
        <f t="shared" si="0"/>
        <v>Tue</v>
      </c>
      <c r="AA1" s="8" t="str">
        <f t="shared" si="0"/>
        <v>Wed</v>
      </c>
      <c r="AB1" s="8" t="str">
        <f t="shared" si="0"/>
        <v>Thu</v>
      </c>
      <c r="AC1" s="8" t="str">
        <f t="shared" si="0"/>
        <v>Fri</v>
      </c>
      <c r="AD1" s="8" t="str">
        <f t="shared" si="0"/>
        <v>Sat</v>
      </c>
      <c r="AE1" s="8" t="str">
        <f t="shared" si="0"/>
        <v>Sun</v>
      </c>
      <c r="AF1" s="8" t="str">
        <f t="shared" si="0"/>
        <v>Mon</v>
      </c>
      <c r="AG1" s="8" t="str">
        <f t="shared" si="0"/>
        <v/>
      </c>
      <c r="AH1" s="28" t="s">
        <v>75</v>
      </c>
      <c r="AI1" s="28" t="s">
        <v>76</v>
      </c>
      <c r="AJ1" s="30" t="s">
        <v>77</v>
      </c>
      <c r="AK1" s="28" t="s">
        <v>78</v>
      </c>
      <c r="AL1" s="29" t="s">
        <v>79</v>
      </c>
      <c r="AM1" s="29" t="s">
        <v>80</v>
      </c>
      <c r="AO1" s="5" t="s">
        <v>81</v>
      </c>
      <c r="AP1" s="10" t="s">
        <v>102</v>
      </c>
    </row>
    <row r="2" spans="1:42">
      <c r="A2" s="27"/>
      <c r="B2" s="1" t="s">
        <v>0</v>
      </c>
      <c r="C2" s="9">
        <f>IF(COLUMNS($C$2:C2)&gt;DAY($AP$4),"",$AP$3+COLUMNS($C$2:C2)-1)</f>
        <v>45536</v>
      </c>
      <c r="D2" s="9">
        <f>IF(COLUMNS($C$2:D2)&gt;DAY($AP$4),"",$AP$3+COLUMNS($C$2:D2)-1)</f>
        <v>45537</v>
      </c>
      <c r="E2" s="9">
        <f>IF(COLUMNS($C$2:E2)&gt;DAY($AP$4),"",$AP$3+COLUMNS($C$2:E2)-1)</f>
        <v>45538</v>
      </c>
      <c r="F2" s="9">
        <f>IF(COLUMNS($C$2:F2)&gt;DAY($AP$4),"",$AP$3+COLUMNS($C$2:F2)-1)</f>
        <v>45539</v>
      </c>
      <c r="G2" s="9">
        <f>IF(COLUMNS($C$2:G2)&gt;DAY($AP$4),"",$AP$3+COLUMNS($C$2:G2)-1)</f>
        <v>45540</v>
      </c>
      <c r="H2" s="9">
        <f>IF(COLUMNS($C$2:H2)&gt;DAY($AP$4),"",$AP$3+COLUMNS($C$2:H2)-1)</f>
        <v>45541</v>
      </c>
      <c r="I2" s="9">
        <f>IF(COLUMNS($C$2:I2)&gt;DAY($AP$4),"",$AP$3+COLUMNS($C$2:I2)-1)</f>
        <v>45542</v>
      </c>
      <c r="J2" s="9">
        <f>IF(COLUMNS($C$2:J2)&gt;DAY($AP$4),"",$AP$3+COLUMNS($C$2:J2)-1)</f>
        <v>45543</v>
      </c>
      <c r="K2" s="9">
        <f>IF(COLUMNS($C$2:K2)&gt;DAY($AP$4),"",$AP$3+COLUMNS($C$2:K2)-1)</f>
        <v>45544</v>
      </c>
      <c r="L2" s="9">
        <f>IF(COLUMNS($C$2:L2)&gt;DAY($AP$4),"",$AP$3+COLUMNS($C$2:L2)-1)</f>
        <v>45545</v>
      </c>
      <c r="M2" s="9">
        <f>IF(COLUMNS($C$2:M2)&gt;DAY($AP$4),"",$AP$3+COLUMNS($C$2:M2)-1)</f>
        <v>45546</v>
      </c>
      <c r="N2" s="9">
        <f>IF(COLUMNS($C$2:N2)&gt;DAY($AP$4),"",$AP$3+COLUMNS($C$2:N2)-1)</f>
        <v>45547</v>
      </c>
      <c r="O2" s="9">
        <f>IF(COLUMNS($C$2:O2)&gt;DAY($AP$4),"",$AP$3+COLUMNS($C$2:O2)-1)</f>
        <v>45548</v>
      </c>
      <c r="P2" s="9">
        <f>IF(COLUMNS($C$2:P2)&gt;DAY($AP$4),"",$AP$3+COLUMNS($C$2:P2)-1)</f>
        <v>45549</v>
      </c>
      <c r="Q2" s="9">
        <f>IF(COLUMNS($C$2:Q2)&gt;DAY($AP$4),"",$AP$3+COLUMNS($C$2:Q2)-1)</f>
        <v>45550</v>
      </c>
      <c r="R2" s="9">
        <f>IF(COLUMNS($C$2:R2)&gt;DAY($AP$4),"",$AP$3+COLUMNS($C$2:R2)-1)</f>
        <v>45551</v>
      </c>
      <c r="S2" s="9">
        <f>IF(COLUMNS($C$2:S2)&gt;DAY($AP$4),"",$AP$3+COLUMNS($C$2:S2)-1)</f>
        <v>45552</v>
      </c>
      <c r="T2" s="9">
        <f>IF(COLUMNS($C$2:T2)&gt;DAY($AP$4),"",$AP$3+COLUMNS($C$2:T2)-1)</f>
        <v>45553</v>
      </c>
      <c r="U2" s="9">
        <f>IF(COLUMNS($C$2:U2)&gt;DAY($AP$4),"",$AP$3+COLUMNS($C$2:U2)-1)</f>
        <v>45554</v>
      </c>
      <c r="V2" s="9">
        <f>IF(COLUMNS($C$2:V2)&gt;DAY($AP$4),"",$AP$3+COLUMNS($C$2:V2)-1)</f>
        <v>45555</v>
      </c>
      <c r="W2" s="9">
        <f>IF(COLUMNS($C$2:W2)&gt;DAY($AP$4),"",$AP$3+COLUMNS($C$2:W2)-1)</f>
        <v>45556</v>
      </c>
      <c r="X2" s="9">
        <f>IF(COLUMNS($C$2:X2)&gt;DAY($AP$4),"",$AP$3+COLUMNS($C$2:X2)-1)</f>
        <v>45557</v>
      </c>
      <c r="Y2" s="9">
        <f>IF(COLUMNS($C$2:Y2)&gt;DAY($AP$4),"",$AP$3+COLUMNS($C$2:Y2)-1)</f>
        <v>45558</v>
      </c>
      <c r="Z2" s="9">
        <f>IF(COLUMNS($C$2:Z2)&gt;DAY($AP$4),"",$AP$3+COLUMNS($C$2:Z2)-1)</f>
        <v>45559</v>
      </c>
      <c r="AA2" s="9">
        <f>IF(COLUMNS($C$2:AA2)&gt;DAY($AP$4),"",$AP$3+COLUMNS($C$2:AA2)-1)</f>
        <v>45560</v>
      </c>
      <c r="AB2" s="9">
        <f>IF(COLUMNS($C$2:AB2)&gt;DAY($AP$4),"",$AP$3+COLUMNS($C$2:AB2)-1)</f>
        <v>45561</v>
      </c>
      <c r="AC2" s="9">
        <f>IF(COLUMNS($C$2:AC2)&gt;DAY($AP$4),"",$AP$3+COLUMNS($C$2:AC2)-1)</f>
        <v>45562</v>
      </c>
      <c r="AD2" s="9">
        <f>IF(COLUMNS($C$2:AD2)&gt;DAY($AP$4),"",$AP$3+COLUMNS($C$2:AD2)-1)</f>
        <v>45563</v>
      </c>
      <c r="AE2" s="9">
        <f>IF(COLUMNS($C$2:AE2)&gt;DAY($AP$4),"",$AP$3+COLUMNS($C$2:AE2)-1)</f>
        <v>45564</v>
      </c>
      <c r="AF2" s="9">
        <f>IF(COLUMNS($C$2:AF2)&gt;DAY($AP$4),"",$AP$3+COLUMNS($C$2:AF2)-1)</f>
        <v>45565</v>
      </c>
      <c r="AG2" s="9" t="str">
        <f>IF(COLUMNS($C$2:AG2)&gt;DAY($AP$4),"",$AP$3+COLUMNS($C$2:AG2)-1)</f>
        <v/>
      </c>
      <c r="AH2" s="28"/>
      <c r="AI2" s="28"/>
      <c r="AJ2" s="30"/>
      <c r="AK2" s="28"/>
      <c r="AL2" s="29"/>
      <c r="AM2" s="29"/>
      <c r="AO2" s="6" t="s">
        <v>83</v>
      </c>
      <c r="AP2" s="11">
        <v>2024</v>
      </c>
    </row>
    <row r="3" spans="1:42">
      <c r="A3" s="27"/>
      <c r="B3" t="s">
        <v>18</v>
      </c>
      <c r="C3">
        <f ca="1">RANDBETWEEN(1,10)</f>
        <v>1</v>
      </c>
      <c r="D3">
        <f t="shared" ref="D3:AF12" ca="1" si="1">RANDBETWEEN(1,10)</f>
        <v>3</v>
      </c>
      <c r="E3">
        <f t="shared" ca="1" si="1"/>
        <v>3</v>
      </c>
      <c r="F3">
        <f t="shared" ca="1" si="1"/>
        <v>2</v>
      </c>
      <c r="G3">
        <f t="shared" ca="1" si="1"/>
        <v>8</v>
      </c>
      <c r="H3">
        <f t="shared" ca="1" si="1"/>
        <v>8</v>
      </c>
      <c r="I3">
        <f t="shared" ca="1" si="1"/>
        <v>9</v>
      </c>
      <c r="J3">
        <f t="shared" ca="1" si="1"/>
        <v>3</v>
      </c>
      <c r="K3">
        <f t="shared" ca="1" si="1"/>
        <v>2</v>
      </c>
      <c r="L3">
        <f t="shared" ca="1" si="1"/>
        <v>5</v>
      </c>
      <c r="M3">
        <f t="shared" ca="1" si="1"/>
        <v>10</v>
      </c>
      <c r="N3">
        <f t="shared" ca="1" si="1"/>
        <v>3</v>
      </c>
      <c r="O3">
        <f t="shared" ca="1" si="1"/>
        <v>8</v>
      </c>
      <c r="P3">
        <f t="shared" ca="1" si="1"/>
        <v>4</v>
      </c>
      <c r="Q3">
        <f t="shared" ca="1" si="1"/>
        <v>7</v>
      </c>
      <c r="R3">
        <f t="shared" ca="1" si="1"/>
        <v>8</v>
      </c>
      <c r="S3">
        <f t="shared" ca="1" si="1"/>
        <v>9</v>
      </c>
      <c r="T3">
        <f t="shared" ca="1" si="1"/>
        <v>4</v>
      </c>
      <c r="U3">
        <f t="shared" ca="1" si="1"/>
        <v>1</v>
      </c>
      <c r="V3">
        <f t="shared" ca="1" si="1"/>
        <v>4</v>
      </c>
      <c r="W3">
        <f t="shared" ca="1" si="1"/>
        <v>2</v>
      </c>
      <c r="X3">
        <f t="shared" ca="1" si="1"/>
        <v>10</v>
      </c>
      <c r="Y3">
        <f t="shared" ca="1" si="1"/>
        <v>5</v>
      </c>
      <c r="Z3">
        <f t="shared" ca="1" si="1"/>
        <v>1</v>
      </c>
      <c r="AA3">
        <f t="shared" ca="1" si="1"/>
        <v>4</v>
      </c>
      <c r="AB3">
        <f t="shared" ca="1" si="1"/>
        <v>2</v>
      </c>
      <c r="AC3">
        <f t="shared" ca="1" si="1"/>
        <v>9</v>
      </c>
      <c r="AD3">
        <f t="shared" ca="1" si="1"/>
        <v>3</v>
      </c>
      <c r="AE3">
        <f t="shared" ca="1" si="1"/>
        <v>8</v>
      </c>
      <c r="AF3">
        <f t="shared" ca="1" si="1"/>
        <v>1</v>
      </c>
      <c r="AH3" s="25">
        <f ca="1">IF(SUM($C3:$AG3)&gt;0,SUM($C3:$AG3),"")</f>
        <v>147</v>
      </c>
      <c r="AI3">
        <v>40</v>
      </c>
      <c r="AJ3">
        <v>80</v>
      </c>
      <c r="AK3">
        <f>AJ3-AI3</f>
        <v>40</v>
      </c>
      <c r="AL3" s="15">
        <f ca="1">AJ3*AH3</f>
        <v>11760</v>
      </c>
      <c r="AM3" s="15">
        <f ca="1">AK3*AH3</f>
        <v>5880</v>
      </c>
      <c r="AO3" s="7" t="s">
        <v>84</v>
      </c>
      <c r="AP3" s="4">
        <f>DATE(AP2,MONTH(AP1&amp;1),1)</f>
        <v>45536</v>
      </c>
    </row>
    <row r="4" spans="1:42">
      <c r="A4" s="27"/>
      <c r="B4" t="s">
        <v>20</v>
      </c>
      <c r="C4">
        <f t="shared" ref="C4:R19" ca="1" si="2">RANDBETWEEN(1,10)</f>
        <v>9</v>
      </c>
      <c r="D4">
        <f t="shared" ca="1" si="2"/>
        <v>10</v>
      </c>
      <c r="E4">
        <f t="shared" ca="1" si="2"/>
        <v>9</v>
      </c>
      <c r="F4">
        <f t="shared" ca="1" si="2"/>
        <v>8</v>
      </c>
      <c r="G4">
        <f t="shared" ca="1" si="2"/>
        <v>3</v>
      </c>
      <c r="H4">
        <f t="shared" ca="1" si="2"/>
        <v>7</v>
      </c>
      <c r="I4">
        <f t="shared" ca="1" si="2"/>
        <v>3</v>
      </c>
      <c r="J4">
        <f t="shared" ca="1" si="2"/>
        <v>5</v>
      </c>
      <c r="K4">
        <f t="shared" ca="1" si="2"/>
        <v>2</v>
      </c>
      <c r="L4">
        <f t="shared" ca="1" si="2"/>
        <v>7</v>
      </c>
      <c r="M4">
        <f t="shared" ca="1" si="2"/>
        <v>1</v>
      </c>
      <c r="N4">
        <f t="shared" ca="1" si="2"/>
        <v>6</v>
      </c>
      <c r="O4">
        <f t="shared" ca="1" si="2"/>
        <v>7</v>
      </c>
      <c r="P4">
        <f t="shared" ca="1" si="2"/>
        <v>1</v>
      </c>
      <c r="Q4">
        <f t="shared" ca="1" si="2"/>
        <v>1</v>
      </c>
      <c r="R4">
        <f t="shared" ca="1" si="2"/>
        <v>6</v>
      </c>
      <c r="S4">
        <f t="shared" ca="1" si="1"/>
        <v>5</v>
      </c>
      <c r="T4">
        <f t="shared" ca="1" si="1"/>
        <v>10</v>
      </c>
      <c r="U4">
        <f t="shared" ca="1" si="1"/>
        <v>1</v>
      </c>
      <c r="V4">
        <f t="shared" ca="1" si="1"/>
        <v>10</v>
      </c>
      <c r="W4">
        <f t="shared" ca="1" si="1"/>
        <v>2</v>
      </c>
      <c r="X4">
        <f t="shared" ca="1" si="1"/>
        <v>1</v>
      </c>
      <c r="Y4">
        <f t="shared" ca="1" si="1"/>
        <v>6</v>
      </c>
      <c r="Z4">
        <f t="shared" ca="1" si="1"/>
        <v>9</v>
      </c>
      <c r="AA4">
        <f t="shared" ca="1" si="1"/>
        <v>6</v>
      </c>
      <c r="AB4">
        <f t="shared" ca="1" si="1"/>
        <v>10</v>
      </c>
      <c r="AC4">
        <f t="shared" ca="1" si="1"/>
        <v>4</v>
      </c>
      <c r="AD4">
        <f t="shared" ca="1" si="1"/>
        <v>3</v>
      </c>
      <c r="AE4">
        <f t="shared" ca="1" si="1"/>
        <v>8</v>
      </c>
      <c r="AF4">
        <f t="shared" ca="1" si="1"/>
        <v>5</v>
      </c>
      <c r="AH4" s="25">
        <f ca="1">IF(SUM($C4:$AG4)&gt;0,SUM($C4:$AG4),"")</f>
        <v>165</v>
      </c>
      <c r="AI4">
        <v>7</v>
      </c>
      <c r="AJ4">
        <v>15</v>
      </c>
      <c r="AK4">
        <f t="shared" ref="AK4:AK57" si="3">AJ4-AI4</f>
        <v>8</v>
      </c>
      <c r="AL4" s="15">
        <f t="shared" ref="AL4:AL57" ca="1" si="4">AJ4*AH4</f>
        <v>2475</v>
      </c>
      <c r="AM4" s="15">
        <f t="shared" ref="AM4:AM57" ca="1" si="5">AK4*AH4</f>
        <v>1320</v>
      </c>
      <c r="AO4" s="7" t="s">
        <v>85</v>
      </c>
      <c r="AP4" s="4">
        <f>EOMONTH(AP3,0)</f>
        <v>45565</v>
      </c>
    </row>
    <row r="5" spans="1:42">
      <c r="A5" s="27"/>
      <c r="B5" t="s">
        <v>21</v>
      </c>
      <c r="C5">
        <f t="shared" ca="1" si="2"/>
        <v>7</v>
      </c>
      <c r="D5">
        <f t="shared" ca="1" si="1"/>
        <v>2</v>
      </c>
      <c r="E5">
        <f t="shared" ca="1" si="1"/>
        <v>9</v>
      </c>
      <c r="F5">
        <f t="shared" ca="1" si="1"/>
        <v>7</v>
      </c>
      <c r="G5">
        <f t="shared" ca="1" si="1"/>
        <v>4</v>
      </c>
      <c r="H5">
        <f t="shared" ca="1" si="1"/>
        <v>10</v>
      </c>
      <c r="I5">
        <f t="shared" ca="1" si="1"/>
        <v>5</v>
      </c>
      <c r="J5">
        <f t="shared" ca="1" si="1"/>
        <v>2</v>
      </c>
      <c r="K5">
        <f t="shared" ca="1" si="1"/>
        <v>4</v>
      </c>
      <c r="L5">
        <f t="shared" ca="1" si="1"/>
        <v>10</v>
      </c>
      <c r="M5">
        <f t="shared" ca="1" si="1"/>
        <v>6</v>
      </c>
      <c r="N5">
        <f t="shared" ca="1" si="1"/>
        <v>4</v>
      </c>
      <c r="O5">
        <f t="shared" ca="1" si="1"/>
        <v>10</v>
      </c>
      <c r="P5">
        <f t="shared" ca="1" si="1"/>
        <v>3</v>
      </c>
      <c r="Q5">
        <f t="shared" ca="1" si="1"/>
        <v>10</v>
      </c>
      <c r="R5">
        <f t="shared" ca="1" si="1"/>
        <v>8</v>
      </c>
      <c r="S5">
        <f t="shared" ca="1" si="1"/>
        <v>4</v>
      </c>
      <c r="T5">
        <f t="shared" ca="1" si="1"/>
        <v>4</v>
      </c>
      <c r="U5">
        <f t="shared" ca="1" si="1"/>
        <v>8</v>
      </c>
      <c r="V5">
        <f t="shared" ca="1" si="1"/>
        <v>8</v>
      </c>
      <c r="W5">
        <f t="shared" ca="1" si="1"/>
        <v>1</v>
      </c>
      <c r="X5">
        <f t="shared" ca="1" si="1"/>
        <v>8</v>
      </c>
      <c r="Y5">
        <f t="shared" ca="1" si="1"/>
        <v>5</v>
      </c>
      <c r="Z5">
        <f t="shared" ca="1" si="1"/>
        <v>9</v>
      </c>
      <c r="AA5">
        <f t="shared" ca="1" si="1"/>
        <v>8</v>
      </c>
      <c r="AB5">
        <f t="shared" ca="1" si="1"/>
        <v>4</v>
      </c>
      <c r="AC5">
        <f t="shared" ca="1" si="1"/>
        <v>6</v>
      </c>
      <c r="AD5">
        <f t="shared" ca="1" si="1"/>
        <v>5</v>
      </c>
      <c r="AE5">
        <f t="shared" ca="1" si="1"/>
        <v>2</v>
      </c>
      <c r="AF5">
        <f t="shared" ca="1" si="1"/>
        <v>3</v>
      </c>
      <c r="AH5" s="25">
        <f t="shared" ref="AH5:AH57" ca="1" si="6">IF(SUM($C5:$AG5)&gt;0,SUM($C5:$AG5),"")</f>
        <v>176</v>
      </c>
      <c r="AI5">
        <v>5</v>
      </c>
      <c r="AJ5">
        <v>10</v>
      </c>
      <c r="AK5">
        <f t="shared" si="3"/>
        <v>5</v>
      </c>
      <c r="AL5" s="15">
        <f t="shared" ca="1" si="4"/>
        <v>1760</v>
      </c>
      <c r="AM5" s="15">
        <f t="shared" ca="1" si="5"/>
        <v>880</v>
      </c>
    </row>
    <row r="6" spans="1:42">
      <c r="A6" s="27"/>
      <c r="B6" t="s">
        <v>23</v>
      </c>
      <c r="C6">
        <f t="shared" ca="1" si="2"/>
        <v>4</v>
      </c>
      <c r="D6">
        <f t="shared" ca="1" si="1"/>
        <v>7</v>
      </c>
      <c r="E6">
        <f t="shared" ca="1" si="1"/>
        <v>6</v>
      </c>
      <c r="F6">
        <f t="shared" ca="1" si="1"/>
        <v>8</v>
      </c>
      <c r="G6">
        <f t="shared" ca="1" si="1"/>
        <v>4</v>
      </c>
      <c r="H6">
        <f t="shared" ca="1" si="1"/>
        <v>1</v>
      </c>
      <c r="I6">
        <f t="shared" ca="1" si="1"/>
        <v>3</v>
      </c>
      <c r="J6">
        <f t="shared" ca="1" si="1"/>
        <v>8</v>
      </c>
      <c r="K6">
        <f t="shared" ca="1" si="1"/>
        <v>1</v>
      </c>
      <c r="L6">
        <f t="shared" ca="1" si="1"/>
        <v>8</v>
      </c>
      <c r="M6">
        <f t="shared" ca="1" si="1"/>
        <v>9</v>
      </c>
      <c r="N6">
        <f t="shared" ca="1" si="1"/>
        <v>7</v>
      </c>
      <c r="O6">
        <f t="shared" ca="1" si="1"/>
        <v>1</v>
      </c>
      <c r="P6">
        <f t="shared" ca="1" si="1"/>
        <v>3</v>
      </c>
      <c r="Q6">
        <f t="shared" ca="1" si="1"/>
        <v>8</v>
      </c>
      <c r="R6">
        <f t="shared" ca="1" si="1"/>
        <v>8</v>
      </c>
      <c r="S6">
        <f t="shared" ca="1" si="1"/>
        <v>4</v>
      </c>
      <c r="T6">
        <f t="shared" ca="1" si="1"/>
        <v>4</v>
      </c>
      <c r="U6">
        <f t="shared" ca="1" si="1"/>
        <v>9</v>
      </c>
      <c r="V6">
        <f t="shared" ca="1" si="1"/>
        <v>7</v>
      </c>
      <c r="W6">
        <f t="shared" ca="1" si="1"/>
        <v>2</v>
      </c>
      <c r="X6">
        <f t="shared" ca="1" si="1"/>
        <v>5</v>
      </c>
      <c r="Y6">
        <f t="shared" ca="1" si="1"/>
        <v>2</v>
      </c>
      <c r="Z6">
        <f t="shared" ca="1" si="1"/>
        <v>10</v>
      </c>
      <c r="AA6">
        <f t="shared" ca="1" si="1"/>
        <v>10</v>
      </c>
      <c r="AB6">
        <f t="shared" ca="1" si="1"/>
        <v>6</v>
      </c>
      <c r="AC6">
        <f t="shared" ca="1" si="1"/>
        <v>3</v>
      </c>
      <c r="AD6">
        <f t="shared" ca="1" si="1"/>
        <v>5</v>
      </c>
      <c r="AE6">
        <f t="shared" ca="1" si="1"/>
        <v>5</v>
      </c>
      <c r="AF6">
        <f t="shared" ca="1" si="1"/>
        <v>1</v>
      </c>
      <c r="AH6" s="25">
        <f t="shared" ca="1" si="6"/>
        <v>159</v>
      </c>
      <c r="AI6">
        <v>45</v>
      </c>
      <c r="AJ6">
        <v>80</v>
      </c>
      <c r="AK6">
        <f t="shared" si="3"/>
        <v>35</v>
      </c>
      <c r="AL6" s="15">
        <f t="shared" ca="1" si="4"/>
        <v>12720</v>
      </c>
      <c r="AM6" s="15">
        <f t="shared" ca="1" si="5"/>
        <v>5565</v>
      </c>
    </row>
    <row r="7" spans="1:42">
      <c r="A7" s="27"/>
      <c r="B7" t="s">
        <v>24</v>
      </c>
      <c r="C7">
        <f t="shared" ca="1" si="2"/>
        <v>4</v>
      </c>
      <c r="D7">
        <f t="shared" ca="1" si="1"/>
        <v>8</v>
      </c>
      <c r="E7">
        <f t="shared" ca="1" si="1"/>
        <v>4</v>
      </c>
      <c r="F7">
        <f t="shared" ca="1" si="1"/>
        <v>5</v>
      </c>
      <c r="G7">
        <f t="shared" ca="1" si="1"/>
        <v>1</v>
      </c>
      <c r="H7">
        <f t="shared" ca="1" si="1"/>
        <v>4</v>
      </c>
      <c r="I7">
        <f t="shared" ca="1" si="1"/>
        <v>4</v>
      </c>
      <c r="J7">
        <f t="shared" ca="1" si="1"/>
        <v>3</v>
      </c>
      <c r="K7">
        <f t="shared" ca="1" si="1"/>
        <v>8</v>
      </c>
      <c r="L7">
        <f t="shared" ca="1" si="1"/>
        <v>7</v>
      </c>
      <c r="M7">
        <f t="shared" ca="1" si="1"/>
        <v>1</v>
      </c>
      <c r="N7">
        <f t="shared" ca="1" si="1"/>
        <v>7</v>
      </c>
      <c r="O7">
        <f t="shared" ca="1" si="1"/>
        <v>3</v>
      </c>
      <c r="P7">
        <f t="shared" ca="1" si="1"/>
        <v>5</v>
      </c>
      <c r="Q7">
        <f t="shared" ca="1" si="1"/>
        <v>4</v>
      </c>
      <c r="R7">
        <f t="shared" ca="1" si="1"/>
        <v>9</v>
      </c>
      <c r="S7">
        <f t="shared" ca="1" si="1"/>
        <v>4</v>
      </c>
      <c r="T7">
        <f t="shared" ca="1" si="1"/>
        <v>10</v>
      </c>
      <c r="U7">
        <f t="shared" ca="1" si="1"/>
        <v>1</v>
      </c>
      <c r="V7">
        <f t="shared" ca="1" si="1"/>
        <v>8</v>
      </c>
      <c r="W7">
        <f t="shared" ca="1" si="1"/>
        <v>1</v>
      </c>
      <c r="X7">
        <f t="shared" ca="1" si="1"/>
        <v>10</v>
      </c>
      <c r="Y7">
        <f t="shared" ca="1" si="1"/>
        <v>5</v>
      </c>
      <c r="Z7">
        <f t="shared" ca="1" si="1"/>
        <v>5</v>
      </c>
      <c r="AA7">
        <f t="shared" ca="1" si="1"/>
        <v>5</v>
      </c>
      <c r="AB7">
        <f t="shared" ca="1" si="1"/>
        <v>7</v>
      </c>
      <c r="AC7">
        <f t="shared" ca="1" si="1"/>
        <v>6</v>
      </c>
      <c r="AD7">
        <f t="shared" ca="1" si="1"/>
        <v>8</v>
      </c>
      <c r="AE7">
        <f t="shared" ca="1" si="1"/>
        <v>1</v>
      </c>
      <c r="AF7">
        <f t="shared" ca="1" si="1"/>
        <v>3</v>
      </c>
      <c r="AH7" s="25">
        <f t="shared" ca="1" si="6"/>
        <v>151</v>
      </c>
      <c r="AI7">
        <v>392</v>
      </c>
      <c r="AJ7">
        <v>420</v>
      </c>
      <c r="AK7">
        <f t="shared" si="3"/>
        <v>28</v>
      </c>
      <c r="AL7" s="15">
        <f t="shared" ca="1" si="4"/>
        <v>63420</v>
      </c>
      <c r="AM7" s="15">
        <f t="shared" ca="1" si="5"/>
        <v>4228</v>
      </c>
      <c r="AO7" s="1" t="s">
        <v>86</v>
      </c>
    </row>
    <row r="8" spans="1:42">
      <c r="A8" s="27"/>
      <c r="B8" t="s">
        <v>25</v>
      </c>
      <c r="C8">
        <f t="shared" ca="1" si="2"/>
        <v>6</v>
      </c>
      <c r="D8">
        <f t="shared" ca="1" si="2"/>
        <v>8</v>
      </c>
      <c r="E8">
        <f t="shared" ca="1" si="2"/>
        <v>6</v>
      </c>
      <c r="F8">
        <f t="shared" ca="1" si="2"/>
        <v>10</v>
      </c>
      <c r="G8">
        <f t="shared" ca="1" si="2"/>
        <v>7</v>
      </c>
      <c r="H8">
        <f t="shared" ca="1" si="2"/>
        <v>9</v>
      </c>
      <c r="I8">
        <f t="shared" ca="1" si="2"/>
        <v>5</v>
      </c>
      <c r="J8">
        <f t="shared" ca="1" si="2"/>
        <v>7</v>
      </c>
      <c r="K8">
        <f t="shared" ca="1" si="2"/>
        <v>1</v>
      </c>
      <c r="L8">
        <f t="shared" ca="1" si="2"/>
        <v>10</v>
      </c>
      <c r="M8">
        <f t="shared" ca="1" si="2"/>
        <v>9</v>
      </c>
      <c r="N8">
        <f t="shared" ca="1" si="2"/>
        <v>2</v>
      </c>
      <c r="O8">
        <f t="shared" ca="1" si="2"/>
        <v>5</v>
      </c>
      <c r="P8">
        <f t="shared" ca="1" si="2"/>
        <v>10</v>
      </c>
      <c r="Q8">
        <f t="shared" ca="1" si="2"/>
        <v>7</v>
      </c>
      <c r="R8">
        <f t="shared" ca="1" si="2"/>
        <v>3</v>
      </c>
      <c r="S8">
        <f t="shared" ca="1" si="1"/>
        <v>8</v>
      </c>
      <c r="T8">
        <f t="shared" ca="1" si="1"/>
        <v>2</v>
      </c>
      <c r="U8">
        <f t="shared" ca="1" si="1"/>
        <v>9</v>
      </c>
      <c r="V8">
        <f t="shared" ca="1" si="1"/>
        <v>5</v>
      </c>
      <c r="W8">
        <f t="shared" ca="1" si="1"/>
        <v>8</v>
      </c>
      <c r="X8">
        <f t="shared" ca="1" si="1"/>
        <v>6</v>
      </c>
      <c r="Y8">
        <f t="shared" ca="1" si="1"/>
        <v>10</v>
      </c>
      <c r="Z8">
        <f t="shared" ca="1" si="1"/>
        <v>8</v>
      </c>
      <c r="AA8">
        <f t="shared" ca="1" si="1"/>
        <v>8</v>
      </c>
      <c r="AB8">
        <f t="shared" ca="1" si="1"/>
        <v>3</v>
      </c>
      <c r="AC8">
        <f t="shared" ca="1" si="1"/>
        <v>3</v>
      </c>
      <c r="AD8">
        <f t="shared" ca="1" si="1"/>
        <v>7</v>
      </c>
      <c r="AE8">
        <f t="shared" ca="1" si="1"/>
        <v>9</v>
      </c>
      <c r="AF8">
        <f t="shared" ca="1" si="1"/>
        <v>1</v>
      </c>
      <c r="AH8" s="25">
        <f t="shared" ca="1" si="6"/>
        <v>192</v>
      </c>
      <c r="AI8">
        <v>86</v>
      </c>
      <c r="AJ8">
        <v>100</v>
      </c>
      <c r="AK8">
        <f t="shared" si="3"/>
        <v>14</v>
      </c>
      <c r="AL8" s="15">
        <f t="shared" ca="1" si="4"/>
        <v>19200</v>
      </c>
      <c r="AM8" s="15">
        <f t="shared" ca="1" si="5"/>
        <v>2688</v>
      </c>
      <c r="AO8" t="s">
        <v>87</v>
      </c>
    </row>
    <row r="9" spans="1:42">
      <c r="A9" s="27"/>
      <c r="B9" t="s">
        <v>26</v>
      </c>
      <c r="C9">
        <f t="shared" ca="1" si="2"/>
        <v>3</v>
      </c>
      <c r="D9">
        <f t="shared" ca="1" si="1"/>
        <v>2</v>
      </c>
      <c r="E9">
        <f t="shared" ca="1" si="1"/>
        <v>10</v>
      </c>
      <c r="F9">
        <f t="shared" ca="1" si="1"/>
        <v>5</v>
      </c>
      <c r="G9">
        <f t="shared" ca="1" si="1"/>
        <v>2</v>
      </c>
      <c r="H9">
        <f t="shared" ca="1" si="1"/>
        <v>9</v>
      </c>
      <c r="I9">
        <f t="shared" ca="1" si="1"/>
        <v>5</v>
      </c>
      <c r="J9">
        <f t="shared" ca="1" si="1"/>
        <v>3</v>
      </c>
      <c r="K9">
        <f t="shared" ca="1" si="1"/>
        <v>9</v>
      </c>
      <c r="L9">
        <f t="shared" ca="1" si="1"/>
        <v>2</v>
      </c>
      <c r="M9">
        <f t="shared" ca="1" si="1"/>
        <v>4</v>
      </c>
      <c r="N9">
        <f t="shared" ca="1" si="1"/>
        <v>5</v>
      </c>
      <c r="O9">
        <f t="shared" ca="1" si="1"/>
        <v>4</v>
      </c>
      <c r="P9">
        <f t="shared" ca="1" si="1"/>
        <v>7</v>
      </c>
      <c r="Q9">
        <f t="shared" ca="1" si="1"/>
        <v>2</v>
      </c>
      <c r="R9">
        <f t="shared" ca="1" si="1"/>
        <v>1</v>
      </c>
      <c r="S9">
        <f t="shared" ca="1" si="1"/>
        <v>3</v>
      </c>
      <c r="T9">
        <f t="shared" ca="1" si="1"/>
        <v>8</v>
      </c>
      <c r="U9">
        <f t="shared" ca="1" si="1"/>
        <v>2</v>
      </c>
      <c r="V9">
        <f t="shared" ca="1" si="1"/>
        <v>7</v>
      </c>
      <c r="W9">
        <f t="shared" ca="1" si="1"/>
        <v>10</v>
      </c>
      <c r="X9">
        <f t="shared" ca="1" si="1"/>
        <v>8</v>
      </c>
      <c r="Y9">
        <f t="shared" ca="1" si="1"/>
        <v>7</v>
      </c>
      <c r="Z9">
        <f t="shared" ca="1" si="1"/>
        <v>7</v>
      </c>
      <c r="AA9">
        <f t="shared" ca="1" si="1"/>
        <v>7</v>
      </c>
      <c r="AB9">
        <f t="shared" ca="1" si="1"/>
        <v>10</v>
      </c>
      <c r="AC9">
        <f t="shared" ca="1" si="1"/>
        <v>9</v>
      </c>
      <c r="AD9">
        <f t="shared" ca="1" si="1"/>
        <v>8</v>
      </c>
      <c r="AE9">
        <f t="shared" ca="1" si="1"/>
        <v>8</v>
      </c>
      <c r="AF9">
        <f t="shared" ca="1" si="1"/>
        <v>3</v>
      </c>
      <c r="AH9" s="25">
        <f t="shared" ca="1" si="6"/>
        <v>170</v>
      </c>
      <c r="AI9">
        <v>271</v>
      </c>
      <c r="AJ9">
        <v>300</v>
      </c>
      <c r="AK9">
        <f t="shared" si="3"/>
        <v>29</v>
      </c>
      <c r="AL9" s="15">
        <f t="shared" ca="1" si="4"/>
        <v>51000</v>
      </c>
      <c r="AM9" s="15">
        <f t="shared" ca="1" si="5"/>
        <v>4930</v>
      </c>
      <c r="AO9" t="s">
        <v>88</v>
      </c>
      <c r="AP9" s="13">
        <f>'Attendence (Sep)'!AL3</f>
        <v>50000</v>
      </c>
    </row>
    <row r="10" spans="1:42">
      <c r="A10" s="27"/>
      <c r="B10" t="s">
        <v>27</v>
      </c>
      <c r="C10">
        <f t="shared" ca="1" si="2"/>
        <v>10</v>
      </c>
      <c r="D10">
        <f t="shared" ca="1" si="1"/>
        <v>6</v>
      </c>
      <c r="E10">
        <f t="shared" ca="1" si="1"/>
        <v>9</v>
      </c>
      <c r="F10">
        <f t="shared" ca="1" si="1"/>
        <v>9</v>
      </c>
      <c r="G10">
        <f t="shared" ca="1" si="1"/>
        <v>10</v>
      </c>
      <c r="H10">
        <f t="shared" ca="1" si="1"/>
        <v>10</v>
      </c>
      <c r="I10">
        <f t="shared" ca="1" si="1"/>
        <v>2</v>
      </c>
      <c r="J10">
        <f t="shared" ca="1" si="1"/>
        <v>4</v>
      </c>
      <c r="K10">
        <f t="shared" ca="1" si="1"/>
        <v>1</v>
      </c>
      <c r="L10">
        <f t="shared" ca="1" si="1"/>
        <v>8</v>
      </c>
      <c r="M10">
        <f t="shared" ca="1" si="1"/>
        <v>3</v>
      </c>
      <c r="N10">
        <f t="shared" ca="1" si="1"/>
        <v>6</v>
      </c>
      <c r="O10">
        <f t="shared" ca="1" si="1"/>
        <v>3</v>
      </c>
      <c r="P10">
        <f t="shared" ca="1" si="1"/>
        <v>9</v>
      </c>
      <c r="Q10">
        <f t="shared" ca="1" si="1"/>
        <v>3</v>
      </c>
      <c r="R10">
        <f t="shared" ca="1" si="1"/>
        <v>2</v>
      </c>
      <c r="S10">
        <f t="shared" ca="1" si="1"/>
        <v>8</v>
      </c>
      <c r="T10">
        <f t="shared" ca="1" si="1"/>
        <v>1</v>
      </c>
      <c r="U10">
        <f t="shared" ca="1" si="1"/>
        <v>5</v>
      </c>
      <c r="V10">
        <f t="shared" ca="1" si="1"/>
        <v>1</v>
      </c>
      <c r="W10">
        <f t="shared" ca="1" si="1"/>
        <v>2</v>
      </c>
      <c r="X10">
        <f t="shared" ca="1" si="1"/>
        <v>9</v>
      </c>
      <c r="Y10">
        <f t="shared" ca="1" si="1"/>
        <v>7</v>
      </c>
      <c r="Z10">
        <f t="shared" ca="1" si="1"/>
        <v>10</v>
      </c>
      <c r="AA10">
        <f t="shared" ca="1" si="1"/>
        <v>10</v>
      </c>
      <c r="AB10">
        <f t="shared" ca="1" si="1"/>
        <v>8</v>
      </c>
      <c r="AC10">
        <f t="shared" ca="1" si="1"/>
        <v>9</v>
      </c>
      <c r="AD10">
        <f t="shared" ca="1" si="1"/>
        <v>10</v>
      </c>
      <c r="AE10">
        <f t="shared" ca="1" si="1"/>
        <v>3</v>
      </c>
      <c r="AF10">
        <f t="shared" ca="1" si="1"/>
        <v>9</v>
      </c>
      <c r="AH10" s="25">
        <f t="shared" ca="1" si="6"/>
        <v>187</v>
      </c>
      <c r="AI10">
        <v>226</v>
      </c>
      <c r="AJ10">
        <v>250</v>
      </c>
      <c r="AK10">
        <f t="shared" si="3"/>
        <v>24</v>
      </c>
      <c r="AL10" s="15">
        <f t="shared" ca="1" si="4"/>
        <v>46750</v>
      </c>
      <c r="AM10" s="15">
        <f t="shared" ca="1" si="5"/>
        <v>4488</v>
      </c>
      <c r="AO10" t="s">
        <v>89</v>
      </c>
      <c r="AP10" s="13">
        <f>'Attendence (Sep)'!AL4</f>
        <v>15000</v>
      </c>
    </row>
    <row r="11" spans="1:42">
      <c r="A11" s="27"/>
      <c r="B11" t="s">
        <v>28</v>
      </c>
      <c r="C11">
        <f t="shared" ca="1" si="2"/>
        <v>6</v>
      </c>
      <c r="D11">
        <f t="shared" ca="1" si="1"/>
        <v>2</v>
      </c>
      <c r="E11">
        <f t="shared" ca="1" si="1"/>
        <v>7</v>
      </c>
      <c r="F11">
        <f t="shared" ca="1" si="1"/>
        <v>2</v>
      </c>
      <c r="G11">
        <f t="shared" ca="1" si="1"/>
        <v>4</v>
      </c>
      <c r="H11">
        <f t="shared" ca="1" si="1"/>
        <v>5</v>
      </c>
      <c r="I11">
        <f t="shared" ca="1" si="1"/>
        <v>3</v>
      </c>
      <c r="J11">
        <f t="shared" ca="1" si="1"/>
        <v>5</v>
      </c>
      <c r="K11">
        <f t="shared" ca="1" si="1"/>
        <v>10</v>
      </c>
      <c r="L11">
        <f t="shared" ca="1" si="1"/>
        <v>10</v>
      </c>
      <c r="M11">
        <f t="shared" ca="1" si="1"/>
        <v>1</v>
      </c>
      <c r="N11">
        <f t="shared" ca="1" si="1"/>
        <v>9</v>
      </c>
      <c r="O11">
        <f t="shared" ca="1" si="1"/>
        <v>2</v>
      </c>
      <c r="P11">
        <f t="shared" ca="1" si="1"/>
        <v>1</v>
      </c>
      <c r="Q11">
        <f t="shared" ca="1" si="1"/>
        <v>7</v>
      </c>
      <c r="R11">
        <f t="shared" ca="1" si="1"/>
        <v>7</v>
      </c>
      <c r="S11">
        <f t="shared" ca="1" si="1"/>
        <v>5</v>
      </c>
      <c r="T11">
        <f t="shared" ca="1" si="1"/>
        <v>1</v>
      </c>
      <c r="U11">
        <f t="shared" ca="1" si="1"/>
        <v>10</v>
      </c>
      <c r="V11">
        <f t="shared" ca="1" si="1"/>
        <v>2</v>
      </c>
      <c r="W11">
        <f t="shared" ca="1" si="1"/>
        <v>5</v>
      </c>
      <c r="X11">
        <f t="shared" ca="1" si="1"/>
        <v>9</v>
      </c>
      <c r="Y11">
        <f t="shared" ca="1" si="1"/>
        <v>10</v>
      </c>
      <c r="Z11">
        <f t="shared" ca="1" si="1"/>
        <v>2</v>
      </c>
      <c r="AA11">
        <f t="shared" ca="1" si="1"/>
        <v>4</v>
      </c>
      <c r="AB11">
        <f t="shared" ca="1" si="1"/>
        <v>5</v>
      </c>
      <c r="AC11">
        <f t="shared" ca="1" si="1"/>
        <v>3</v>
      </c>
      <c r="AD11">
        <f t="shared" ca="1" si="1"/>
        <v>8</v>
      </c>
      <c r="AE11">
        <f t="shared" ca="1" si="1"/>
        <v>3</v>
      </c>
      <c r="AF11">
        <f t="shared" ca="1" si="1"/>
        <v>4</v>
      </c>
      <c r="AH11" s="25">
        <f t="shared" ca="1" si="6"/>
        <v>152</v>
      </c>
      <c r="AI11">
        <v>390</v>
      </c>
      <c r="AJ11">
        <v>450</v>
      </c>
      <c r="AK11">
        <f t="shared" si="3"/>
        <v>60</v>
      </c>
      <c r="AL11" s="15">
        <f t="shared" ca="1" si="4"/>
        <v>68400</v>
      </c>
      <c r="AM11" s="15">
        <f t="shared" ca="1" si="5"/>
        <v>9120</v>
      </c>
      <c r="AO11" t="s">
        <v>90</v>
      </c>
      <c r="AP11" s="13">
        <f>'Attendence (Sep)'!AL5</f>
        <v>18000</v>
      </c>
    </row>
    <row r="12" spans="1:42">
      <c r="A12" s="27"/>
      <c r="B12" t="s">
        <v>29</v>
      </c>
      <c r="C12">
        <f t="shared" ca="1" si="2"/>
        <v>2</v>
      </c>
      <c r="D12">
        <f t="shared" ca="1" si="1"/>
        <v>4</v>
      </c>
      <c r="E12">
        <f t="shared" ca="1" si="1"/>
        <v>4</v>
      </c>
      <c r="F12">
        <f t="shared" ca="1" si="1"/>
        <v>3</v>
      </c>
      <c r="G12">
        <f t="shared" ca="1" si="1"/>
        <v>7</v>
      </c>
      <c r="H12">
        <f t="shared" ca="1" si="1"/>
        <v>1</v>
      </c>
      <c r="I12">
        <f t="shared" ca="1" si="1"/>
        <v>6</v>
      </c>
      <c r="J12">
        <f t="shared" ca="1" si="1"/>
        <v>5</v>
      </c>
      <c r="K12">
        <f t="shared" ca="1" si="1"/>
        <v>1</v>
      </c>
      <c r="L12">
        <f t="shared" ca="1" si="1"/>
        <v>8</v>
      </c>
      <c r="M12">
        <f t="shared" ca="1" si="1"/>
        <v>2</v>
      </c>
      <c r="N12">
        <f t="shared" ca="1" si="1"/>
        <v>2</v>
      </c>
      <c r="O12">
        <f t="shared" ca="1" si="1"/>
        <v>7</v>
      </c>
      <c r="P12">
        <f t="shared" ca="1" si="1"/>
        <v>3</v>
      </c>
      <c r="Q12">
        <f t="shared" ca="1" si="1"/>
        <v>1</v>
      </c>
      <c r="R12">
        <f t="shared" ca="1" si="1"/>
        <v>5</v>
      </c>
      <c r="S12">
        <f t="shared" ref="S12:AF27" ca="1" si="7">RANDBETWEEN(1,10)</f>
        <v>1</v>
      </c>
      <c r="T12">
        <f t="shared" ca="1" si="7"/>
        <v>10</v>
      </c>
      <c r="U12">
        <f t="shared" ca="1" si="7"/>
        <v>9</v>
      </c>
      <c r="V12">
        <f t="shared" ca="1" si="7"/>
        <v>5</v>
      </c>
      <c r="W12">
        <f t="shared" ca="1" si="7"/>
        <v>1</v>
      </c>
      <c r="X12">
        <f t="shared" ca="1" si="7"/>
        <v>6</v>
      </c>
      <c r="Y12">
        <f t="shared" ca="1" si="7"/>
        <v>9</v>
      </c>
      <c r="Z12">
        <f t="shared" ca="1" si="7"/>
        <v>5</v>
      </c>
      <c r="AA12">
        <f t="shared" ca="1" si="7"/>
        <v>3</v>
      </c>
      <c r="AB12">
        <f t="shared" ca="1" si="7"/>
        <v>10</v>
      </c>
      <c r="AC12">
        <f t="shared" ca="1" si="7"/>
        <v>10</v>
      </c>
      <c r="AD12">
        <f t="shared" ca="1" si="7"/>
        <v>3</v>
      </c>
      <c r="AE12">
        <f t="shared" ca="1" si="7"/>
        <v>10</v>
      </c>
      <c r="AF12">
        <f t="shared" ca="1" si="7"/>
        <v>3</v>
      </c>
      <c r="AH12" s="25">
        <f t="shared" ca="1" si="6"/>
        <v>146</v>
      </c>
      <c r="AI12">
        <v>379</v>
      </c>
      <c r="AJ12">
        <v>430</v>
      </c>
      <c r="AK12">
        <f t="shared" si="3"/>
        <v>51</v>
      </c>
      <c r="AL12" s="15">
        <f t="shared" ca="1" si="4"/>
        <v>62780</v>
      </c>
      <c r="AM12" s="15">
        <f t="shared" ca="1" si="5"/>
        <v>7446</v>
      </c>
      <c r="AO12" t="s">
        <v>91</v>
      </c>
      <c r="AP12" s="13">
        <f>'Attendence (Sep)'!AL6</f>
        <v>10000</v>
      </c>
    </row>
    <row r="13" spans="1:42">
      <c r="A13" s="27"/>
      <c r="B13" t="s">
        <v>30</v>
      </c>
      <c r="C13">
        <f t="shared" ca="1" si="2"/>
        <v>5</v>
      </c>
      <c r="D13">
        <f t="shared" ca="1" si="2"/>
        <v>5</v>
      </c>
      <c r="E13">
        <f t="shared" ca="1" si="2"/>
        <v>1</v>
      </c>
      <c r="F13">
        <f t="shared" ca="1" si="2"/>
        <v>5</v>
      </c>
      <c r="G13">
        <f t="shared" ca="1" si="2"/>
        <v>2</v>
      </c>
      <c r="H13">
        <f t="shared" ca="1" si="2"/>
        <v>10</v>
      </c>
      <c r="I13">
        <f t="shared" ca="1" si="2"/>
        <v>9</v>
      </c>
      <c r="J13">
        <f t="shared" ca="1" si="2"/>
        <v>1</v>
      </c>
      <c r="K13">
        <f t="shared" ca="1" si="2"/>
        <v>4</v>
      </c>
      <c r="L13">
        <f t="shared" ca="1" si="2"/>
        <v>6</v>
      </c>
      <c r="M13">
        <f t="shared" ca="1" si="2"/>
        <v>8</v>
      </c>
      <c r="N13">
        <f t="shared" ca="1" si="2"/>
        <v>10</v>
      </c>
      <c r="O13">
        <f t="shared" ca="1" si="2"/>
        <v>8</v>
      </c>
      <c r="P13">
        <f t="shared" ca="1" si="2"/>
        <v>8</v>
      </c>
      <c r="Q13">
        <f t="shared" ca="1" si="2"/>
        <v>3</v>
      </c>
      <c r="R13">
        <f t="shared" ca="1" si="2"/>
        <v>8</v>
      </c>
      <c r="S13">
        <f t="shared" ca="1" si="7"/>
        <v>2</v>
      </c>
      <c r="T13">
        <f t="shared" ca="1" si="7"/>
        <v>1</v>
      </c>
      <c r="U13">
        <f t="shared" ca="1" si="7"/>
        <v>6</v>
      </c>
      <c r="V13">
        <f t="shared" ca="1" si="7"/>
        <v>9</v>
      </c>
      <c r="W13">
        <f t="shared" ca="1" si="7"/>
        <v>1</v>
      </c>
      <c r="X13">
        <f t="shared" ca="1" si="7"/>
        <v>8</v>
      </c>
      <c r="Y13">
        <f t="shared" ca="1" si="7"/>
        <v>8</v>
      </c>
      <c r="Z13">
        <f t="shared" ca="1" si="7"/>
        <v>7</v>
      </c>
      <c r="AA13">
        <f t="shared" ca="1" si="7"/>
        <v>1</v>
      </c>
      <c r="AB13">
        <f t="shared" ca="1" si="7"/>
        <v>10</v>
      </c>
      <c r="AC13">
        <f t="shared" ca="1" si="7"/>
        <v>2</v>
      </c>
      <c r="AD13">
        <f t="shared" ca="1" si="7"/>
        <v>5</v>
      </c>
      <c r="AE13">
        <f t="shared" ca="1" si="7"/>
        <v>2</v>
      </c>
      <c r="AF13">
        <f t="shared" ca="1" si="7"/>
        <v>2</v>
      </c>
      <c r="AH13" s="25">
        <f t="shared" ca="1" si="6"/>
        <v>157</v>
      </c>
      <c r="AI13">
        <v>368</v>
      </c>
      <c r="AJ13">
        <v>435</v>
      </c>
      <c r="AK13">
        <f t="shared" si="3"/>
        <v>67</v>
      </c>
      <c r="AL13" s="15">
        <f t="shared" ca="1" si="4"/>
        <v>68295</v>
      </c>
      <c r="AM13" s="15">
        <f t="shared" ca="1" si="5"/>
        <v>10519</v>
      </c>
      <c r="AO13" t="s">
        <v>92</v>
      </c>
      <c r="AP13" s="13">
        <v>10000</v>
      </c>
    </row>
    <row r="14" spans="1:42">
      <c r="A14" s="27"/>
      <c r="B14" t="s">
        <v>31</v>
      </c>
      <c r="C14">
        <f t="shared" ca="1" si="2"/>
        <v>5</v>
      </c>
      <c r="D14">
        <f t="shared" ca="1" si="2"/>
        <v>8</v>
      </c>
      <c r="E14">
        <f t="shared" ca="1" si="2"/>
        <v>8</v>
      </c>
      <c r="F14">
        <f t="shared" ca="1" si="2"/>
        <v>1</v>
      </c>
      <c r="G14">
        <f t="shared" ca="1" si="2"/>
        <v>7</v>
      </c>
      <c r="H14">
        <f t="shared" ca="1" si="2"/>
        <v>5</v>
      </c>
      <c r="I14">
        <f t="shared" ca="1" si="2"/>
        <v>8</v>
      </c>
      <c r="J14">
        <f t="shared" ca="1" si="2"/>
        <v>8</v>
      </c>
      <c r="K14">
        <f t="shared" ca="1" si="2"/>
        <v>9</v>
      </c>
      <c r="L14">
        <f t="shared" ca="1" si="2"/>
        <v>10</v>
      </c>
      <c r="M14">
        <f t="shared" ca="1" si="2"/>
        <v>7</v>
      </c>
      <c r="N14">
        <f t="shared" ca="1" si="2"/>
        <v>5</v>
      </c>
      <c r="O14">
        <f t="shared" ca="1" si="2"/>
        <v>7</v>
      </c>
      <c r="P14">
        <f t="shared" ca="1" si="2"/>
        <v>7</v>
      </c>
      <c r="Q14">
        <f t="shared" ca="1" si="2"/>
        <v>4</v>
      </c>
      <c r="R14">
        <f t="shared" ca="1" si="2"/>
        <v>7</v>
      </c>
      <c r="S14">
        <f t="shared" ca="1" si="7"/>
        <v>10</v>
      </c>
      <c r="T14">
        <f t="shared" ca="1" si="7"/>
        <v>9</v>
      </c>
      <c r="U14">
        <f t="shared" ca="1" si="7"/>
        <v>8</v>
      </c>
      <c r="V14">
        <f t="shared" ca="1" si="7"/>
        <v>10</v>
      </c>
      <c r="W14">
        <f t="shared" ca="1" si="7"/>
        <v>10</v>
      </c>
      <c r="X14">
        <f t="shared" ca="1" si="7"/>
        <v>9</v>
      </c>
      <c r="Y14">
        <f t="shared" ca="1" si="7"/>
        <v>9</v>
      </c>
      <c r="Z14">
        <f t="shared" ca="1" si="7"/>
        <v>9</v>
      </c>
      <c r="AA14">
        <f t="shared" ca="1" si="7"/>
        <v>7</v>
      </c>
      <c r="AB14">
        <f t="shared" ca="1" si="7"/>
        <v>7</v>
      </c>
      <c r="AC14">
        <f t="shared" ca="1" si="7"/>
        <v>10</v>
      </c>
      <c r="AD14">
        <f t="shared" ca="1" si="7"/>
        <v>7</v>
      </c>
      <c r="AE14">
        <f t="shared" ca="1" si="7"/>
        <v>7</v>
      </c>
      <c r="AF14">
        <f t="shared" ca="1" si="7"/>
        <v>1</v>
      </c>
      <c r="AH14" s="25">
        <f t="shared" ca="1" si="6"/>
        <v>219</v>
      </c>
      <c r="AI14">
        <v>88</v>
      </c>
      <c r="AJ14">
        <v>99</v>
      </c>
      <c r="AK14">
        <f t="shared" si="3"/>
        <v>11</v>
      </c>
      <c r="AL14" s="15">
        <f t="shared" ca="1" si="4"/>
        <v>21681</v>
      </c>
      <c r="AM14" s="15">
        <f t="shared" ca="1" si="5"/>
        <v>2409</v>
      </c>
      <c r="AO14" t="s">
        <v>93</v>
      </c>
      <c r="AP14" s="13">
        <v>2000</v>
      </c>
    </row>
    <row r="15" spans="1:42">
      <c r="A15" s="27"/>
      <c r="B15" t="s">
        <v>32</v>
      </c>
      <c r="C15">
        <f t="shared" ca="1" si="2"/>
        <v>8</v>
      </c>
      <c r="D15">
        <f t="shared" ca="1" si="2"/>
        <v>8</v>
      </c>
      <c r="E15">
        <f t="shared" ca="1" si="2"/>
        <v>4</v>
      </c>
      <c r="F15">
        <f t="shared" ca="1" si="2"/>
        <v>7</v>
      </c>
      <c r="G15">
        <f t="shared" ca="1" si="2"/>
        <v>5</v>
      </c>
      <c r="H15">
        <f t="shared" ca="1" si="2"/>
        <v>2</v>
      </c>
      <c r="I15">
        <f t="shared" ca="1" si="2"/>
        <v>1</v>
      </c>
      <c r="J15">
        <f t="shared" ca="1" si="2"/>
        <v>1</v>
      </c>
      <c r="K15">
        <f t="shared" ca="1" si="2"/>
        <v>4</v>
      </c>
      <c r="L15">
        <f t="shared" ca="1" si="2"/>
        <v>4</v>
      </c>
      <c r="M15">
        <f t="shared" ca="1" si="2"/>
        <v>1</v>
      </c>
      <c r="N15">
        <f t="shared" ca="1" si="2"/>
        <v>1</v>
      </c>
      <c r="O15">
        <f t="shared" ca="1" si="2"/>
        <v>2</v>
      </c>
      <c r="P15">
        <f t="shared" ca="1" si="2"/>
        <v>5</v>
      </c>
      <c r="Q15">
        <f t="shared" ca="1" si="2"/>
        <v>3</v>
      </c>
      <c r="R15">
        <f t="shared" ca="1" si="2"/>
        <v>10</v>
      </c>
      <c r="S15">
        <f t="shared" ca="1" si="7"/>
        <v>6</v>
      </c>
      <c r="T15">
        <f t="shared" ca="1" si="7"/>
        <v>5</v>
      </c>
      <c r="U15">
        <f t="shared" ca="1" si="7"/>
        <v>7</v>
      </c>
      <c r="V15">
        <f t="shared" ca="1" si="7"/>
        <v>8</v>
      </c>
      <c r="W15">
        <f t="shared" ca="1" si="7"/>
        <v>2</v>
      </c>
      <c r="X15">
        <f t="shared" ca="1" si="7"/>
        <v>5</v>
      </c>
      <c r="Y15">
        <f t="shared" ca="1" si="7"/>
        <v>3</v>
      </c>
      <c r="Z15">
        <f t="shared" ca="1" si="7"/>
        <v>7</v>
      </c>
      <c r="AA15">
        <f t="shared" ca="1" si="7"/>
        <v>8</v>
      </c>
      <c r="AB15">
        <f t="shared" ca="1" si="7"/>
        <v>4</v>
      </c>
      <c r="AC15">
        <f t="shared" ca="1" si="7"/>
        <v>7</v>
      </c>
      <c r="AD15">
        <f t="shared" ca="1" si="7"/>
        <v>7</v>
      </c>
      <c r="AE15">
        <f t="shared" ca="1" si="7"/>
        <v>10</v>
      </c>
      <c r="AF15">
        <f t="shared" ca="1" si="7"/>
        <v>3</v>
      </c>
      <c r="AH15" s="25">
        <f t="shared" ca="1" si="6"/>
        <v>148</v>
      </c>
      <c r="AI15">
        <v>391</v>
      </c>
      <c r="AJ15">
        <v>500</v>
      </c>
      <c r="AK15">
        <f t="shared" si="3"/>
        <v>109</v>
      </c>
      <c r="AL15" s="15">
        <f t="shared" ca="1" si="4"/>
        <v>74000</v>
      </c>
      <c r="AM15" s="15">
        <f t="shared" ca="1" si="5"/>
        <v>16132</v>
      </c>
      <c r="AO15" t="s">
        <v>80</v>
      </c>
      <c r="AP15" s="13">
        <f ca="1">SUM(AM3:AM57)</f>
        <v>282662</v>
      </c>
    </row>
    <row r="16" spans="1:42">
      <c r="A16" s="27"/>
      <c r="B16" t="s">
        <v>33</v>
      </c>
      <c r="C16">
        <f t="shared" ca="1" si="2"/>
        <v>10</v>
      </c>
      <c r="D16">
        <f t="shared" ca="1" si="2"/>
        <v>6</v>
      </c>
      <c r="E16">
        <f t="shared" ca="1" si="2"/>
        <v>3</v>
      </c>
      <c r="F16">
        <f t="shared" ca="1" si="2"/>
        <v>10</v>
      </c>
      <c r="G16">
        <f t="shared" ca="1" si="2"/>
        <v>3</v>
      </c>
      <c r="H16">
        <f t="shared" ca="1" si="2"/>
        <v>5</v>
      </c>
      <c r="I16">
        <f t="shared" ca="1" si="2"/>
        <v>7</v>
      </c>
      <c r="J16">
        <f t="shared" ca="1" si="2"/>
        <v>3</v>
      </c>
      <c r="K16">
        <f t="shared" ca="1" si="2"/>
        <v>3</v>
      </c>
      <c r="L16">
        <f t="shared" ca="1" si="2"/>
        <v>5</v>
      </c>
      <c r="M16">
        <f t="shared" ca="1" si="2"/>
        <v>3</v>
      </c>
      <c r="N16">
        <f t="shared" ca="1" si="2"/>
        <v>9</v>
      </c>
      <c r="O16">
        <f t="shared" ca="1" si="2"/>
        <v>7</v>
      </c>
      <c r="P16">
        <f t="shared" ca="1" si="2"/>
        <v>8</v>
      </c>
      <c r="Q16">
        <f t="shared" ca="1" si="2"/>
        <v>8</v>
      </c>
      <c r="R16">
        <f t="shared" ca="1" si="2"/>
        <v>5</v>
      </c>
      <c r="S16">
        <f t="shared" ca="1" si="7"/>
        <v>2</v>
      </c>
      <c r="T16">
        <f t="shared" ca="1" si="7"/>
        <v>8</v>
      </c>
      <c r="U16">
        <f t="shared" ca="1" si="7"/>
        <v>5</v>
      </c>
      <c r="V16">
        <f t="shared" ca="1" si="7"/>
        <v>7</v>
      </c>
      <c r="W16">
        <f t="shared" ca="1" si="7"/>
        <v>2</v>
      </c>
      <c r="X16">
        <f t="shared" ca="1" si="7"/>
        <v>1</v>
      </c>
      <c r="Y16">
        <f t="shared" ca="1" si="7"/>
        <v>3</v>
      </c>
      <c r="Z16">
        <f t="shared" ca="1" si="7"/>
        <v>10</v>
      </c>
      <c r="AA16">
        <f t="shared" ca="1" si="7"/>
        <v>8</v>
      </c>
      <c r="AB16">
        <f t="shared" ca="1" si="7"/>
        <v>7</v>
      </c>
      <c r="AC16">
        <f t="shared" ca="1" si="7"/>
        <v>2</v>
      </c>
      <c r="AD16">
        <f t="shared" ca="1" si="7"/>
        <v>10</v>
      </c>
      <c r="AE16">
        <f t="shared" ca="1" si="7"/>
        <v>2</v>
      </c>
      <c r="AF16">
        <f t="shared" ca="1" si="7"/>
        <v>6</v>
      </c>
      <c r="AH16" s="25">
        <f t="shared" ca="1" si="6"/>
        <v>168</v>
      </c>
      <c r="AI16">
        <v>261</v>
      </c>
      <c r="AJ16">
        <v>300</v>
      </c>
      <c r="AK16">
        <f t="shared" si="3"/>
        <v>39</v>
      </c>
      <c r="AL16" s="15">
        <f t="shared" ca="1" si="4"/>
        <v>50400</v>
      </c>
      <c r="AM16" s="15">
        <f t="shared" ca="1" si="5"/>
        <v>6552</v>
      </c>
      <c r="AO16" s="1" t="s">
        <v>94</v>
      </c>
      <c r="AP16" s="14">
        <f ca="1">AP15-(AP9+AP10+AP11+AP12+AP13+AP14)</f>
        <v>177662</v>
      </c>
    </row>
    <row r="17" spans="1:39">
      <c r="A17" s="27"/>
      <c r="B17" t="s">
        <v>34</v>
      </c>
      <c r="C17">
        <f t="shared" ca="1" si="2"/>
        <v>9</v>
      </c>
      <c r="D17">
        <f t="shared" ca="1" si="2"/>
        <v>2</v>
      </c>
      <c r="E17">
        <f t="shared" ca="1" si="2"/>
        <v>3</v>
      </c>
      <c r="F17">
        <f t="shared" ca="1" si="2"/>
        <v>1</v>
      </c>
      <c r="G17">
        <f t="shared" ca="1" si="2"/>
        <v>3</v>
      </c>
      <c r="H17">
        <f t="shared" ca="1" si="2"/>
        <v>8</v>
      </c>
      <c r="I17">
        <f t="shared" ca="1" si="2"/>
        <v>3</v>
      </c>
      <c r="J17">
        <f t="shared" ca="1" si="2"/>
        <v>10</v>
      </c>
      <c r="K17">
        <f t="shared" ca="1" si="2"/>
        <v>8</v>
      </c>
      <c r="L17">
        <f t="shared" ca="1" si="2"/>
        <v>10</v>
      </c>
      <c r="M17">
        <f t="shared" ca="1" si="2"/>
        <v>8</v>
      </c>
      <c r="N17">
        <f t="shared" ca="1" si="2"/>
        <v>7</v>
      </c>
      <c r="O17">
        <f t="shared" ca="1" si="2"/>
        <v>5</v>
      </c>
      <c r="P17">
        <f t="shared" ca="1" si="2"/>
        <v>6</v>
      </c>
      <c r="Q17">
        <f t="shared" ca="1" si="2"/>
        <v>3</v>
      </c>
      <c r="R17">
        <f t="shared" ca="1" si="2"/>
        <v>9</v>
      </c>
      <c r="S17">
        <f t="shared" ca="1" si="7"/>
        <v>6</v>
      </c>
      <c r="T17">
        <f t="shared" ca="1" si="7"/>
        <v>4</v>
      </c>
      <c r="U17">
        <f t="shared" ca="1" si="7"/>
        <v>1</v>
      </c>
      <c r="V17">
        <f t="shared" ca="1" si="7"/>
        <v>4</v>
      </c>
      <c r="W17">
        <f t="shared" ca="1" si="7"/>
        <v>4</v>
      </c>
      <c r="X17">
        <f t="shared" ca="1" si="7"/>
        <v>5</v>
      </c>
      <c r="Y17">
        <f t="shared" ca="1" si="7"/>
        <v>10</v>
      </c>
      <c r="Z17">
        <f t="shared" ca="1" si="7"/>
        <v>7</v>
      </c>
      <c r="AA17">
        <f t="shared" ca="1" si="7"/>
        <v>1</v>
      </c>
      <c r="AB17">
        <f t="shared" ca="1" si="7"/>
        <v>2</v>
      </c>
      <c r="AC17">
        <f t="shared" ca="1" si="7"/>
        <v>3</v>
      </c>
      <c r="AD17">
        <f t="shared" ca="1" si="7"/>
        <v>5</v>
      </c>
      <c r="AE17">
        <f t="shared" ca="1" si="7"/>
        <v>8</v>
      </c>
      <c r="AF17">
        <f t="shared" ca="1" si="7"/>
        <v>4</v>
      </c>
      <c r="AH17" s="25">
        <f t="shared" ca="1" si="6"/>
        <v>159</v>
      </c>
      <c r="AI17">
        <v>67</v>
      </c>
      <c r="AJ17">
        <v>99</v>
      </c>
      <c r="AK17">
        <f t="shared" si="3"/>
        <v>32</v>
      </c>
      <c r="AL17" s="15">
        <f t="shared" ca="1" si="4"/>
        <v>15741</v>
      </c>
      <c r="AM17" s="15">
        <f t="shared" ca="1" si="5"/>
        <v>5088</v>
      </c>
    </row>
    <row r="18" spans="1:39">
      <c r="A18" s="27"/>
      <c r="B18" t="s">
        <v>35</v>
      </c>
      <c r="C18">
        <f t="shared" ca="1" si="2"/>
        <v>10</v>
      </c>
      <c r="D18">
        <f t="shared" ca="1" si="2"/>
        <v>6</v>
      </c>
      <c r="E18">
        <f t="shared" ca="1" si="2"/>
        <v>7</v>
      </c>
      <c r="F18">
        <f t="shared" ca="1" si="2"/>
        <v>5</v>
      </c>
      <c r="G18">
        <f t="shared" ca="1" si="2"/>
        <v>3</v>
      </c>
      <c r="H18">
        <f t="shared" ca="1" si="2"/>
        <v>2</v>
      </c>
      <c r="I18">
        <f t="shared" ca="1" si="2"/>
        <v>4</v>
      </c>
      <c r="J18">
        <f t="shared" ca="1" si="2"/>
        <v>8</v>
      </c>
      <c r="K18">
        <f t="shared" ca="1" si="2"/>
        <v>5</v>
      </c>
      <c r="L18">
        <f t="shared" ca="1" si="2"/>
        <v>2</v>
      </c>
      <c r="M18">
        <f t="shared" ca="1" si="2"/>
        <v>3</v>
      </c>
      <c r="N18">
        <f t="shared" ca="1" si="2"/>
        <v>7</v>
      </c>
      <c r="O18">
        <f t="shared" ca="1" si="2"/>
        <v>7</v>
      </c>
      <c r="P18">
        <f t="shared" ca="1" si="2"/>
        <v>1</v>
      </c>
      <c r="Q18">
        <f t="shared" ca="1" si="2"/>
        <v>6</v>
      </c>
      <c r="R18">
        <f t="shared" ca="1" si="2"/>
        <v>1</v>
      </c>
      <c r="S18">
        <f t="shared" ca="1" si="7"/>
        <v>3</v>
      </c>
      <c r="T18">
        <f t="shared" ca="1" si="7"/>
        <v>7</v>
      </c>
      <c r="U18">
        <f t="shared" ca="1" si="7"/>
        <v>5</v>
      </c>
      <c r="V18">
        <f t="shared" ca="1" si="7"/>
        <v>9</v>
      </c>
      <c r="W18">
        <f t="shared" ca="1" si="7"/>
        <v>2</v>
      </c>
      <c r="X18">
        <f t="shared" ca="1" si="7"/>
        <v>6</v>
      </c>
      <c r="Y18">
        <f t="shared" ca="1" si="7"/>
        <v>7</v>
      </c>
      <c r="Z18">
        <f t="shared" ca="1" si="7"/>
        <v>1</v>
      </c>
      <c r="AA18">
        <f t="shared" ca="1" si="7"/>
        <v>1</v>
      </c>
      <c r="AB18">
        <f t="shared" ca="1" si="7"/>
        <v>2</v>
      </c>
      <c r="AC18">
        <f t="shared" ca="1" si="7"/>
        <v>5</v>
      </c>
      <c r="AD18">
        <f t="shared" ca="1" si="7"/>
        <v>4</v>
      </c>
      <c r="AE18">
        <f t="shared" ca="1" si="7"/>
        <v>9</v>
      </c>
      <c r="AF18">
        <f t="shared" ca="1" si="7"/>
        <v>4</v>
      </c>
      <c r="AH18" s="25">
        <f t="shared" ca="1" si="6"/>
        <v>142</v>
      </c>
      <c r="AI18">
        <v>138</v>
      </c>
      <c r="AJ18">
        <v>150</v>
      </c>
      <c r="AK18">
        <f t="shared" si="3"/>
        <v>12</v>
      </c>
      <c r="AL18" s="15">
        <f t="shared" ca="1" si="4"/>
        <v>21300</v>
      </c>
      <c r="AM18" s="15">
        <f t="shared" ca="1" si="5"/>
        <v>1704</v>
      </c>
    </row>
    <row r="19" spans="1:39">
      <c r="A19" s="27"/>
      <c r="B19" t="s">
        <v>36</v>
      </c>
      <c r="C19">
        <f t="shared" ca="1" si="2"/>
        <v>8</v>
      </c>
      <c r="D19">
        <f t="shared" ca="1" si="2"/>
        <v>6</v>
      </c>
      <c r="E19">
        <f t="shared" ca="1" si="2"/>
        <v>4</v>
      </c>
      <c r="F19">
        <f t="shared" ca="1" si="2"/>
        <v>10</v>
      </c>
      <c r="G19">
        <f t="shared" ca="1" si="2"/>
        <v>2</v>
      </c>
      <c r="H19">
        <f t="shared" ca="1" si="2"/>
        <v>3</v>
      </c>
      <c r="I19">
        <f t="shared" ca="1" si="2"/>
        <v>9</v>
      </c>
      <c r="J19">
        <f t="shared" ca="1" si="2"/>
        <v>6</v>
      </c>
      <c r="K19">
        <f t="shared" ca="1" si="2"/>
        <v>9</v>
      </c>
      <c r="L19">
        <f t="shared" ca="1" si="2"/>
        <v>6</v>
      </c>
      <c r="M19">
        <f t="shared" ca="1" si="2"/>
        <v>7</v>
      </c>
      <c r="N19">
        <f t="shared" ca="1" si="2"/>
        <v>3</v>
      </c>
      <c r="O19">
        <f t="shared" ca="1" si="2"/>
        <v>3</v>
      </c>
      <c r="P19">
        <f t="shared" ca="1" si="2"/>
        <v>5</v>
      </c>
      <c r="Q19">
        <f t="shared" ca="1" si="2"/>
        <v>2</v>
      </c>
      <c r="R19">
        <f t="shared" ca="1" si="2"/>
        <v>7</v>
      </c>
      <c r="S19">
        <f t="shared" ca="1" si="7"/>
        <v>1</v>
      </c>
      <c r="T19">
        <f t="shared" ca="1" si="7"/>
        <v>2</v>
      </c>
      <c r="U19">
        <f t="shared" ca="1" si="7"/>
        <v>8</v>
      </c>
      <c r="V19">
        <f t="shared" ca="1" si="7"/>
        <v>4</v>
      </c>
      <c r="W19">
        <f t="shared" ca="1" si="7"/>
        <v>2</v>
      </c>
      <c r="X19">
        <f t="shared" ca="1" si="7"/>
        <v>4</v>
      </c>
      <c r="Y19">
        <f t="shared" ca="1" si="7"/>
        <v>1</v>
      </c>
      <c r="Z19">
        <f t="shared" ca="1" si="7"/>
        <v>1</v>
      </c>
      <c r="AA19">
        <f t="shared" ca="1" si="7"/>
        <v>1</v>
      </c>
      <c r="AB19">
        <f t="shared" ca="1" si="7"/>
        <v>9</v>
      </c>
      <c r="AC19">
        <f t="shared" ca="1" si="7"/>
        <v>3</v>
      </c>
      <c r="AD19">
        <f t="shared" ca="1" si="7"/>
        <v>4</v>
      </c>
      <c r="AE19">
        <f t="shared" ca="1" si="7"/>
        <v>10</v>
      </c>
      <c r="AF19">
        <f t="shared" ca="1" si="7"/>
        <v>2</v>
      </c>
      <c r="AH19" s="25">
        <f t="shared" ca="1" si="6"/>
        <v>142</v>
      </c>
      <c r="AI19">
        <v>60</v>
      </c>
      <c r="AJ19">
        <v>80</v>
      </c>
      <c r="AK19">
        <f t="shared" si="3"/>
        <v>20</v>
      </c>
      <c r="AL19" s="15">
        <f t="shared" ca="1" si="4"/>
        <v>11360</v>
      </c>
      <c r="AM19" s="15">
        <f t="shared" ca="1" si="5"/>
        <v>2840</v>
      </c>
    </row>
    <row r="20" spans="1:39">
      <c r="A20" s="27"/>
      <c r="B20" t="s">
        <v>37</v>
      </c>
      <c r="C20">
        <f t="shared" ref="C20:R35" ca="1" si="8">RANDBETWEEN(1,10)</f>
        <v>5</v>
      </c>
      <c r="D20">
        <f t="shared" ca="1" si="8"/>
        <v>5</v>
      </c>
      <c r="E20">
        <f t="shared" ca="1" si="8"/>
        <v>4</v>
      </c>
      <c r="F20">
        <f t="shared" ca="1" si="8"/>
        <v>2</v>
      </c>
      <c r="G20">
        <f t="shared" ca="1" si="8"/>
        <v>10</v>
      </c>
      <c r="H20">
        <f t="shared" ca="1" si="8"/>
        <v>5</v>
      </c>
      <c r="I20">
        <f t="shared" ca="1" si="8"/>
        <v>3</v>
      </c>
      <c r="J20">
        <f t="shared" ca="1" si="8"/>
        <v>1</v>
      </c>
      <c r="K20">
        <f t="shared" ca="1" si="8"/>
        <v>8</v>
      </c>
      <c r="L20">
        <f t="shared" ca="1" si="8"/>
        <v>1</v>
      </c>
      <c r="M20">
        <f t="shared" ca="1" si="8"/>
        <v>3</v>
      </c>
      <c r="N20">
        <f t="shared" ca="1" si="8"/>
        <v>4</v>
      </c>
      <c r="O20">
        <f t="shared" ca="1" si="8"/>
        <v>2</v>
      </c>
      <c r="P20">
        <f t="shared" ca="1" si="8"/>
        <v>8</v>
      </c>
      <c r="Q20">
        <f t="shared" ca="1" si="8"/>
        <v>7</v>
      </c>
      <c r="R20">
        <f t="shared" ca="1" si="8"/>
        <v>7</v>
      </c>
      <c r="S20">
        <f t="shared" ca="1" si="7"/>
        <v>3</v>
      </c>
      <c r="T20">
        <f t="shared" ca="1" si="7"/>
        <v>6</v>
      </c>
      <c r="U20">
        <f t="shared" ca="1" si="7"/>
        <v>5</v>
      </c>
      <c r="V20">
        <f t="shared" ca="1" si="7"/>
        <v>3</v>
      </c>
      <c r="W20">
        <f t="shared" ca="1" si="7"/>
        <v>3</v>
      </c>
      <c r="X20">
        <f t="shared" ca="1" si="7"/>
        <v>10</v>
      </c>
      <c r="Y20">
        <f t="shared" ca="1" si="7"/>
        <v>2</v>
      </c>
      <c r="Z20">
        <f t="shared" ca="1" si="7"/>
        <v>6</v>
      </c>
      <c r="AA20">
        <f t="shared" ca="1" si="7"/>
        <v>5</v>
      </c>
      <c r="AB20">
        <f t="shared" ca="1" si="7"/>
        <v>3</v>
      </c>
      <c r="AC20">
        <f t="shared" ca="1" si="7"/>
        <v>5</v>
      </c>
      <c r="AD20">
        <f t="shared" ca="1" si="7"/>
        <v>4</v>
      </c>
      <c r="AE20">
        <f t="shared" ca="1" si="7"/>
        <v>1</v>
      </c>
      <c r="AF20">
        <f t="shared" ca="1" si="7"/>
        <v>7</v>
      </c>
      <c r="AH20" s="25">
        <f t="shared" ca="1" si="6"/>
        <v>138</v>
      </c>
      <c r="AI20">
        <v>44</v>
      </c>
      <c r="AJ20">
        <v>50</v>
      </c>
      <c r="AK20">
        <f t="shared" si="3"/>
        <v>6</v>
      </c>
      <c r="AL20" s="15">
        <f t="shared" ca="1" si="4"/>
        <v>6900</v>
      </c>
      <c r="AM20" s="15">
        <f t="shared" ca="1" si="5"/>
        <v>828</v>
      </c>
    </row>
    <row r="21" spans="1:39">
      <c r="A21" s="27"/>
      <c r="B21" t="s">
        <v>38</v>
      </c>
      <c r="C21">
        <f t="shared" ca="1" si="8"/>
        <v>4</v>
      </c>
      <c r="D21">
        <f t="shared" ca="1" si="8"/>
        <v>8</v>
      </c>
      <c r="E21">
        <f t="shared" ca="1" si="8"/>
        <v>7</v>
      </c>
      <c r="F21">
        <f t="shared" ca="1" si="8"/>
        <v>1</v>
      </c>
      <c r="G21">
        <f t="shared" ca="1" si="8"/>
        <v>9</v>
      </c>
      <c r="H21">
        <f t="shared" ca="1" si="8"/>
        <v>10</v>
      </c>
      <c r="I21">
        <f t="shared" ca="1" si="8"/>
        <v>7</v>
      </c>
      <c r="J21">
        <f t="shared" ca="1" si="8"/>
        <v>6</v>
      </c>
      <c r="K21">
        <f t="shared" ca="1" si="8"/>
        <v>6</v>
      </c>
      <c r="L21">
        <f t="shared" ca="1" si="8"/>
        <v>10</v>
      </c>
      <c r="M21">
        <f t="shared" ca="1" si="8"/>
        <v>7</v>
      </c>
      <c r="N21">
        <f t="shared" ca="1" si="8"/>
        <v>10</v>
      </c>
      <c r="O21">
        <f t="shared" ca="1" si="8"/>
        <v>4</v>
      </c>
      <c r="P21">
        <f t="shared" ca="1" si="8"/>
        <v>6</v>
      </c>
      <c r="Q21">
        <f t="shared" ca="1" si="8"/>
        <v>3</v>
      </c>
      <c r="R21">
        <f t="shared" ca="1" si="8"/>
        <v>2</v>
      </c>
      <c r="S21">
        <f t="shared" ca="1" si="7"/>
        <v>2</v>
      </c>
      <c r="T21">
        <f t="shared" ca="1" si="7"/>
        <v>6</v>
      </c>
      <c r="U21">
        <f t="shared" ca="1" si="7"/>
        <v>8</v>
      </c>
      <c r="V21">
        <f t="shared" ca="1" si="7"/>
        <v>4</v>
      </c>
      <c r="W21">
        <f t="shared" ca="1" si="7"/>
        <v>6</v>
      </c>
      <c r="X21">
        <f t="shared" ca="1" si="7"/>
        <v>3</v>
      </c>
      <c r="Y21">
        <f t="shared" ca="1" si="7"/>
        <v>8</v>
      </c>
      <c r="Z21">
        <f t="shared" ca="1" si="7"/>
        <v>9</v>
      </c>
      <c r="AA21">
        <f t="shared" ca="1" si="7"/>
        <v>2</v>
      </c>
      <c r="AB21">
        <f t="shared" ca="1" si="7"/>
        <v>8</v>
      </c>
      <c r="AC21">
        <f t="shared" ca="1" si="7"/>
        <v>2</v>
      </c>
      <c r="AD21">
        <f t="shared" ca="1" si="7"/>
        <v>6</v>
      </c>
      <c r="AE21">
        <f t="shared" ca="1" si="7"/>
        <v>4</v>
      </c>
      <c r="AF21">
        <f t="shared" ca="1" si="7"/>
        <v>9</v>
      </c>
      <c r="AH21" s="25">
        <f t="shared" ca="1" si="6"/>
        <v>177</v>
      </c>
      <c r="AI21">
        <v>308</v>
      </c>
      <c r="AJ21">
        <v>320</v>
      </c>
      <c r="AK21">
        <f t="shared" si="3"/>
        <v>12</v>
      </c>
      <c r="AL21" s="15">
        <f t="shared" ca="1" si="4"/>
        <v>56640</v>
      </c>
      <c r="AM21" s="15">
        <f t="shared" ca="1" si="5"/>
        <v>2124</v>
      </c>
    </row>
    <row r="22" spans="1:39">
      <c r="A22" s="27"/>
      <c r="B22" t="s">
        <v>39</v>
      </c>
      <c r="C22">
        <f t="shared" ca="1" si="8"/>
        <v>4</v>
      </c>
      <c r="D22">
        <f t="shared" ca="1" si="8"/>
        <v>9</v>
      </c>
      <c r="E22">
        <f t="shared" ca="1" si="8"/>
        <v>2</v>
      </c>
      <c r="F22">
        <f t="shared" ca="1" si="8"/>
        <v>5</v>
      </c>
      <c r="G22">
        <f t="shared" ca="1" si="8"/>
        <v>5</v>
      </c>
      <c r="H22">
        <f t="shared" ca="1" si="8"/>
        <v>6</v>
      </c>
      <c r="I22">
        <f t="shared" ca="1" si="8"/>
        <v>1</v>
      </c>
      <c r="J22">
        <f t="shared" ca="1" si="8"/>
        <v>8</v>
      </c>
      <c r="K22">
        <f t="shared" ca="1" si="8"/>
        <v>8</v>
      </c>
      <c r="L22">
        <f t="shared" ca="1" si="8"/>
        <v>9</v>
      </c>
      <c r="M22">
        <f t="shared" ca="1" si="8"/>
        <v>8</v>
      </c>
      <c r="N22">
        <f t="shared" ca="1" si="8"/>
        <v>1</v>
      </c>
      <c r="O22">
        <f t="shared" ca="1" si="8"/>
        <v>1</v>
      </c>
      <c r="P22">
        <f t="shared" ca="1" si="8"/>
        <v>10</v>
      </c>
      <c r="Q22">
        <f t="shared" ca="1" si="8"/>
        <v>1</v>
      </c>
      <c r="R22">
        <f t="shared" ca="1" si="8"/>
        <v>5</v>
      </c>
      <c r="S22">
        <f t="shared" ca="1" si="7"/>
        <v>7</v>
      </c>
      <c r="T22">
        <f t="shared" ca="1" si="7"/>
        <v>1</v>
      </c>
      <c r="U22">
        <f t="shared" ca="1" si="7"/>
        <v>2</v>
      </c>
      <c r="V22">
        <f t="shared" ca="1" si="7"/>
        <v>6</v>
      </c>
      <c r="W22">
        <f t="shared" ca="1" si="7"/>
        <v>6</v>
      </c>
      <c r="X22">
        <f t="shared" ca="1" si="7"/>
        <v>2</v>
      </c>
      <c r="Y22">
        <f t="shared" ca="1" si="7"/>
        <v>9</v>
      </c>
      <c r="Z22">
        <f t="shared" ca="1" si="7"/>
        <v>10</v>
      </c>
      <c r="AA22">
        <f t="shared" ca="1" si="7"/>
        <v>4</v>
      </c>
      <c r="AB22">
        <f t="shared" ca="1" si="7"/>
        <v>2</v>
      </c>
      <c r="AC22">
        <f t="shared" ca="1" si="7"/>
        <v>10</v>
      </c>
      <c r="AD22">
        <f t="shared" ca="1" si="7"/>
        <v>1</v>
      </c>
      <c r="AE22">
        <f t="shared" ca="1" si="7"/>
        <v>4</v>
      </c>
      <c r="AF22">
        <f t="shared" ca="1" si="7"/>
        <v>3</v>
      </c>
      <c r="AH22" s="25">
        <f t="shared" ca="1" si="6"/>
        <v>150</v>
      </c>
      <c r="AI22">
        <v>234</v>
      </c>
      <c r="AJ22">
        <v>250</v>
      </c>
      <c r="AK22">
        <f t="shared" si="3"/>
        <v>16</v>
      </c>
      <c r="AL22" s="15">
        <f t="shared" ca="1" si="4"/>
        <v>37500</v>
      </c>
      <c r="AM22" s="15">
        <f t="shared" ca="1" si="5"/>
        <v>2400</v>
      </c>
    </row>
    <row r="23" spans="1:39">
      <c r="A23" s="27"/>
      <c r="B23" t="s">
        <v>40</v>
      </c>
      <c r="C23">
        <f t="shared" ca="1" si="8"/>
        <v>8</v>
      </c>
      <c r="D23">
        <f t="shared" ca="1" si="8"/>
        <v>4</v>
      </c>
      <c r="E23">
        <f t="shared" ca="1" si="8"/>
        <v>4</v>
      </c>
      <c r="F23">
        <f t="shared" ca="1" si="8"/>
        <v>8</v>
      </c>
      <c r="G23">
        <f t="shared" ca="1" si="8"/>
        <v>8</v>
      </c>
      <c r="H23">
        <f t="shared" ca="1" si="8"/>
        <v>9</v>
      </c>
      <c r="I23">
        <f t="shared" ca="1" si="8"/>
        <v>3</v>
      </c>
      <c r="J23">
        <f t="shared" ca="1" si="8"/>
        <v>10</v>
      </c>
      <c r="K23">
        <f t="shared" ca="1" si="8"/>
        <v>8</v>
      </c>
      <c r="L23">
        <f t="shared" ca="1" si="8"/>
        <v>7</v>
      </c>
      <c r="M23">
        <f t="shared" ca="1" si="8"/>
        <v>4</v>
      </c>
      <c r="N23">
        <f t="shared" ca="1" si="8"/>
        <v>5</v>
      </c>
      <c r="O23">
        <f t="shared" ca="1" si="8"/>
        <v>1</v>
      </c>
      <c r="P23">
        <f t="shared" ca="1" si="8"/>
        <v>3</v>
      </c>
      <c r="Q23">
        <f t="shared" ca="1" si="8"/>
        <v>10</v>
      </c>
      <c r="R23">
        <f t="shared" ca="1" si="8"/>
        <v>2</v>
      </c>
      <c r="S23">
        <f t="shared" ca="1" si="7"/>
        <v>5</v>
      </c>
      <c r="T23">
        <f t="shared" ca="1" si="7"/>
        <v>1</v>
      </c>
      <c r="U23">
        <f t="shared" ca="1" si="7"/>
        <v>7</v>
      </c>
      <c r="V23">
        <f t="shared" ca="1" si="7"/>
        <v>3</v>
      </c>
      <c r="W23">
        <f t="shared" ca="1" si="7"/>
        <v>10</v>
      </c>
      <c r="X23">
        <f t="shared" ca="1" si="7"/>
        <v>8</v>
      </c>
      <c r="Y23">
        <f t="shared" ca="1" si="7"/>
        <v>5</v>
      </c>
      <c r="Z23">
        <f t="shared" ca="1" si="7"/>
        <v>7</v>
      </c>
      <c r="AA23">
        <f t="shared" ca="1" si="7"/>
        <v>1</v>
      </c>
      <c r="AB23">
        <f t="shared" ca="1" si="7"/>
        <v>3</v>
      </c>
      <c r="AC23">
        <f t="shared" ca="1" si="7"/>
        <v>4</v>
      </c>
      <c r="AD23">
        <f t="shared" ca="1" si="7"/>
        <v>5</v>
      </c>
      <c r="AE23">
        <f t="shared" ca="1" si="7"/>
        <v>8</v>
      </c>
      <c r="AF23">
        <f t="shared" ca="1" si="7"/>
        <v>3</v>
      </c>
      <c r="AH23" s="25">
        <f t="shared" ca="1" si="6"/>
        <v>164</v>
      </c>
      <c r="AI23">
        <v>121</v>
      </c>
      <c r="AJ23">
        <v>140</v>
      </c>
      <c r="AK23">
        <f t="shared" si="3"/>
        <v>19</v>
      </c>
      <c r="AL23" s="15">
        <f t="shared" ca="1" si="4"/>
        <v>22960</v>
      </c>
      <c r="AM23" s="15">
        <f t="shared" ca="1" si="5"/>
        <v>3116</v>
      </c>
    </row>
    <row r="24" spans="1:39">
      <c r="A24" s="27"/>
      <c r="B24" t="s">
        <v>41</v>
      </c>
      <c r="C24">
        <f t="shared" ca="1" si="8"/>
        <v>8</v>
      </c>
      <c r="D24">
        <f t="shared" ca="1" si="8"/>
        <v>4</v>
      </c>
      <c r="E24">
        <f t="shared" ca="1" si="8"/>
        <v>7</v>
      </c>
      <c r="F24">
        <f t="shared" ca="1" si="8"/>
        <v>8</v>
      </c>
      <c r="G24">
        <f t="shared" ca="1" si="8"/>
        <v>3</v>
      </c>
      <c r="H24">
        <f t="shared" ca="1" si="8"/>
        <v>10</v>
      </c>
      <c r="I24">
        <f t="shared" ca="1" si="8"/>
        <v>3</v>
      </c>
      <c r="J24">
        <f t="shared" ca="1" si="8"/>
        <v>8</v>
      </c>
      <c r="K24">
        <f t="shared" ca="1" si="8"/>
        <v>10</v>
      </c>
      <c r="L24">
        <f t="shared" ca="1" si="8"/>
        <v>4</v>
      </c>
      <c r="M24">
        <f t="shared" ca="1" si="8"/>
        <v>6</v>
      </c>
      <c r="N24">
        <f t="shared" ca="1" si="8"/>
        <v>5</v>
      </c>
      <c r="O24">
        <f t="shared" ca="1" si="8"/>
        <v>3</v>
      </c>
      <c r="P24">
        <f t="shared" ca="1" si="8"/>
        <v>2</v>
      </c>
      <c r="Q24">
        <f t="shared" ca="1" si="8"/>
        <v>8</v>
      </c>
      <c r="R24">
        <f t="shared" ca="1" si="8"/>
        <v>5</v>
      </c>
      <c r="S24">
        <f t="shared" ca="1" si="7"/>
        <v>2</v>
      </c>
      <c r="T24">
        <f t="shared" ca="1" si="7"/>
        <v>9</v>
      </c>
      <c r="U24">
        <f t="shared" ca="1" si="7"/>
        <v>8</v>
      </c>
      <c r="V24">
        <f t="shared" ca="1" si="7"/>
        <v>4</v>
      </c>
      <c r="W24">
        <f t="shared" ca="1" si="7"/>
        <v>4</v>
      </c>
      <c r="X24">
        <f t="shared" ca="1" si="7"/>
        <v>5</v>
      </c>
      <c r="Y24">
        <f t="shared" ca="1" si="7"/>
        <v>10</v>
      </c>
      <c r="Z24">
        <f t="shared" ca="1" si="7"/>
        <v>1</v>
      </c>
      <c r="AA24">
        <f t="shared" ca="1" si="7"/>
        <v>9</v>
      </c>
      <c r="AB24">
        <f t="shared" ca="1" si="7"/>
        <v>10</v>
      </c>
      <c r="AC24">
        <f t="shared" ca="1" si="7"/>
        <v>10</v>
      </c>
      <c r="AD24">
        <f t="shared" ca="1" si="7"/>
        <v>5</v>
      </c>
      <c r="AE24">
        <f t="shared" ca="1" si="7"/>
        <v>7</v>
      </c>
      <c r="AF24">
        <f t="shared" ca="1" si="7"/>
        <v>6</v>
      </c>
      <c r="AH24" s="25">
        <f t="shared" ca="1" si="6"/>
        <v>184</v>
      </c>
      <c r="AI24">
        <v>350</v>
      </c>
      <c r="AJ24">
        <v>390</v>
      </c>
      <c r="AK24">
        <f t="shared" si="3"/>
        <v>40</v>
      </c>
      <c r="AL24" s="15">
        <f t="shared" ca="1" si="4"/>
        <v>71760</v>
      </c>
      <c r="AM24" s="15">
        <f t="shared" ca="1" si="5"/>
        <v>7360</v>
      </c>
    </row>
    <row r="25" spans="1:39">
      <c r="A25" s="27"/>
      <c r="B25" t="s">
        <v>42</v>
      </c>
      <c r="C25">
        <f t="shared" ca="1" si="8"/>
        <v>1</v>
      </c>
      <c r="D25">
        <f t="shared" ca="1" si="8"/>
        <v>4</v>
      </c>
      <c r="E25">
        <f t="shared" ca="1" si="8"/>
        <v>2</v>
      </c>
      <c r="F25">
        <f t="shared" ca="1" si="8"/>
        <v>5</v>
      </c>
      <c r="G25">
        <f t="shared" ca="1" si="8"/>
        <v>6</v>
      </c>
      <c r="H25">
        <f t="shared" ca="1" si="8"/>
        <v>9</v>
      </c>
      <c r="I25">
        <f t="shared" ca="1" si="8"/>
        <v>3</v>
      </c>
      <c r="J25">
        <f t="shared" ca="1" si="8"/>
        <v>7</v>
      </c>
      <c r="K25">
        <f t="shared" ca="1" si="8"/>
        <v>3</v>
      </c>
      <c r="L25">
        <f t="shared" ca="1" si="8"/>
        <v>10</v>
      </c>
      <c r="M25">
        <f t="shared" ca="1" si="8"/>
        <v>8</v>
      </c>
      <c r="N25">
        <f t="shared" ca="1" si="8"/>
        <v>3</v>
      </c>
      <c r="O25">
        <f t="shared" ca="1" si="8"/>
        <v>4</v>
      </c>
      <c r="P25">
        <f t="shared" ca="1" si="8"/>
        <v>8</v>
      </c>
      <c r="Q25">
        <f t="shared" ca="1" si="8"/>
        <v>3</v>
      </c>
      <c r="R25">
        <f t="shared" ca="1" si="8"/>
        <v>8</v>
      </c>
      <c r="S25">
        <f t="shared" ca="1" si="7"/>
        <v>3</v>
      </c>
      <c r="T25">
        <f t="shared" ca="1" si="7"/>
        <v>5</v>
      </c>
      <c r="U25">
        <f t="shared" ca="1" si="7"/>
        <v>1</v>
      </c>
      <c r="V25">
        <f t="shared" ca="1" si="7"/>
        <v>1</v>
      </c>
      <c r="W25">
        <f t="shared" ca="1" si="7"/>
        <v>2</v>
      </c>
      <c r="X25">
        <f t="shared" ca="1" si="7"/>
        <v>6</v>
      </c>
      <c r="Y25">
        <f t="shared" ca="1" si="7"/>
        <v>7</v>
      </c>
      <c r="Z25">
        <f t="shared" ca="1" si="7"/>
        <v>8</v>
      </c>
      <c r="AA25">
        <f t="shared" ca="1" si="7"/>
        <v>10</v>
      </c>
      <c r="AB25">
        <f t="shared" ca="1" si="7"/>
        <v>6</v>
      </c>
      <c r="AC25">
        <f t="shared" ca="1" si="7"/>
        <v>1</v>
      </c>
      <c r="AD25">
        <f t="shared" ca="1" si="7"/>
        <v>6</v>
      </c>
      <c r="AE25">
        <f t="shared" ca="1" si="7"/>
        <v>10</v>
      </c>
      <c r="AF25">
        <f t="shared" ca="1" si="7"/>
        <v>7</v>
      </c>
      <c r="AH25" s="25">
        <f t="shared" ca="1" si="6"/>
        <v>157</v>
      </c>
      <c r="AI25">
        <v>211</v>
      </c>
      <c r="AJ25">
        <v>240</v>
      </c>
      <c r="AK25">
        <f t="shared" si="3"/>
        <v>29</v>
      </c>
      <c r="AL25" s="15">
        <f t="shared" ca="1" si="4"/>
        <v>37680</v>
      </c>
      <c r="AM25" s="15">
        <f t="shared" ca="1" si="5"/>
        <v>4553</v>
      </c>
    </row>
    <row r="26" spans="1:39">
      <c r="A26" s="27"/>
      <c r="B26" t="s">
        <v>43</v>
      </c>
      <c r="C26">
        <f t="shared" ca="1" si="8"/>
        <v>8</v>
      </c>
      <c r="D26">
        <f t="shared" ca="1" si="8"/>
        <v>5</v>
      </c>
      <c r="E26">
        <f t="shared" ca="1" si="8"/>
        <v>6</v>
      </c>
      <c r="F26">
        <f t="shared" ca="1" si="8"/>
        <v>5</v>
      </c>
      <c r="G26">
        <f t="shared" ca="1" si="8"/>
        <v>6</v>
      </c>
      <c r="H26">
        <f t="shared" ca="1" si="8"/>
        <v>9</v>
      </c>
      <c r="I26">
        <f t="shared" ca="1" si="8"/>
        <v>2</v>
      </c>
      <c r="J26">
        <f t="shared" ca="1" si="8"/>
        <v>10</v>
      </c>
      <c r="K26">
        <f t="shared" ca="1" si="8"/>
        <v>10</v>
      </c>
      <c r="L26">
        <f t="shared" ca="1" si="8"/>
        <v>1</v>
      </c>
      <c r="M26">
        <f t="shared" ca="1" si="8"/>
        <v>6</v>
      </c>
      <c r="N26">
        <f t="shared" ca="1" si="8"/>
        <v>10</v>
      </c>
      <c r="O26">
        <f t="shared" ca="1" si="8"/>
        <v>1</v>
      </c>
      <c r="P26">
        <f t="shared" ca="1" si="8"/>
        <v>8</v>
      </c>
      <c r="Q26">
        <f t="shared" ca="1" si="8"/>
        <v>4</v>
      </c>
      <c r="R26">
        <f t="shared" ca="1" si="8"/>
        <v>7</v>
      </c>
      <c r="S26">
        <f t="shared" ca="1" si="7"/>
        <v>7</v>
      </c>
      <c r="T26">
        <f t="shared" ca="1" si="7"/>
        <v>2</v>
      </c>
      <c r="U26">
        <f t="shared" ca="1" si="7"/>
        <v>6</v>
      </c>
      <c r="V26">
        <f t="shared" ca="1" si="7"/>
        <v>9</v>
      </c>
      <c r="W26">
        <f t="shared" ca="1" si="7"/>
        <v>6</v>
      </c>
      <c r="X26">
        <f t="shared" ca="1" si="7"/>
        <v>3</v>
      </c>
      <c r="Y26">
        <f t="shared" ca="1" si="7"/>
        <v>9</v>
      </c>
      <c r="Z26">
        <f t="shared" ca="1" si="7"/>
        <v>1</v>
      </c>
      <c r="AA26">
        <f t="shared" ca="1" si="7"/>
        <v>3</v>
      </c>
      <c r="AB26">
        <f t="shared" ca="1" si="7"/>
        <v>7</v>
      </c>
      <c r="AC26">
        <f t="shared" ca="1" si="7"/>
        <v>5</v>
      </c>
      <c r="AD26">
        <f t="shared" ca="1" si="7"/>
        <v>4</v>
      </c>
      <c r="AE26">
        <f t="shared" ca="1" si="7"/>
        <v>1</v>
      </c>
      <c r="AF26">
        <f t="shared" ca="1" si="7"/>
        <v>8</v>
      </c>
      <c r="AH26" s="25">
        <f t="shared" ca="1" si="6"/>
        <v>169</v>
      </c>
      <c r="AI26">
        <v>247</v>
      </c>
      <c r="AJ26">
        <v>280</v>
      </c>
      <c r="AK26">
        <f t="shared" si="3"/>
        <v>33</v>
      </c>
      <c r="AL26" s="15">
        <f t="shared" ca="1" si="4"/>
        <v>47320</v>
      </c>
      <c r="AM26" s="15">
        <f t="shared" ca="1" si="5"/>
        <v>5577</v>
      </c>
    </row>
    <row r="27" spans="1:39">
      <c r="A27" s="27"/>
      <c r="B27" t="s">
        <v>44</v>
      </c>
      <c r="C27">
        <f t="shared" ca="1" si="8"/>
        <v>1</v>
      </c>
      <c r="D27">
        <f t="shared" ca="1" si="8"/>
        <v>4</v>
      </c>
      <c r="E27">
        <f t="shared" ca="1" si="8"/>
        <v>8</v>
      </c>
      <c r="F27">
        <f t="shared" ca="1" si="8"/>
        <v>10</v>
      </c>
      <c r="G27">
        <f t="shared" ca="1" si="8"/>
        <v>9</v>
      </c>
      <c r="H27">
        <f t="shared" ca="1" si="8"/>
        <v>5</v>
      </c>
      <c r="I27">
        <f t="shared" ca="1" si="8"/>
        <v>6</v>
      </c>
      <c r="J27">
        <f t="shared" ca="1" si="8"/>
        <v>5</v>
      </c>
      <c r="K27">
        <f t="shared" ca="1" si="8"/>
        <v>10</v>
      </c>
      <c r="L27">
        <f t="shared" ca="1" si="8"/>
        <v>7</v>
      </c>
      <c r="M27">
        <f t="shared" ca="1" si="8"/>
        <v>2</v>
      </c>
      <c r="N27">
        <f t="shared" ca="1" si="8"/>
        <v>3</v>
      </c>
      <c r="O27">
        <f t="shared" ca="1" si="8"/>
        <v>7</v>
      </c>
      <c r="P27">
        <f t="shared" ca="1" si="8"/>
        <v>5</v>
      </c>
      <c r="Q27">
        <f t="shared" ca="1" si="8"/>
        <v>3</v>
      </c>
      <c r="R27">
        <f t="shared" ca="1" si="8"/>
        <v>5</v>
      </c>
      <c r="S27">
        <f t="shared" ca="1" si="7"/>
        <v>7</v>
      </c>
      <c r="T27">
        <f t="shared" ca="1" si="7"/>
        <v>1</v>
      </c>
      <c r="U27">
        <f t="shared" ca="1" si="7"/>
        <v>5</v>
      </c>
      <c r="V27">
        <f t="shared" ca="1" si="7"/>
        <v>1</v>
      </c>
      <c r="W27">
        <f t="shared" ca="1" si="7"/>
        <v>3</v>
      </c>
      <c r="X27">
        <f t="shared" ca="1" si="7"/>
        <v>4</v>
      </c>
      <c r="Y27">
        <f t="shared" ca="1" si="7"/>
        <v>4</v>
      </c>
      <c r="Z27">
        <f t="shared" ca="1" si="7"/>
        <v>7</v>
      </c>
      <c r="AA27">
        <f t="shared" ca="1" si="7"/>
        <v>10</v>
      </c>
      <c r="AB27">
        <f t="shared" ca="1" si="7"/>
        <v>10</v>
      </c>
      <c r="AC27">
        <f t="shared" ca="1" si="7"/>
        <v>5</v>
      </c>
      <c r="AD27">
        <f t="shared" ca="1" si="7"/>
        <v>10</v>
      </c>
      <c r="AE27">
        <f t="shared" ca="1" si="7"/>
        <v>2</v>
      </c>
      <c r="AF27">
        <f t="shared" ca="1" si="7"/>
        <v>1</v>
      </c>
      <c r="AH27" s="25">
        <f t="shared" ca="1" si="6"/>
        <v>160</v>
      </c>
      <c r="AI27">
        <v>286</v>
      </c>
      <c r="AJ27">
        <v>320</v>
      </c>
      <c r="AK27">
        <f t="shared" si="3"/>
        <v>34</v>
      </c>
      <c r="AL27" s="15">
        <f t="shared" ca="1" si="4"/>
        <v>51200</v>
      </c>
      <c r="AM27" s="15">
        <f t="shared" ca="1" si="5"/>
        <v>5440</v>
      </c>
    </row>
    <row r="28" spans="1:39">
      <c r="A28" s="27"/>
      <c r="B28" t="s">
        <v>45</v>
      </c>
      <c r="C28">
        <f t="shared" ca="1" si="8"/>
        <v>7</v>
      </c>
      <c r="D28">
        <f t="shared" ca="1" si="8"/>
        <v>1</v>
      </c>
      <c r="E28">
        <f t="shared" ca="1" si="8"/>
        <v>8</v>
      </c>
      <c r="F28">
        <f t="shared" ca="1" si="8"/>
        <v>5</v>
      </c>
      <c r="G28">
        <f t="shared" ca="1" si="8"/>
        <v>3</v>
      </c>
      <c r="H28">
        <f t="shared" ca="1" si="8"/>
        <v>6</v>
      </c>
      <c r="I28">
        <f t="shared" ca="1" si="8"/>
        <v>9</v>
      </c>
      <c r="J28">
        <f t="shared" ca="1" si="8"/>
        <v>8</v>
      </c>
      <c r="K28">
        <f t="shared" ca="1" si="8"/>
        <v>5</v>
      </c>
      <c r="L28">
        <f t="shared" ca="1" si="8"/>
        <v>5</v>
      </c>
      <c r="M28">
        <f t="shared" ca="1" si="8"/>
        <v>8</v>
      </c>
      <c r="N28">
        <f t="shared" ca="1" si="8"/>
        <v>8</v>
      </c>
      <c r="O28">
        <f t="shared" ca="1" si="8"/>
        <v>9</v>
      </c>
      <c r="P28">
        <f t="shared" ca="1" si="8"/>
        <v>1</v>
      </c>
      <c r="Q28">
        <f t="shared" ca="1" si="8"/>
        <v>8</v>
      </c>
      <c r="R28">
        <f t="shared" ca="1" si="8"/>
        <v>1</v>
      </c>
      <c r="S28">
        <f t="shared" ref="S28:AF34" ca="1" si="9">RANDBETWEEN(1,10)</f>
        <v>7</v>
      </c>
      <c r="T28">
        <f t="shared" ca="1" si="9"/>
        <v>8</v>
      </c>
      <c r="U28">
        <f t="shared" ca="1" si="9"/>
        <v>8</v>
      </c>
      <c r="V28">
        <f t="shared" ca="1" si="9"/>
        <v>1</v>
      </c>
      <c r="W28">
        <f t="shared" ca="1" si="9"/>
        <v>10</v>
      </c>
      <c r="X28">
        <f t="shared" ca="1" si="9"/>
        <v>3</v>
      </c>
      <c r="Y28">
        <f t="shared" ca="1" si="9"/>
        <v>5</v>
      </c>
      <c r="Z28">
        <f t="shared" ca="1" si="9"/>
        <v>6</v>
      </c>
      <c r="AA28">
        <f t="shared" ca="1" si="9"/>
        <v>7</v>
      </c>
      <c r="AB28">
        <f t="shared" ca="1" si="9"/>
        <v>4</v>
      </c>
      <c r="AC28">
        <f t="shared" ca="1" si="9"/>
        <v>4</v>
      </c>
      <c r="AD28">
        <f t="shared" ca="1" si="9"/>
        <v>6</v>
      </c>
      <c r="AE28">
        <f t="shared" ca="1" si="9"/>
        <v>9</v>
      </c>
      <c r="AF28">
        <f t="shared" ca="1" si="9"/>
        <v>2</v>
      </c>
      <c r="AH28" s="25">
        <f t="shared" ca="1" si="6"/>
        <v>172</v>
      </c>
      <c r="AI28">
        <v>67</v>
      </c>
      <c r="AJ28">
        <v>80</v>
      </c>
      <c r="AK28">
        <f t="shared" si="3"/>
        <v>13</v>
      </c>
      <c r="AL28" s="15">
        <f t="shared" ca="1" si="4"/>
        <v>13760</v>
      </c>
      <c r="AM28" s="15">
        <f t="shared" ca="1" si="5"/>
        <v>2236</v>
      </c>
    </row>
    <row r="29" spans="1:39">
      <c r="A29" s="27"/>
      <c r="B29" t="s">
        <v>46</v>
      </c>
      <c r="C29">
        <f t="shared" ca="1" si="8"/>
        <v>7</v>
      </c>
      <c r="D29">
        <f t="shared" ca="1" si="8"/>
        <v>8</v>
      </c>
      <c r="E29">
        <f t="shared" ca="1" si="8"/>
        <v>5</v>
      </c>
      <c r="F29">
        <f t="shared" ca="1" si="8"/>
        <v>2</v>
      </c>
      <c r="G29">
        <f t="shared" ca="1" si="8"/>
        <v>2</v>
      </c>
      <c r="H29">
        <f t="shared" ca="1" si="8"/>
        <v>5</v>
      </c>
      <c r="I29">
        <f t="shared" ca="1" si="8"/>
        <v>8</v>
      </c>
      <c r="J29">
        <f t="shared" ca="1" si="8"/>
        <v>4</v>
      </c>
      <c r="K29">
        <f t="shared" ca="1" si="8"/>
        <v>8</v>
      </c>
      <c r="L29">
        <f t="shared" ca="1" si="8"/>
        <v>2</v>
      </c>
      <c r="M29">
        <f t="shared" ca="1" si="8"/>
        <v>7</v>
      </c>
      <c r="N29">
        <f t="shared" ca="1" si="8"/>
        <v>5</v>
      </c>
      <c r="O29">
        <f t="shared" ca="1" si="8"/>
        <v>4</v>
      </c>
      <c r="P29">
        <f t="shared" ca="1" si="8"/>
        <v>5</v>
      </c>
      <c r="Q29">
        <f t="shared" ca="1" si="8"/>
        <v>8</v>
      </c>
      <c r="R29">
        <f t="shared" ca="1" si="8"/>
        <v>8</v>
      </c>
      <c r="S29">
        <f t="shared" ca="1" si="9"/>
        <v>6</v>
      </c>
      <c r="T29">
        <f t="shared" ca="1" si="9"/>
        <v>10</v>
      </c>
      <c r="U29">
        <f t="shared" ca="1" si="9"/>
        <v>2</v>
      </c>
      <c r="V29">
        <f t="shared" ca="1" si="9"/>
        <v>3</v>
      </c>
      <c r="W29">
        <f t="shared" ca="1" si="9"/>
        <v>10</v>
      </c>
      <c r="X29">
        <f t="shared" ca="1" si="9"/>
        <v>10</v>
      </c>
      <c r="Y29">
        <f t="shared" ca="1" si="9"/>
        <v>10</v>
      </c>
      <c r="Z29">
        <f t="shared" ca="1" si="9"/>
        <v>3</v>
      </c>
      <c r="AA29">
        <f t="shared" ca="1" si="9"/>
        <v>3</v>
      </c>
      <c r="AB29">
        <f t="shared" ca="1" si="9"/>
        <v>8</v>
      </c>
      <c r="AC29">
        <f t="shared" ca="1" si="9"/>
        <v>8</v>
      </c>
      <c r="AD29">
        <f t="shared" ca="1" si="9"/>
        <v>2</v>
      </c>
      <c r="AE29">
        <f t="shared" ca="1" si="9"/>
        <v>1</v>
      </c>
      <c r="AF29">
        <f t="shared" ca="1" si="9"/>
        <v>10</v>
      </c>
      <c r="AH29" s="25">
        <f t="shared" ca="1" si="6"/>
        <v>174</v>
      </c>
      <c r="AI29">
        <v>335</v>
      </c>
      <c r="AJ29">
        <v>350</v>
      </c>
      <c r="AK29">
        <f t="shared" si="3"/>
        <v>15</v>
      </c>
      <c r="AL29" s="15">
        <f t="shared" ca="1" si="4"/>
        <v>60900</v>
      </c>
      <c r="AM29" s="15">
        <f t="shared" ca="1" si="5"/>
        <v>2610</v>
      </c>
    </row>
    <row r="30" spans="1:39">
      <c r="A30" s="27"/>
      <c r="B30" t="s">
        <v>47</v>
      </c>
      <c r="C30">
        <f t="shared" ca="1" si="8"/>
        <v>7</v>
      </c>
      <c r="D30">
        <f t="shared" ca="1" si="8"/>
        <v>10</v>
      </c>
      <c r="E30">
        <f t="shared" ca="1" si="8"/>
        <v>6</v>
      </c>
      <c r="F30">
        <f t="shared" ca="1" si="8"/>
        <v>5</v>
      </c>
      <c r="G30">
        <f t="shared" ca="1" si="8"/>
        <v>4</v>
      </c>
      <c r="H30">
        <f t="shared" ca="1" si="8"/>
        <v>3</v>
      </c>
      <c r="I30">
        <f t="shared" ca="1" si="8"/>
        <v>7</v>
      </c>
      <c r="J30">
        <f t="shared" ca="1" si="8"/>
        <v>10</v>
      </c>
      <c r="K30">
        <f t="shared" ca="1" si="8"/>
        <v>6</v>
      </c>
      <c r="L30">
        <f t="shared" ca="1" si="8"/>
        <v>6</v>
      </c>
      <c r="M30">
        <f t="shared" ca="1" si="8"/>
        <v>2</v>
      </c>
      <c r="N30">
        <f t="shared" ca="1" si="8"/>
        <v>10</v>
      </c>
      <c r="O30">
        <f t="shared" ca="1" si="8"/>
        <v>10</v>
      </c>
      <c r="P30">
        <f t="shared" ca="1" si="8"/>
        <v>5</v>
      </c>
      <c r="Q30">
        <f t="shared" ca="1" si="8"/>
        <v>5</v>
      </c>
      <c r="R30">
        <f t="shared" ca="1" si="8"/>
        <v>7</v>
      </c>
      <c r="S30">
        <f t="shared" ca="1" si="9"/>
        <v>4</v>
      </c>
      <c r="T30">
        <f t="shared" ca="1" si="9"/>
        <v>5</v>
      </c>
      <c r="U30">
        <f t="shared" ca="1" si="9"/>
        <v>10</v>
      </c>
      <c r="V30">
        <f t="shared" ca="1" si="9"/>
        <v>5</v>
      </c>
      <c r="W30">
        <f t="shared" ca="1" si="9"/>
        <v>3</v>
      </c>
      <c r="X30">
        <f t="shared" ca="1" si="9"/>
        <v>3</v>
      </c>
      <c r="Y30">
        <f t="shared" ca="1" si="9"/>
        <v>7</v>
      </c>
      <c r="Z30">
        <f t="shared" ca="1" si="9"/>
        <v>8</v>
      </c>
      <c r="AA30">
        <f t="shared" ca="1" si="9"/>
        <v>6</v>
      </c>
      <c r="AB30">
        <f t="shared" ca="1" si="9"/>
        <v>5</v>
      </c>
      <c r="AC30">
        <f t="shared" ca="1" si="9"/>
        <v>1</v>
      </c>
      <c r="AD30">
        <f t="shared" ca="1" si="9"/>
        <v>9</v>
      </c>
      <c r="AE30">
        <f t="shared" ca="1" si="9"/>
        <v>8</v>
      </c>
      <c r="AF30">
        <f t="shared" ca="1" si="9"/>
        <v>3</v>
      </c>
      <c r="AH30" s="25">
        <f t="shared" ca="1" si="6"/>
        <v>180</v>
      </c>
      <c r="AI30">
        <v>366</v>
      </c>
      <c r="AJ30">
        <v>400</v>
      </c>
      <c r="AK30">
        <f t="shared" si="3"/>
        <v>34</v>
      </c>
      <c r="AL30" s="15">
        <f t="shared" ca="1" si="4"/>
        <v>72000</v>
      </c>
      <c r="AM30" s="15">
        <f t="shared" ca="1" si="5"/>
        <v>6120</v>
      </c>
    </row>
    <row r="31" spans="1:39">
      <c r="A31" s="27"/>
      <c r="B31" t="s">
        <v>48</v>
      </c>
      <c r="C31">
        <f t="shared" ca="1" si="8"/>
        <v>1</v>
      </c>
      <c r="D31">
        <f t="shared" ca="1" si="8"/>
        <v>7</v>
      </c>
      <c r="E31">
        <f t="shared" ca="1" si="8"/>
        <v>10</v>
      </c>
      <c r="F31">
        <f t="shared" ca="1" si="8"/>
        <v>1</v>
      </c>
      <c r="G31">
        <f t="shared" ca="1" si="8"/>
        <v>2</v>
      </c>
      <c r="H31">
        <f t="shared" ca="1" si="8"/>
        <v>8</v>
      </c>
      <c r="I31">
        <f t="shared" ca="1" si="8"/>
        <v>6</v>
      </c>
      <c r="J31">
        <f t="shared" ca="1" si="8"/>
        <v>1</v>
      </c>
      <c r="K31">
        <f t="shared" ca="1" si="8"/>
        <v>9</v>
      </c>
      <c r="L31">
        <f t="shared" ca="1" si="8"/>
        <v>6</v>
      </c>
      <c r="M31">
        <f t="shared" ca="1" si="8"/>
        <v>7</v>
      </c>
      <c r="N31">
        <f t="shared" ca="1" si="8"/>
        <v>2</v>
      </c>
      <c r="O31">
        <f t="shared" ca="1" si="8"/>
        <v>6</v>
      </c>
      <c r="P31">
        <f t="shared" ca="1" si="8"/>
        <v>1</v>
      </c>
      <c r="Q31">
        <f t="shared" ca="1" si="8"/>
        <v>10</v>
      </c>
      <c r="R31">
        <f t="shared" ca="1" si="8"/>
        <v>10</v>
      </c>
      <c r="S31">
        <f t="shared" ca="1" si="9"/>
        <v>3</v>
      </c>
      <c r="T31">
        <f t="shared" ca="1" si="9"/>
        <v>8</v>
      </c>
      <c r="U31">
        <f t="shared" ca="1" si="9"/>
        <v>2</v>
      </c>
      <c r="V31">
        <f t="shared" ca="1" si="9"/>
        <v>2</v>
      </c>
      <c r="W31">
        <f t="shared" ca="1" si="9"/>
        <v>4</v>
      </c>
      <c r="X31">
        <f t="shared" ca="1" si="9"/>
        <v>2</v>
      </c>
      <c r="Y31">
        <f t="shared" ca="1" si="9"/>
        <v>1</v>
      </c>
      <c r="Z31">
        <f t="shared" ca="1" si="9"/>
        <v>8</v>
      </c>
      <c r="AA31">
        <f t="shared" ca="1" si="9"/>
        <v>1</v>
      </c>
      <c r="AB31">
        <f t="shared" ca="1" si="9"/>
        <v>9</v>
      </c>
      <c r="AC31">
        <f t="shared" ca="1" si="9"/>
        <v>3</v>
      </c>
      <c r="AD31">
        <f t="shared" ca="1" si="9"/>
        <v>7</v>
      </c>
      <c r="AE31">
        <f t="shared" ca="1" si="9"/>
        <v>8</v>
      </c>
      <c r="AF31">
        <f t="shared" ca="1" si="9"/>
        <v>1</v>
      </c>
      <c r="AH31" s="25">
        <f t="shared" ca="1" si="6"/>
        <v>146</v>
      </c>
      <c r="AI31">
        <v>167</v>
      </c>
      <c r="AJ31">
        <v>200</v>
      </c>
      <c r="AK31">
        <f t="shared" si="3"/>
        <v>33</v>
      </c>
      <c r="AL31" s="15">
        <f t="shared" ca="1" si="4"/>
        <v>29200</v>
      </c>
      <c r="AM31" s="15">
        <f t="shared" ca="1" si="5"/>
        <v>4818</v>
      </c>
    </row>
    <row r="32" spans="1:39">
      <c r="A32" s="27"/>
      <c r="B32" t="s">
        <v>49</v>
      </c>
      <c r="C32">
        <f t="shared" ca="1" si="8"/>
        <v>9</v>
      </c>
      <c r="D32">
        <f t="shared" ca="1" si="8"/>
        <v>5</v>
      </c>
      <c r="E32">
        <f t="shared" ca="1" si="8"/>
        <v>4</v>
      </c>
      <c r="F32">
        <f t="shared" ca="1" si="8"/>
        <v>1</v>
      </c>
      <c r="G32">
        <f t="shared" ca="1" si="8"/>
        <v>10</v>
      </c>
      <c r="H32">
        <f t="shared" ca="1" si="8"/>
        <v>2</v>
      </c>
      <c r="I32">
        <f t="shared" ca="1" si="8"/>
        <v>9</v>
      </c>
      <c r="J32">
        <f t="shared" ca="1" si="8"/>
        <v>10</v>
      </c>
      <c r="K32">
        <f t="shared" ca="1" si="8"/>
        <v>9</v>
      </c>
      <c r="L32">
        <f t="shared" ca="1" si="8"/>
        <v>4</v>
      </c>
      <c r="M32">
        <f t="shared" ca="1" si="8"/>
        <v>4</v>
      </c>
      <c r="N32">
        <f t="shared" ca="1" si="8"/>
        <v>9</v>
      </c>
      <c r="O32">
        <f t="shared" ca="1" si="8"/>
        <v>4</v>
      </c>
      <c r="P32">
        <f t="shared" ca="1" si="8"/>
        <v>5</v>
      </c>
      <c r="Q32">
        <f t="shared" ca="1" si="8"/>
        <v>7</v>
      </c>
      <c r="R32">
        <f t="shared" ca="1" si="8"/>
        <v>9</v>
      </c>
      <c r="S32">
        <f t="shared" ca="1" si="9"/>
        <v>8</v>
      </c>
      <c r="T32">
        <f t="shared" ca="1" si="9"/>
        <v>2</v>
      </c>
      <c r="U32">
        <f t="shared" ca="1" si="9"/>
        <v>4</v>
      </c>
      <c r="V32">
        <f t="shared" ca="1" si="9"/>
        <v>2</v>
      </c>
      <c r="W32">
        <f t="shared" ca="1" si="9"/>
        <v>9</v>
      </c>
      <c r="X32">
        <f t="shared" ca="1" si="9"/>
        <v>2</v>
      </c>
      <c r="Y32">
        <f t="shared" ca="1" si="9"/>
        <v>4</v>
      </c>
      <c r="Z32">
        <f t="shared" ca="1" si="9"/>
        <v>10</v>
      </c>
      <c r="AA32">
        <f t="shared" ca="1" si="9"/>
        <v>10</v>
      </c>
      <c r="AB32">
        <f t="shared" ca="1" si="9"/>
        <v>10</v>
      </c>
      <c r="AC32">
        <f t="shared" ca="1" si="9"/>
        <v>10</v>
      </c>
      <c r="AD32">
        <f t="shared" ca="1" si="9"/>
        <v>9</v>
      </c>
      <c r="AE32">
        <f t="shared" ca="1" si="9"/>
        <v>10</v>
      </c>
      <c r="AF32">
        <f t="shared" ca="1" si="9"/>
        <v>1</v>
      </c>
      <c r="AH32" s="25">
        <f t="shared" ca="1" si="6"/>
        <v>192</v>
      </c>
      <c r="AI32">
        <v>73</v>
      </c>
      <c r="AJ32">
        <v>100</v>
      </c>
      <c r="AK32">
        <f t="shared" si="3"/>
        <v>27</v>
      </c>
      <c r="AL32" s="15">
        <f t="shared" ca="1" si="4"/>
        <v>19200</v>
      </c>
      <c r="AM32" s="15">
        <f t="shared" ca="1" si="5"/>
        <v>5184</v>
      </c>
    </row>
    <row r="33" spans="1:39">
      <c r="A33" s="27"/>
      <c r="B33" t="s">
        <v>50</v>
      </c>
      <c r="C33">
        <f t="shared" ca="1" si="8"/>
        <v>1</v>
      </c>
      <c r="D33">
        <f t="shared" ca="1" si="8"/>
        <v>2</v>
      </c>
      <c r="E33">
        <f t="shared" ca="1" si="8"/>
        <v>8</v>
      </c>
      <c r="F33">
        <f t="shared" ca="1" si="8"/>
        <v>10</v>
      </c>
      <c r="G33">
        <f t="shared" ca="1" si="8"/>
        <v>5</v>
      </c>
      <c r="H33">
        <f t="shared" ca="1" si="8"/>
        <v>6</v>
      </c>
      <c r="I33">
        <f t="shared" ca="1" si="8"/>
        <v>4</v>
      </c>
      <c r="J33">
        <f t="shared" ca="1" si="8"/>
        <v>10</v>
      </c>
      <c r="K33">
        <f t="shared" ca="1" si="8"/>
        <v>6</v>
      </c>
      <c r="L33">
        <f t="shared" ca="1" si="8"/>
        <v>8</v>
      </c>
      <c r="M33">
        <f t="shared" ca="1" si="8"/>
        <v>4</v>
      </c>
      <c r="N33">
        <f t="shared" ca="1" si="8"/>
        <v>9</v>
      </c>
      <c r="O33">
        <f t="shared" ca="1" si="8"/>
        <v>5</v>
      </c>
      <c r="P33">
        <f t="shared" ca="1" si="8"/>
        <v>4</v>
      </c>
      <c r="Q33">
        <f t="shared" ca="1" si="8"/>
        <v>3</v>
      </c>
      <c r="R33">
        <f t="shared" ca="1" si="8"/>
        <v>4</v>
      </c>
      <c r="S33">
        <f t="shared" ca="1" si="9"/>
        <v>1</v>
      </c>
      <c r="T33">
        <f t="shared" ca="1" si="9"/>
        <v>1</v>
      </c>
      <c r="U33">
        <f t="shared" ca="1" si="9"/>
        <v>4</v>
      </c>
      <c r="V33">
        <f t="shared" ca="1" si="9"/>
        <v>4</v>
      </c>
      <c r="W33">
        <f t="shared" ca="1" si="9"/>
        <v>4</v>
      </c>
      <c r="X33">
        <f t="shared" ca="1" si="9"/>
        <v>9</v>
      </c>
      <c r="Y33">
        <f t="shared" ca="1" si="9"/>
        <v>2</v>
      </c>
      <c r="Z33">
        <f t="shared" ca="1" si="9"/>
        <v>4</v>
      </c>
      <c r="AA33">
        <f t="shared" ca="1" si="9"/>
        <v>4</v>
      </c>
      <c r="AB33">
        <f t="shared" ca="1" si="9"/>
        <v>2</v>
      </c>
      <c r="AC33">
        <f t="shared" ca="1" si="9"/>
        <v>3</v>
      </c>
      <c r="AD33">
        <f t="shared" ca="1" si="9"/>
        <v>2</v>
      </c>
      <c r="AE33">
        <f t="shared" ca="1" si="9"/>
        <v>9</v>
      </c>
      <c r="AF33">
        <f t="shared" ca="1" si="9"/>
        <v>6</v>
      </c>
      <c r="AH33" s="25">
        <f t="shared" ca="1" si="6"/>
        <v>144</v>
      </c>
      <c r="AI33">
        <v>367</v>
      </c>
      <c r="AJ33">
        <v>450</v>
      </c>
      <c r="AK33">
        <f t="shared" si="3"/>
        <v>83</v>
      </c>
      <c r="AL33" s="15">
        <f t="shared" ca="1" si="4"/>
        <v>64800</v>
      </c>
      <c r="AM33" s="15">
        <f t="shared" ca="1" si="5"/>
        <v>11952</v>
      </c>
    </row>
    <row r="34" spans="1:39">
      <c r="A34" s="27"/>
      <c r="B34" t="s">
        <v>51</v>
      </c>
      <c r="C34">
        <f t="shared" ca="1" si="8"/>
        <v>1</v>
      </c>
      <c r="D34">
        <f t="shared" ca="1" si="8"/>
        <v>2</v>
      </c>
      <c r="E34">
        <f t="shared" ca="1" si="8"/>
        <v>6</v>
      </c>
      <c r="F34">
        <f t="shared" ca="1" si="8"/>
        <v>6</v>
      </c>
      <c r="G34">
        <f t="shared" ca="1" si="8"/>
        <v>6</v>
      </c>
      <c r="H34">
        <f t="shared" ca="1" si="8"/>
        <v>8</v>
      </c>
      <c r="I34">
        <f t="shared" ca="1" si="8"/>
        <v>7</v>
      </c>
      <c r="J34">
        <f t="shared" ca="1" si="8"/>
        <v>7</v>
      </c>
      <c r="K34">
        <f t="shared" ca="1" si="8"/>
        <v>5</v>
      </c>
      <c r="L34">
        <f t="shared" ca="1" si="8"/>
        <v>3</v>
      </c>
      <c r="M34">
        <f t="shared" ca="1" si="8"/>
        <v>5</v>
      </c>
      <c r="N34">
        <f t="shared" ca="1" si="8"/>
        <v>5</v>
      </c>
      <c r="O34">
        <f t="shared" ca="1" si="8"/>
        <v>2</v>
      </c>
      <c r="P34">
        <f t="shared" ca="1" si="8"/>
        <v>4</v>
      </c>
      <c r="Q34">
        <f t="shared" ca="1" si="8"/>
        <v>4</v>
      </c>
      <c r="R34">
        <f t="shared" ca="1" si="8"/>
        <v>5</v>
      </c>
      <c r="S34">
        <f t="shared" ca="1" si="9"/>
        <v>2</v>
      </c>
      <c r="T34">
        <f t="shared" ca="1" si="9"/>
        <v>9</v>
      </c>
      <c r="U34">
        <f t="shared" ca="1" si="9"/>
        <v>8</v>
      </c>
      <c r="V34">
        <f t="shared" ca="1" si="9"/>
        <v>2</v>
      </c>
      <c r="W34">
        <f t="shared" ca="1" si="9"/>
        <v>9</v>
      </c>
      <c r="X34">
        <f t="shared" ca="1" si="9"/>
        <v>4</v>
      </c>
      <c r="Y34">
        <f t="shared" ca="1" si="9"/>
        <v>2</v>
      </c>
      <c r="Z34">
        <f t="shared" ca="1" si="9"/>
        <v>5</v>
      </c>
      <c r="AA34">
        <f t="shared" ca="1" si="9"/>
        <v>4</v>
      </c>
      <c r="AB34">
        <f t="shared" ca="1" si="9"/>
        <v>10</v>
      </c>
      <c r="AC34">
        <f t="shared" ca="1" si="9"/>
        <v>8</v>
      </c>
      <c r="AD34">
        <f t="shared" ca="1" si="9"/>
        <v>1</v>
      </c>
      <c r="AE34">
        <f t="shared" ca="1" si="9"/>
        <v>2</v>
      </c>
      <c r="AF34">
        <f t="shared" ca="1" si="9"/>
        <v>9</v>
      </c>
      <c r="AH34" s="25">
        <f t="shared" ca="1" si="6"/>
        <v>151</v>
      </c>
      <c r="AI34">
        <v>342</v>
      </c>
      <c r="AJ34">
        <v>390</v>
      </c>
      <c r="AK34">
        <f t="shared" si="3"/>
        <v>48</v>
      </c>
      <c r="AL34" s="15">
        <f t="shared" ca="1" si="4"/>
        <v>58890</v>
      </c>
      <c r="AM34" s="15">
        <f t="shared" ca="1" si="5"/>
        <v>7248</v>
      </c>
    </row>
    <row r="35" spans="1:39">
      <c r="A35" s="27"/>
      <c r="B35" t="s">
        <v>52</v>
      </c>
      <c r="C35">
        <f t="shared" ca="1" si="8"/>
        <v>9</v>
      </c>
      <c r="D35">
        <f t="shared" ca="1" si="8"/>
        <v>4</v>
      </c>
      <c r="E35">
        <f t="shared" ca="1" si="8"/>
        <v>8</v>
      </c>
      <c r="F35">
        <f t="shared" ca="1" si="8"/>
        <v>6</v>
      </c>
      <c r="G35">
        <f t="shared" ca="1" si="8"/>
        <v>9</v>
      </c>
      <c r="H35">
        <f t="shared" ca="1" si="8"/>
        <v>9</v>
      </c>
      <c r="I35">
        <f t="shared" ca="1" si="8"/>
        <v>8</v>
      </c>
      <c r="J35">
        <f t="shared" ca="1" si="8"/>
        <v>5</v>
      </c>
      <c r="K35">
        <f t="shared" ca="1" si="8"/>
        <v>9</v>
      </c>
      <c r="L35">
        <f t="shared" ca="1" si="8"/>
        <v>5</v>
      </c>
      <c r="M35">
        <f t="shared" ca="1" si="8"/>
        <v>8</v>
      </c>
      <c r="N35">
        <f t="shared" ca="1" si="8"/>
        <v>8</v>
      </c>
      <c r="O35">
        <f t="shared" ca="1" si="8"/>
        <v>2</v>
      </c>
      <c r="P35">
        <f t="shared" ca="1" si="8"/>
        <v>5</v>
      </c>
      <c r="Q35">
        <f t="shared" ca="1" si="8"/>
        <v>8</v>
      </c>
      <c r="R35">
        <f t="shared" ref="R35:AF50" ca="1" si="10">RANDBETWEEN(1,10)</f>
        <v>10</v>
      </c>
      <c r="S35">
        <f t="shared" ca="1" si="10"/>
        <v>9</v>
      </c>
      <c r="T35">
        <f t="shared" ca="1" si="10"/>
        <v>4</v>
      </c>
      <c r="U35">
        <f t="shared" ca="1" si="10"/>
        <v>5</v>
      </c>
      <c r="V35">
        <f t="shared" ca="1" si="10"/>
        <v>3</v>
      </c>
      <c r="W35">
        <f t="shared" ca="1" si="10"/>
        <v>7</v>
      </c>
      <c r="X35">
        <f t="shared" ca="1" si="10"/>
        <v>10</v>
      </c>
      <c r="Y35">
        <f t="shared" ca="1" si="10"/>
        <v>9</v>
      </c>
      <c r="Z35">
        <f t="shared" ca="1" si="10"/>
        <v>1</v>
      </c>
      <c r="AA35">
        <f t="shared" ca="1" si="10"/>
        <v>5</v>
      </c>
      <c r="AB35">
        <f t="shared" ca="1" si="10"/>
        <v>10</v>
      </c>
      <c r="AC35">
        <f t="shared" ca="1" si="10"/>
        <v>7</v>
      </c>
      <c r="AD35">
        <f t="shared" ca="1" si="10"/>
        <v>8</v>
      </c>
      <c r="AE35">
        <f t="shared" ca="1" si="10"/>
        <v>1</v>
      </c>
      <c r="AF35">
        <f t="shared" ca="1" si="10"/>
        <v>9</v>
      </c>
      <c r="AH35" s="25">
        <f t="shared" ca="1" si="6"/>
        <v>201</v>
      </c>
      <c r="AI35">
        <v>363</v>
      </c>
      <c r="AJ35">
        <v>420</v>
      </c>
      <c r="AK35">
        <f t="shared" si="3"/>
        <v>57</v>
      </c>
      <c r="AL35" s="15">
        <f t="shared" ca="1" si="4"/>
        <v>84420</v>
      </c>
      <c r="AM35" s="15">
        <f t="shared" ca="1" si="5"/>
        <v>11457</v>
      </c>
    </row>
    <row r="36" spans="1:39">
      <c r="A36" s="27"/>
      <c r="B36" t="s">
        <v>53</v>
      </c>
      <c r="C36">
        <f t="shared" ref="C36:R51" ca="1" si="11">RANDBETWEEN(1,10)</f>
        <v>8</v>
      </c>
      <c r="D36">
        <f t="shared" ca="1" si="11"/>
        <v>10</v>
      </c>
      <c r="E36">
        <f t="shared" ca="1" si="11"/>
        <v>7</v>
      </c>
      <c r="F36">
        <f t="shared" ca="1" si="11"/>
        <v>3</v>
      </c>
      <c r="G36">
        <f t="shared" ca="1" si="11"/>
        <v>9</v>
      </c>
      <c r="H36">
        <f t="shared" ca="1" si="11"/>
        <v>2</v>
      </c>
      <c r="I36">
        <f t="shared" ca="1" si="11"/>
        <v>10</v>
      </c>
      <c r="J36">
        <f t="shared" ca="1" si="11"/>
        <v>6</v>
      </c>
      <c r="K36">
        <f t="shared" ca="1" si="11"/>
        <v>3</v>
      </c>
      <c r="L36">
        <f t="shared" ca="1" si="11"/>
        <v>1</v>
      </c>
      <c r="M36">
        <f t="shared" ca="1" si="11"/>
        <v>8</v>
      </c>
      <c r="N36">
        <f t="shared" ca="1" si="11"/>
        <v>7</v>
      </c>
      <c r="O36">
        <f t="shared" ca="1" si="11"/>
        <v>6</v>
      </c>
      <c r="P36">
        <f t="shared" ca="1" si="11"/>
        <v>3</v>
      </c>
      <c r="Q36">
        <f t="shared" ca="1" si="11"/>
        <v>4</v>
      </c>
      <c r="R36">
        <f t="shared" ca="1" si="11"/>
        <v>10</v>
      </c>
      <c r="S36">
        <f t="shared" ca="1" si="10"/>
        <v>8</v>
      </c>
      <c r="T36">
        <f t="shared" ca="1" si="10"/>
        <v>2</v>
      </c>
      <c r="U36">
        <f t="shared" ca="1" si="10"/>
        <v>10</v>
      </c>
      <c r="V36">
        <f t="shared" ca="1" si="10"/>
        <v>4</v>
      </c>
      <c r="W36">
        <f t="shared" ca="1" si="10"/>
        <v>8</v>
      </c>
      <c r="X36">
        <f t="shared" ca="1" si="10"/>
        <v>1</v>
      </c>
      <c r="Y36">
        <f t="shared" ca="1" si="10"/>
        <v>10</v>
      </c>
      <c r="Z36">
        <f t="shared" ca="1" si="10"/>
        <v>3</v>
      </c>
      <c r="AA36">
        <f t="shared" ca="1" si="10"/>
        <v>10</v>
      </c>
      <c r="AB36">
        <f t="shared" ca="1" si="10"/>
        <v>3</v>
      </c>
      <c r="AC36">
        <f t="shared" ca="1" si="10"/>
        <v>8</v>
      </c>
      <c r="AD36">
        <f t="shared" ca="1" si="10"/>
        <v>3</v>
      </c>
      <c r="AE36">
        <f t="shared" ca="1" si="10"/>
        <v>4</v>
      </c>
      <c r="AF36">
        <f t="shared" ca="1" si="10"/>
        <v>3</v>
      </c>
      <c r="AH36" s="25">
        <f t="shared" ca="1" si="6"/>
        <v>174</v>
      </c>
      <c r="AI36">
        <v>263</v>
      </c>
      <c r="AJ36">
        <v>300</v>
      </c>
      <c r="AK36">
        <f t="shared" si="3"/>
        <v>37</v>
      </c>
      <c r="AL36" s="15">
        <f t="shared" ca="1" si="4"/>
        <v>52200</v>
      </c>
      <c r="AM36" s="15">
        <f t="shared" ca="1" si="5"/>
        <v>6438</v>
      </c>
    </row>
    <row r="37" spans="1:39">
      <c r="A37" s="27"/>
      <c r="B37" t="s">
        <v>54</v>
      </c>
      <c r="C37">
        <f t="shared" ca="1" si="11"/>
        <v>9</v>
      </c>
      <c r="D37">
        <f t="shared" ca="1" si="11"/>
        <v>3</v>
      </c>
      <c r="E37">
        <f t="shared" ca="1" si="11"/>
        <v>6</v>
      </c>
      <c r="F37">
        <f t="shared" ca="1" si="11"/>
        <v>9</v>
      </c>
      <c r="G37">
        <f t="shared" ca="1" si="11"/>
        <v>2</v>
      </c>
      <c r="H37">
        <f t="shared" ca="1" si="11"/>
        <v>6</v>
      </c>
      <c r="I37">
        <f t="shared" ca="1" si="11"/>
        <v>4</v>
      </c>
      <c r="J37">
        <f t="shared" ca="1" si="11"/>
        <v>5</v>
      </c>
      <c r="K37">
        <f t="shared" ca="1" si="11"/>
        <v>10</v>
      </c>
      <c r="L37">
        <f t="shared" ca="1" si="11"/>
        <v>10</v>
      </c>
      <c r="M37">
        <f t="shared" ca="1" si="11"/>
        <v>4</v>
      </c>
      <c r="N37">
        <f t="shared" ca="1" si="11"/>
        <v>7</v>
      </c>
      <c r="O37">
        <f t="shared" ca="1" si="11"/>
        <v>10</v>
      </c>
      <c r="P37">
        <f t="shared" ca="1" si="11"/>
        <v>9</v>
      </c>
      <c r="Q37">
        <f t="shared" ca="1" si="11"/>
        <v>9</v>
      </c>
      <c r="R37">
        <f t="shared" ca="1" si="11"/>
        <v>3</v>
      </c>
      <c r="S37">
        <f t="shared" ca="1" si="10"/>
        <v>7</v>
      </c>
      <c r="T37">
        <f t="shared" ca="1" si="10"/>
        <v>10</v>
      </c>
      <c r="U37">
        <f t="shared" ca="1" si="10"/>
        <v>3</v>
      </c>
      <c r="V37">
        <f t="shared" ca="1" si="10"/>
        <v>8</v>
      </c>
      <c r="W37">
        <f t="shared" ca="1" si="10"/>
        <v>2</v>
      </c>
      <c r="X37">
        <f t="shared" ca="1" si="10"/>
        <v>10</v>
      </c>
      <c r="Y37">
        <f t="shared" ca="1" si="10"/>
        <v>3</v>
      </c>
      <c r="Z37">
        <f t="shared" ca="1" si="10"/>
        <v>3</v>
      </c>
      <c r="AA37">
        <f t="shared" ca="1" si="10"/>
        <v>9</v>
      </c>
      <c r="AB37">
        <f t="shared" ca="1" si="10"/>
        <v>8</v>
      </c>
      <c r="AC37">
        <f t="shared" ca="1" si="10"/>
        <v>8</v>
      </c>
      <c r="AD37">
        <f t="shared" ca="1" si="10"/>
        <v>4</v>
      </c>
      <c r="AE37">
        <f t="shared" ca="1" si="10"/>
        <v>9</v>
      </c>
      <c r="AF37">
        <f t="shared" ca="1" si="10"/>
        <v>1</v>
      </c>
      <c r="AH37" s="25">
        <f t="shared" ca="1" si="6"/>
        <v>191</v>
      </c>
      <c r="AI37">
        <v>96</v>
      </c>
      <c r="AJ37">
        <v>120</v>
      </c>
      <c r="AK37">
        <f t="shared" si="3"/>
        <v>24</v>
      </c>
      <c r="AL37" s="15">
        <f t="shared" ca="1" si="4"/>
        <v>22920</v>
      </c>
      <c r="AM37" s="15">
        <f t="shared" ca="1" si="5"/>
        <v>4584</v>
      </c>
    </row>
    <row r="38" spans="1:39">
      <c r="A38" s="27"/>
      <c r="B38" t="s">
        <v>55</v>
      </c>
      <c r="C38">
        <f t="shared" ca="1" si="11"/>
        <v>5</v>
      </c>
      <c r="D38">
        <f t="shared" ca="1" si="11"/>
        <v>6</v>
      </c>
      <c r="E38">
        <f t="shared" ca="1" si="11"/>
        <v>1</v>
      </c>
      <c r="F38">
        <f t="shared" ca="1" si="11"/>
        <v>7</v>
      </c>
      <c r="G38">
        <f t="shared" ca="1" si="11"/>
        <v>6</v>
      </c>
      <c r="H38">
        <f t="shared" ca="1" si="11"/>
        <v>7</v>
      </c>
      <c r="I38">
        <f t="shared" ca="1" si="11"/>
        <v>10</v>
      </c>
      <c r="J38">
        <f t="shared" ca="1" si="11"/>
        <v>2</v>
      </c>
      <c r="K38">
        <f t="shared" ca="1" si="11"/>
        <v>9</v>
      </c>
      <c r="L38">
        <f t="shared" ca="1" si="11"/>
        <v>4</v>
      </c>
      <c r="M38">
        <f t="shared" ca="1" si="11"/>
        <v>10</v>
      </c>
      <c r="N38">
        <f t="shared" ca="1" si="11"/>
        <v>1</v>
      </c>
      <c r="O38">
        <f t="shared" ca="1" si="11"/>
        <v>2</v>
      </c>
      <c r="P38">
        <f t="shared" ca="1" si="11"/>
        <v>10</v>
      </c>
      <c r="Q38">
        <f t="shared" ca="1" si="11"/>
        <v>10</v>
      </c>
      <c r="R38">
        <f t="shared" ca="1" si="11"/>
        <v>4</v>
      </c>
      <c r="S38">
        <f t="shared" ca="1" si="10"/>
        <v>1</v>
      </c>
      <c r="T38">
        <f t="shared" ca="1" si="10"/>
        <v>8</v>
      </c>
      <c r="U38">
        <f t="shared" ca="1" si="10"/>
        <v>5</v>
      </c>
      <c r="V38">
        <f t="shared" ca="1" si="10"/>
        <v>4</v>
      </c>
      <c r="W38">
        <f t="shared" ca="1" si="10"/>
        <v>2</v>
      </c>
      <c r="X38">
        <f t="shared" ca="1" si="10"/>
        <v>7</v>
      </c>
      <c r="Y38">
        <f t="shared" ca="1" si="10"/>
        <v>4</v>
      </c>
      <c r="Z38">
        <f t="shared" ca="1" si="10"/>
        <v>9</v>
      </c>
      <c r="AA38">
        <f t="shared" ca="1" si="10"/>
        <v>1</v>
      </c>
      <c r="AB38">
        <f t="shared" ca="1" si="10"/>
        <v>5</v>
      </c>
      <c r="AC38">
        <f t="shared" ca="1" si="10"/>
        <v>1</v>
      </c>
      <c r="AD38">
        <f t="shared" ca="1" si="10"/>
        <v>4</v>
      </c>
      <c r="AE38">
        <f t="shared" ca="1" si="10"/>
        <v>1</v>
      </c>
      <c r="AF38">
        <f t="shared" ca="1" si="10"/>
        <v>6</v>
      </c>
      <c r="AH38" s="25">
        <f t="shared" ca="1" si="6"/>
        <v>152</v>
      </c>
      <c r="AI38">
        <v>196</v>
      </c>
      <c r="AJ38">
        <v>230</v>
      </c>
      <c r="AK38">
        <f t="shared" si="3"/>
        <v>34</v>
      </c>
      <c r="AL38" s="15">
        <f t="shared" ca="1" si="4"/>
        <v>34960</v>
      </c>
      <c r="AM38" s="15">
        <f t="shared" ca="1" si="5"/>
        <v>5168</v>
      </c>
    </row>
    <row r="39" spans="1:39">
      <c r="A39" s="27"/>
      <c r="B39" t="s">
        <v>56</v>
      </c>
      <c r="C39">
        <f t="shared" ca="1" si="11"/>
        <v>3</v>
      </c>
      <c r="D39">
        <f t="shared" ca="1" si="11"/>
        <v>7</v>
      </c>
      <c r="E39">
        <f t="shared" ca="1" si="11"/>
        <v>3</v>
      </c>
      <c r="F39">
        <f t="shared" ca="1" si="11"/>
        <v>4</v>
      </c>
      <c r="G39">
        <f t="shared" ca="1" si="11"/>
        <v>10</v>
      </c>
      <c r="H39">
        <f t="shared" ca="1" si="11"/>
        <v>10</v>
      </c>
      <c r="I39">
        <f t="shared" ca="1" si="11"/>
        <v>1</v>
      </c>
      <c r="J39">
        <f t="shared" ca="1" si="11"/>
        <v>4</v>
      </c>
      <c r="K39">
        <f t="shared" ca="1" si="11"/>
        <v>9</v>
      </c>
      <c r="L39">
        <f t="shared" ca="1" si="11"/>
        <v>7</v>
      </c>
      <c r="M39">
        <f t="shared" ca="1" si="11"/>
        <v>8</v>
      </c>
      <c r="N39">
        <f t="shared" ca="1" si="11"/>
        <v>9</v>
      </c>
      <c r="O39">
        <f t="shared" ca="1" si="11"/>
        <v>8</v>
      </c>
      <c r="P39">
        <f t="shared" ca="1" si="11"/>
        <v>1</v>
      </c>
      <c r="Q39">
        <f t="shared" ca="1" si="11"/>
        <v>2</v>
      </c>
      <c r="R39">
        <f t="shared" ca="1" si="11"/>
        <v>1</v>
      </c>
      <c r="S39">
        <f t="shared" ca="1" si="10"/>
        <v>7</v>
      </c>
      <c r="T39">
        <f t="shared" ca="1" si="10"/>
        <v>5</v>
      </c>
      <c r="U39">
        <f t="shared" ca="1" si="10"/>
        <v>10</v>
      </c>
      <c r="V39">
        <f t="shared" ca="1" si="10"/>
        <v>2</v>
      </c>
      <c r="W39">
        <f t="shared" ca="1" si="10"/>
        <v>9</v>
      </c>
      <c r="X39">
        <f t="shared" ca="1" si="10"/>
        <v>4</v>
      </c>
      <c r="Y39">
        <f t="shared" ca="1" si="10"/>
        <v>3</v>
      </c>
      <c r="Z39">
        <f t="shared" ca="1" si="10"/>
        <v>8</v>
      </c>
      <c r="AA39">
        <f t="shared" ca="1" si="10"/>
        <v>5</v>
      </c>
      <c r="AB39">
        <f t="shared" ca="1" si="10"/>
        <v>6</v>
      </c>
      <c r="AC39">
        <f t="shared" ca="1" si="10"/>
        <v>4</v>
      </c>
      <c r="AD39">
        <f t="shared" ca="1" si="10"/>
        <v>10</v>
      </c>
      <c r="AE39">
        <f t="shared" ca="1" si="10"/>
        <v>5</v>
      </c>
      <c r="AF39">
        <f t="shared" ca="1" si="10"/>
        <v>6</v>
      </c>
      <c r="AH39" s="25">
        <f t="shared" ca="1" si="6"/>
        <v>171</v>
      </c>
      <c r="AI39">
        <v>98</v>
      </c>
      <c r="AJ39">
        <v>115</v>
      </c>
      <c r="AK39">
        <f t="shared" si="3"/>
        <v>17</v>
      </c>
      <c r="AL39" s="15">
        <f t="shared" ca="1" si="4"/>
        <v>19665</v>
      </c>
      <c r="AM39" s="15">
        <f t="shared" ca="1" si="5"/>
        <v>2907</v>
      </c>
    </row>
    <row r="40" spans="1:39">
      <c r="A40" s="27"/>
      <c r="B40" t="s">
        <v>57</v>
      </c>
      <c r="C40">
        <f t="shared" ca="1" si="11"/>
        <v>5</v>
      </c>
      <c r="D40">
        <f t="shared" ca="1" si="11"/>
        <v>3</v>
      </c>
      <c r="E40">
        <f t="shared" ca="1" si="11"/>
        <v>6</v>
      </c>
      <c r="F40">
        <f t="shared" ca="1" si="11"/>
        <v>9</v>
      </c>
      <c r="G40">
        <f t="shared" ca="1" si="11"/>
        <v>10</v>
      </c>
      <c r="H40">
        <f t="shared" ca="1" si="11"/>
        <v>6</v>
      </c>
      <c r="I40">
        <f t="shared" ca="1" si="11"/>
        <v>5</v>
      </c>
      <c r="J40">
        <f t="shared" ca="1" si="11"/>
        <v>8</v>
      </c>
      <c r="K40">
        <f t="shared" ca="1" si="11"/>
        <v>5</v>
      </c>
      <c r="L40">
        <f t="shared" ca="1" si="11"/>
        <v>4</v>
      </c>
      <c r="M40">
        <f t="shared" ca="1" si="11"/>
        <v>9</v>
      </c>
      <c r="N40">
        <f t="shared" ca="1" si="11"/>
        <v>6</v>
      </c>
      <c r="O40">
        <f t="shared" ca="1" si="11"/>
        <v>10</v>
      </c>
      <c r="P40">
        <f t="shared" ca="1" si="11"/>
        <v>3</v>
      </c>
      <c r="Q40">
        <f t="shared" ca="1" si="11"/>
        <v>7</v>
      </c>
      <c r="R40">
        <f t="shared" ca="1" si="11"/>
        <v>1</v>
      </c>
      <c r="S40">
        <f t="shared" ca="1" si="10"/>
        <v>2</v>
      </c>
      <c r="T40">
        <f t="shared" ca="1" si="10"/>
        <v>7</v>
      </c>
      <c r="U40">
        <f t="shared" ca="1" si="10"/>
        <v>10</v>
      </c>
      <c r="V40">
        <f t="shared" ca="1" si="10"/>
        <v>1</v>
      </c>
      <c r="W40">
        <f t="shared" ca="1" si="10"/>
        <v>4</v>
      </c>
      <c r="X40">
        <f t="shared" ca="1" si="10"/>
        <v>8</v>
      </c>
      <c r="Y40">
        <f t="shared" ca="1" si="10"/>
        <v>7</v>
      </c>
      <c r="Z40">
        <f t="shared" ca="1" si="10"/>
        <v>7</v>
      </c>
      <c r="AA40">
        <f t="shared" ca="1" si="10"/>
        <v>7</v>
      </c>
      <c r="AB40">
        <f t="shared" ca="1" si="10"/>
        <v>10</v>
      </c>
      <c r="AC40">
        <f t="shared" ca="1" si="10"/>
        <v>5</v>
      </c>
      <c r="AD40">
        <f t="shared" ca="1" si="10"/>
        <v>3</v>
      </c>
      <c r="AE40">
        <f t="shared" ca="1" si="10"/>
        <v>4</v>
      </c>
      <c r="AF40">
        <f t="shared" ca="1" si="10"/>
        <v>10</v>
      </c>
      <c r="AH40" s="25">
        <f t="shared" ca="1" si="6"/>
        <v>182</v>
      </c>
      <c r="AI40">
        <v>75</v>
      </c>
      <c r="AJ40">
        <v>99</v>
      </c>
      <c r="AK40">
        <f t="shared" si="3"/>
        <v>24</v>
      </c>
      <c r="AL40" s="15">
        <f t="shared" ca="1" si="4"/>
        <v>18018</v>
      </c>
      <c r="AM40" s="15">
        <f t="shared" ca="1" si="5"/>
        <v>4368</v>
      </c>
    </row>
    <row r="41" spans="1:39">
      <c r="A41" s="27"/>
      <c r="B41" t="s">
        <v>58</v>
      </c>
      <c r="C41">
        <f t="shared" ca="1" si="11"/>
        <v>10</v>
      </c>
      <c r="D41">
        <f t="shared" ca="1" si="11"/>
        <v>7</v>
      </c>
      <c r="E41">
        <f t="shared" ca="1" si="11"/>
        <v>9</v>
      </c>
      <c r="F41">
        <f t="shared" ca="1" si="11"/>
        <v>2</v>
      </c>
      <c r="G41">
        <f t="shared" ca="1" si="11"/>
        <v>9</v>
      </c>
      <c r="H41">
        <f t="shared" ca="1" si="11"/>
        <v>8</v>
      </c>
      <c r="I41">
        <f t="shared" ca="1" si="11"/>
        <v>5</v>
      </c>
      <c r="J41">
        <f t="shared" ca="1" si="11"/>
        <v>6</v>
      </c>
      <c r="K41">
        <f t="shared" ca="1" si="11"/>
        <v>8</v>
      </c>
      <c r="L41">
        <f t="shared" ca="1" si="11"/>
        <v>4</v>
      </c>
      <c r="M41">
        <f t="shared" ca="1" si="11"/>
        <v>2</v>
      </c>
      <c r="N41">
        <f t="shared" ca="1" si="11"/>
        <v>2</v>
      </c>
      <c r="O41">
        <f t="shared" ca="1" si="11"/>
        <v>3</v>
      </c>
      <c r="P41">
        <f t="shared" ca="1" si="11"/>
        <v>9</v>
      </c>
      <c r="Q41">
        <f t="shared" ca="1" si="11"/>
        <v>9</v>
      </c>
      <c r="R41">
        <f t="shared" ca="1" si="11"/>
        <v>8</v>
      </c>
      <c r="S41">
        <f t="shared" ca="1" si="10"/>
        <v>6</v>
      </c>
      <c r="T41">
        <f t="shared" ca="1" si="10"/>
        <v>8</v>
      </c>
      <c r="U41">
        <f t="shared" ca="1" si="10"/>
        <v>2</v>
      </c>
      <c r="V41">
        <f t="shared" ca="1" si="10"/>
        <v>3</v>
      </c>
      <c r="W41">
        <f t="shared" ca="1" si="10"/>
        <v>4</v>
      </c>
      <c r="X41">
        <f t="shared" ca="1" si="10"/>
        <v>9</v>
      </c>
      <c r="Y41">
        <f t="shared" ca="1" si="10"/>
        <v>10</v>
      </c>
      <c r="Z41">
        <f t="shared" ca="1" si="10"/>
        <v>2</v>
      </c>
      <c r="AA41">
        <f t="shared" ca="1" si="10"/>
        <v>7</v>
      </c>
      <c r="AB41">
        <f t="shared" ca="1" si="10"/>
        <v>2</v>
      </c>
      <c r="AC41">
        <f t="shared" ca="1" si="10"/>
        <v>2</v>
      </c>
      <c r="AD41">
        <f t="shared" ca="1" si="10"/>
        <v>10</v>
      </c>
      <c r="AE41">
        <f t="shared" ca="1" si="10"/>
        <v>9</v>
      </c>
      <c r="AF41">
        <f t="shared" ca="1" si="10"/>
        <v>5</v>
      </c>
      <c r="AH41" s="25">
        <f t="shared" ca="1" si="6"/>
        <v>180</v>
      </c>
      <c r="AI41">
        <v>105</v>
      </c>
      <c r="AJ41">
        <v>140</v>
      </c>
      <c r="AK41">
        <f t="shared" si="3"/>
        <v>35</v>
      </c>
      <c r="AL41" s="15">
        <f t="shared" ca="1" si="4"/>
        <v>25200</v>
      </c>
      <c r="AM41" s="15">
        <f t="shared" ca="1" si="5"/>
        <v>6300</v>
      </c>
    </row>
    <row r="42" spans="1:39">
      <c r="A42" s="27"/>
      <c r="B42" t="s">
        <v>59</v>
      </c>
      <c r="C42">
        <f t="shared" ca="1" si="11"/>
        <v>7</v>
      </c>
      <c r="D42">
        <f t="shared" ca="1" si="11"/>
        <v>8</v>
      </c>
      <c r="E42">
        <f t="shared" ca="1" si="11"/>
        <v>2</v>
      </c>
      <c r="F42">
        <f t="shared" ca="1" si="11"/>
        <v>3</v>
      </c>
      <c r="G42">
        <f t="shared" ca="1" si="11"/>
        <v>6</v>
      </c>
      <c r="H42">
        <f t="shared" ca="1" si="11"/>
        <v>4</v>
      </c>
      <c r="I42">
        <f t="shared" ca="1" si="11"/>
        <v>8</v>
      </c>
      <c r="J42">
        <f t="shared" ca="1" si="11"/>
        <v>8</v>
      </c>
      <c r="K42">
        <f t="shared" ca="1" si="11"/>
        <v>10</v>
      </c>
      <c r="L42">
        <f t="shared" ca="1" si="11"/>
        <v>10</v>
      </c>
      <c r="M42">
        <f t="shared" ca="1" si="11"/>
        <v>4</v>
      </c>
      <c r="N42">
        <f t="shared" ca="1" si="11"/>
        <v>2</v>
      </c>
      <c r="O42">
        <f t="shared" ca="1" si="11"/>
        <v>1</v>
      </c>
      <c r="P42">
        <f t="shared" ca="1" si="11"/>
        <v>9</v>
      </c>
      <c r="Q42">
        <f t="shared" ca="1" si="11"/>
        <v>6</v>
      </c>
      <c r="R42">
        <f t="shared" ca="1" si="11"/>
        <v>9</v>
      </c>
      <c r="S42">
        <f t="shared" ca="1" si="10"/>
        <v>7</v>
      </c>
      <c r="T42">
        <f t="shared" ca="1" si="10"/>
        <v>7</v>
      </c>
      <c r="U42">
        <f t="shared" ca="1" si="10"/>
        <v>5</v>
      </c>
      <c r="V42">
        <f t="shared" ca="1" si="10"/>
        <v>8</v>
      </c>
      <c r="W42">
        <f t="shared" ca="1" si="10"/>
        <v>5</v>
      </c>
      <c r="X42">
        <f t="shared" ca="1" si="10"/>
        <v>4</v>
      </c>
      <c r="Y42">
        <f t="shared" ca="1" si="10"/>
        <v>6</v>
      </c>
      <c r="Z42">
        <f t="shared" ca="1" si="10"/>
        <v>4</v>
      </c>
      <c r="AA42">
        <f t="shared" ca="1" si="10"/>
        <v>5</v>
      </c>
      <c r="AB42">
        <f t="shared" ca="1" si="10"/>
        <v>10</v>
      </c>
      <c r="AC42">
        <f t="shared" ca="1" si="10"/>
        <v>9</v>
      </c>
      <c r="AD42">
        <f t="shared" ca="1" si="10"/>
        <v>8</v>
      </c>
      <c r="AE42">
        <f t="shared" ca="1" si="10"/>
        <v>1</v>
      </c>
      <c r="AF42">
        <f t="shared" ca="1" si="10"/>
        <v>9</v>
      </c>
      <c r="AH42" s="25">
        <f t="shared" ca="1" si="6"/>
        <v>185</v>
      </c>
      <c r="AI42">
        <v>37</v>
      </c>
      <c r="AJ42">
        <v>50</v>
      </c>
      <c r="AK42">
        <f t="shared" si="3"/>
        <v>13</v>
      </c>
      <c r="AL42" s="15">
        <f t="shared" ca="1" si="4"/>
        <v>9250</v>
      </c>
      <c r="AM42" s="15">
        <f t="shared" ca="1" si="5"/>
        <v>2405</v>
      </c>
    </row>
    <row r="43" spans="1:39">
      <c r="A43" s="27"/>
      <c r="B43" t="s">
        <v>60</v>
      </c>
      <c r="C43">
        <f t="shared" ca="1" si="11"/>
        <v>7</v>
      </c>
      <c r="D43">
        <f t="shared" ca="1" si="11"/>
        <v>7</v>
      </c>
      <c r="E43">
        <f t="shared" ca="1" si="11"/>
        <v>2</v>
      </c>
      <c r="F43">
        <f t="shared" ca="1" si="11"/>
        <v>7</v>
      </c>
      <c r="G43">
        <f t="shared" ca="1" si="11"/>
        <v>6</v>
      </c>
      <c r="H43">
        <f t="shared" ca="1" si="11"/>
        <v>9</v>
      </c>
      <c r="I43">
        <f t="shared" ca="1" si="11"/>
        <v>9</v>
      </c>
      <c r="J43">
        <f t="shared" ca="1" si="11"/>
        <v>4</v>
      </c>
      <c r="K43">
        <f t="shared" ca="1" si="11"/>
        <v>2</v>
      </c>
      <c r="L43">
        <f t="shared" ca="1" si="11"/>
        <v>4</v>
      </c>
      <c r="M43">
        <f t="shared" ca="1" si="11"/>
        <v>10</v>
      </c>
      <c r="N43">
        <f t="shared" ca="1" si="11"/>
        <v>4</v>
      </c>
      <c r="O43">
        <f t="shared" ca="1" si="11"/>
        <v>4</v>
      </c>
      <c r="P43">
        <f t="shared" ca="1" si="11"/>
        <v>2</v>
      </c>
      <c r="Q43">
        <f t="shared" ca="1" si="11"/>
        <v>5</v>
      </c>
      <c r="R43">
        <f t="shared" ca="1" si="11"/>
        <v>1</v>
      </c>
      <c r="S43">
        <f t="shared" ca="1" si="10"/>
        <v>8</v>
      </c>
      <c r="T43">
        <f t="shared" ca="1" si="10"/>
        <v>8</v>
      </c>
      <c r="U43">
        <f t="shared" ca="1" si="10"/>
        <v>2</v>
      </c>
      <c r="V43">
        <f t="shared" ca="1" si="10"/>
        <v>5</v>
      </c>
      <c r="W43">
        <f t="shared" ca="1" si="10"/>
        <v>10</v>
      </c>
      <c r="X43">
        <f t="shared" ca="1" si="10"/>
        <v>8</v>
      </c>
      <c r="Y43">
        <f t="shared" ca="1" si="10"/>
        <v>3</v>
      </c>
      <c r="Z43">
        <f t="shared" ca="1" si="10"/>
        <v>10</v>
      </c>
      <c r="AA43">
        <f t="shared" ca="1" si="10"/>
        <v>4</v>
      </c>
      <c r="AB43">
        <f t="shared" ca="1" si="10"/>
        <v>6</v>
      </c>
      <c r="AC43">
        <f t="shared" ca="1" si="10"/>
        <v>3</v>
      </c>
      <c r="AD43">
        <f t="shared" ca="1" si="10"/>
        <v>3</v>
      </c>
      <c r="AE43">
        <f t="shared" ca="1" si="10"/>
        <v>5</v>
      </c>
      <c r="AF43">
        <f t="shared" ca="1" si="10"/>
        <v>8</v>
      </c>
      <c r="AH43" s="25">
        <f t="shared" ca="1" si="6"/>
        <v>166</v>
      </c>
      <c r="AI43">
        <v>221</v>
      </c>
      <c r="AJ43">
        <v>250</v>
      </c>
      <c r="AK43">
        <f t="shared" si="3"/>
        <v>29</v>
      </c>
      <c r="AL43" s="15">
        <f t="shared" ca="1" si="4"/>
        <v>41500</v>
      </c>
      <c r="AM43" s="15">
        <f t="shared" ca="1" si="5"/>
        <v>4814</v>
      </c>
    </row>
    <row r="44" spans="1:39">
      <c r="A44" s="27"/>
      <c r="B44" t="s">
        <v>61</v>
      </c>
      <c r="C44">
        <f t="shared" ca="1" si="11"/>
        <v>3</v>
      </c>
      <c r="D44">
        <f t="shared" ca="1" si="11"/>
        <v>2</v>
      </c>
      <c r="E44">
        <f t="shared" ca="1" si="11"/>
        <v>2</v>
      </c>
      <c r="F44">
        <f t="shared" ca="1" si="11"/>
        <v>3</v>
      </c>
      <c r="G44">
        <f t="shared" ca="1" si="11"/>
        <v>4</v>
      </c>
      <c r="H44">
        <f t="shared" ca="1" si="11"/>
        <v>1</v>
      </c>
      <c r="I44">
        <f t="shared" ca="1" si="11"/>
        <v>1</v>
      </c>
      <c r="J44">
        <f t="shared" ca="1" si="11"/>
        <v>1</v>
      </c>
      <c r="K44">
        <f t="shared" ca="1" si="11"/>
        <v>2</v>
      </c>
      <c r="L44">
        <f t="shared" ca="1" si="11"/>
        <v>8</v>
      </c>
      <c r="M44">
        <f t="shared" ca="1" si="11"/>
        <v>1</v>
      </c>
      <c r="N44">
        <f t="shared" ca="1" si="11"/>
        <v>8</v>
      </c>
      <c r="O44">
        <f t="shared" ca="1" si="11"/>
        <v>10</v>
      </c>
      <c r="P44">
        <f t="shared" ca="1" si="11"/>
        <v>5</v>
      </c>
      <c r="Q44">
        <f t="shared" ca="1" si="11"/>
        <v>7</v>
      </c>
      <c r="R44">
        <f t="shared" ca="1" si="11"/>
        <v>6</v>
      </c>
      <c r="S44">
        <f t="shared" ca="1" si="10"/>
        <v>5</v>
      </c>
      <c r="T44">
        <f t="shared" ca="1" si="10"/>
        <v>10</v>
      </c>
      <c r="U44">
        <f t="shared" ca="1" si="10"/>
        <v>3</v>
      </c>
      <c r="V44">
        <f t="shared" ca="1" si="10"/>
        <v>5</v>
      </c>
      <c r="W44">
        <f t="shared" ca="1" si="10"/>
        <v>8</v>
      </c>
      <c r="X44">
        <f t="shared" ca="1" si="10"/>
        <v>7</v>
      </c>
      <c r="Y44">
        <f t="shared" ca="1" si="10"/>
        <v>6</v>
      </c>
      <c r="Z44">
        <f t="shared" ca="1" si="10"/>
        <v>3</v>
      </c>
      <c r="AA44">
        <f t="shared" ca="1" si="10"/>
        <v>8</v>
      </c>
      <c r="AB44">
        <f t="shared" ca="1" si="10"/>
        <v>3</v>
      </c>
      <c r="AC44">
        <f t="shared" ca="1" si="10"/>
        <v>4</v>
      </c>
      <c r="AD44">
        <f t="shared" ca="1" si="10"/>
        <v>5</v>
      </c>
      <c r="AE44">
        <f t="shared" ca="1" si="10"/>
        <v>6</v>
      </c>
      <c r="AF44">
        <f t="shared" ca="1" si="10"/>
        <v>4</v>
      </c>
      <c r="AH44" s="25">
        <f t="shared" ca="1" si="6"/>
        <v>141</v>
      </c>
      <c r="AI44">
        <v>140</v>
      </c>
      <c r="AJ44">
        <v>150</v>
      </c>
      <c r="AK44">
        <f t="shared" si="3"/>
        <v>10</v>
      </c>
      <c r="AL44" s="15">
        <f t="shared" ca="1" si="4"/>
        <v>21150</v>
      </c>
      <c r="AM44" s="15">
        <f t="shared" ca="1" si="5"/>
        <v>1410</v>
      </c>
    </row>
    <row r="45" spans="1:39">
      <c r="A45" s="27"/>
      <c r="B45" t="s">
        <v>62</v>
      </c>
      <c r="C45">
        <f t="shared" ca="1" si="11"/>
        <v>5</v>
      </c>
      <c r="D45">
        <f t="shared" ca="1" si="11"/>
        <v>10</v>
      </c>
      <c r="E45">
        <f t="shared" ca="1" si="11"/>
        <v>10</v>
      </c>
      <c r="F45">
        <f t="shared" ca="1" si="11"/>
        <v>10</v>
      </c>
      <c r="G45">
        <f t="shared" ca="1" si="11"/>
        <v>2</v>
      </c>
      <c r="H45">
        <f t="shared" ca="1" si="11"/>
        <v>4</v>
      </c>
      <c r="I45">
        <f t="shared" ca="1" si="11"/>
        <v>3</v>
      </c>
      <c r="J45">
        <f t="shared" ca="1" si="11"/>
        <v>10</v>
      </c>
      <c r="K45">
        <f t="shared" ca="1" si="11"/>
        <v>9</v>
      </c>
      <c r="L45">
        <f t="shared" ca="1" si="11"/>
        <v>8</v>
      </c>
      <c r="M45">
        <f t="shared" ca="1" si="11"/>
        <v>5</v>
      </c>
      <c r="N45">
        <f t="shared" ca="1" si="11"/>
        <v>8</v>
      </c>
      <c r="O45">
        <f t="shared" ca="1" si="11"/>
        <v>6</v>
      </c>
      <c r="P45">
        <f t="shared" ca="1" si="11"/>
        <v>2</v>
      </c>
      <c r="Q45">
        <f t="shared" ca="1" si="11"/>
        <v>9</v>
      </c>
      <c r="R45">
        <f t="shared" ca="1" si="11"/>
        <v>1</v>
      </c>
      <c r="S45">
        <f t="shared" ca="1" si="10"/>
        <v>5</v>
      </c>
      <c r="T45">
        <f t="shared" ca="1" si="10"/>
        <v>1</v>
      </c>
      <c r="U45">
        <f t="shared" ca="1" si="10"/>
        <v>1</v>
      </c>
      <c r="V45">
        <f t="shared" ca="1" si="10"/>
        <v>4</v>
      </c>
      <c r="W45">
        <f t="shared" ca="1" si="10"/>
        <v>5</v>
      </c>
      <c r="X45">
        <f t="shared" ca="1" si="10"/>
        <v>1</v>
      </c>
      <c r="Y45">
        <f t="shared" ca="1" si="10"/>
        <v>2</v>
      </c>
      <c r="Z45">
        <f t="shared" ca="1" si="10"/>
        <v>7</v>
      </c>
      <c r="AA45">
        <f t="shared" ca="1" si="10"/>
        <v>10</v>
      </c>
      <c r="AB45">
        <f t="shared" ca="1" si="10"/>
        <v>3</v>
      </c>
      <c r="AC45">
        <f t="shared" ca="1" si="10"/>
        <v>6</v>
      </c>
      <c r="AD45">
        <f t="shared" ca="1" si="10"/>
        <v>1</v>
      </c>
      <c r="AE45">
        <f t="shared" ca="1" si="10"/>
        <v>8</v>
      </c>
      <c r="AF45">
        <f t="shared" ca="1" si="10"/>
        <v>6</v>
      </c>
      <c r="AH45" s="25">
        <f t="shared" ca="1" si="6"/>
        <v>162</v>
      </c>
      <c r="AI45">
        <v>154</v>
      </c>
      <c r="AJ45">
        <v>170</v>
      </c>
      <c r="AK45">
        <f t="shared" si="3"/>
        <v>16</v>
      </c>
      <c r="AL45" s="15">
        <f t="shared" ca="1" si="4"/>
        <v>27540</v>
      </c>
      <c r="AM45" s="15">
        <f t="shared" ca="1" si="5"/>
        <v>2592</v>
      </c>
    </row>
    <row r="46" spans="1:39">
      <c r="A46" s="27"/>
      <c r="B46" t="s">
        <v>63</v>
      </c>
      <c r="C46">
        <f t="shared" ca="1" si="11"/>
        <v>3</v>
      </c>
      <c r="D46">
        <f t="shared" ca="1" si="11"/>
        <v>8</v>
      </c>
      <c r="E46">
        <f t="shared" ca="1" si="11"/>
        <v>7</v>
      </c>
      <c r="F46">
        <f t="shared" ca="1" si="11"/>
        <v>3</v>
      </c>
      <c r="G46">
        <f t="shared" ca="1" si="11"/>
        <v>7</v>
      </c>
      <c r="H46">
        <f t="shared" ca="1" si="11"/>
        <v>1</v>
      </c>
      <c r="I46">
        <f t="shared" ca="1" si="11"/>
        <v>9</v>
      </c>
      <c r="J46">
        <f t="shared" ca="1" si="11"/>
        <v>3</v>
      </c>
      <c r="K46">
        <f t="shared" ca="1" si="11"/>
        <v>6</v>
      </c>
      <c r="L46">
        <f t="shared" ca="1" si="11"/>
        <v>1</v>
      </c>
      <c r="M46">
        <f t="shared" ca="1" si="11"/>
        <v>4</v>
      </c>
      <c r="N46">
        <f t="shared" ca="1" si="11"/>
        <v>6</v>
      </c>
      <c r="O46">
        <f t="shared" ca="1" si="11"/>
        <v>6</v>
      </c>
      <c r="P46">
        <f t="shared" ca="1" si="11"/>
        <v>7</v>
      </c>
      <c r="Q46">
        <f t="shared" ca="1" si="11"/>
        <v>6</v>
      </c>
      <c r="R46">
        <f t="shared" ca="1" si="11"/>
        <v>7</v>
      </c>
      <c r="S46">
        <f t="shared" ca="1" si="10"/>
        <v>6</v>
      </c>
      <c r="T46">
        <f t="shared" ca="1" si="10"/>
        <v>6</v>
      </c>
      <c r="U46">
        <f t="shared" ca="1" si="10"/>
        <v>7</v>
      </c>
      <c r="V46">
        <f t="shared" ca="1" si="10"/>
        <v>7</v>
      </c>
      <c r="W46">
        <f t="shared" ca="1" si="10"/>
        <v>3</v>
      </c>
      <c r="X46">
        <f t="shared" ca="1" si="10"/>
        <v>2</v>
      </c>
      <c r="Y46">
        <f t="shared" ca="1" si="10"/>
        <v>10</v>
      </c>
      <c r="Z46">
        <f t="shared" ca="1" si="10"/>
        <v>3</v>
      </c>
      <c r="AA46">
        <f t="shared" ca="1" si="10"/>
        <v>9</v>
      </c>
      <c r="AB46">
        <f t="shared" ca="1" si="10"/>
        <v>5</v>
      </c>
      <c r="AC46">
        <f t="shared" ca="1" si="10"/>
        <v>7</v>
      </c>
      <c r="AD46">
        <f t="shared" ca="1" si="10"/>
        <v>6</v>
      </c>
      <c r="AE46">
        <f t="shared" ca="1" si="10"/>
        <v>6</v>
      </c>
      <c r="AF46">
        <f t="shared" ca="1" si="10"/>
        <v>9</v>
      </c>
      <c r="AH46" s="25">
        <f t="shared" ca="1" si="6"/>
        <v>170</v>
      </c>
      <c r="AI46">
        <v>322</v>
      </c>
      <c r="AJ46">
        <v>345</v>
      </c>
      <c r="AK46">
        <f t="shared" si="3"/>
        <v>23</v>
      </c>
      <c r="AL46" s="15">
        <f t="shared" ca="1" si="4"/>
        <v>58650</v>
      </c>
      <c r="AM46" s="15">
        <f t="shared" ca="1" si="5"/>
        <v>3910</v>
      </c>
    </row>
    <row r="47" spans="1:39">
      <c r="A47" s="27"/>
      <c r="B47" t="s">
        <v>64</v>
      </c>
      <c r="C47">
        <f t="shared" ca="1" si="11"/>
        <v>6</v>
      </c>
      <c r="D47">
        <f t="shared" ca="1" si="11"/>
        <v>2</v>
      </c>
      <c r="E47">
        <f t="shared" ca="1" si="11"/>
        <v>8</v>
      </c>
      <c r="F47">
        <f t="shared" ca="1" si="11"/>
        <v>2</v>
      </c>
      <c r="G47">
        <f t="shared" ca="1" si="11"/>
        <v>8</v>
      </c>
      <c r="H47">
        <f t="shared" ca="1" si="11"/>
        <v>2</v>
      </c>
      <c r="I47">
        <f t="shared" ca="1" si="11"/>
        <v>7</v>
      </c>
      <c r="J47">
        <f t="shared" ca="1" si="11"/>
        <v>9</v>
      </c>
      <c r="K47">
        <f t="shared" ca="1" si="11"/>
        <v>5</v>
      </c>
      <c r="L47">
        <f t="shared" ca="1" si="11"/>
        <v>1</v>
      </c>
      <c r="M47">
        <f t="shared" ca="1" si="11"/>
        <v>4</v>
      </c>
      <c r="N47">
        <f t="shared" ca="1" si="11"/>
        <v>1</v>
      </c>
      <c r="O47">
        <f t="shared" ca="1" si="11"/>
        <v>8</v>
      </c>
      <c r="P47">
        <f t="shared" ca="1" si="11"/>
        <v>1</v>
      </c>
      <c r="Q47">
        <f t="shared" ca="1" si="11"/>
        <v>10</v>
      </c>
      <c r="R47">
        <f t="shared" ca="1" si="11"/>
        <v>4</v>
      </c>
      <c r="S47">
        <f t="shared" ca="1" si="10"/>
        <v>1</v>
      </c>
      <c r="T47">
        <f t="shared" ca="1" si="10"/>
        <v>1</v>
      </c>
      <c r="U47">
        <f t="shared" ca="1" si="10"/>
        <v>1</v>
      </c>
      <c r="V47">
        <f t="shared" ca="1" si="10"/>
        <v>9</v>
      </c>
      <c r="W47">
        <f t="shared" ca="1" si="10"/>
        <v>7</v>
      </c>
      <c r="X47">
        <f t="shared" ca="1" si="10"/>
        <v>3</v>
      </c>
      <c r="Y47">
        <f t="shared" ca="1" si="10"/>
        <v>10</v>
      </c>
      <c r="Z47">
        <f t="shared" ca="1" si="10"/>
        <v>6</v>
      </c>
      <c r="AA47">
        <f t="shared" ca="1" si="10"/>
        <v>6</v>
      </c>
      <c r="AB47">
        <f t="shared" ca="1" si="10"/>
        <v>1</v>
      </c>
      <c r="AC47">
        <f t="shared" ca="1" si="10"/>
        <v>9</v>
      </c>
      <c r="AD47">
        <f t="shared" ca="1" si="10"/>
        <v>3</v>
      </c>
      <c r="AE47">
        <f t="shared" ca="1" si="10"/>
        <v>7</v>
      </c>
      <c r="AF47">
        <f t="shared" ca="1" si="10"/>
        <v>2</v>
      </c>
      <c r="AH47" s="25">
        <f t="shared" ca="1" si="6"/>
        <v>144</v>
      </c>
      <c r="AI47">
        <v>380</v>
      </c>
      <c r="AJ47">
        <v>456</v>
      </c>
      <c r="AK47">
        <f t="shared" si="3"/>
        <v>76</v>
      </c>
      <c r="AL47" s="15">
        <f t="shared" ca="1" si="4"/>
        <v>65664</v>
      </c>
      <c r="AM47" s="15">
        <f t="shared" ca="1" si="5"/>
        <v>10944</v>
      </c>
    </row>
    <row r="48" spans="1:39">
      <c r="A48" s="27"/>
      <c r="B48" t="s">
        <v>65</v>
      </c>
      <c r="C48">
        <f t="shared" ca="1" si="11"/>
        <v>3</v>
      </c>
      <c r="D48">
        <f t="shared" ca="1" si="11"/>
        <v>8</v>
      </c>
      <c r="E48">
        <f t="shared" ca="1" si="11"/>
        <v>1</v>
      </c>
      <c r="F48">
        <f t="shared" ca="1" si="11"/>
        <v>8</v>
      </c>
      <c r="G48">
        <f t="shared" ca="1" si="11"/>
        <v>6</v>
      </c>
      <c r="H48">
        <f t="shared" ca="1" si="11"/>
        <v>2</v>
      </c>
      <c r="I48">
        <f t="shared" ca="1" si="11"/>
        <v>1</v>
      </c>
      <c r="J48">
        <f t="shared" ca="1" si="11"/>
        <v>4</v>
      </c>
      <c r="K48">
        <f t="shared" ca="1" si="11"/>
        <v>9</v>
      </c>
      <c r="L48">
        <f t="shared" ca="1" si="11"/>
        <v>6</v>
      </c>
      <c r="M48">
        <f t="shared" ca="1" si="11"/>
        <v>8</v>
      </c>
      <c r="N48">
        <f t="shared" ca="1" si="11"/>
        <v>5</v>
      </c>
      <c r="O48">
        <f t="shared" ca="1" si="11"/>
        <v>7</v>
      </c>
      <c r="P48">
        <f t="shared" ca="1" si="11"/>
        <v>2</v>
      </c>
      <c r="Q48">
        <f t="shared" ca="1" si="11"/>
        <v>5</v>
      </c>
      <c r="R48">
        <f t="shared" ca="1" si="11"/>
        <v>9</v>
      </c>
      <c r="S48">
        <f t="shared" ca="1" si="10"/>
        <v>3</v>
      </c>
      <c r="T48">
        <f t="shared" ca="1" si="10"/>
        <v>5</v>
      </c>
      <c r="U48">
        <f t="shared" ca="1" si="10"/>
        <v>8</v>
      </c>
      <c r="V48">
        <f t="shared" ca="1" si="10"/>
        <v>1</v>
      </c>
      <c r="W48">
        <f t="shared" ca="1" si="10"/>
        <v>3</v>
      </c>
      <c r="X48">
        <f t="shared" ca="1" si="10"/>
        <v>4</v>
      </c>
      <c r="Y48">
        <f t="shared" ca="1" si="10"/>
        <v>4</v>
      </c>
      <c r="Z48">
        <f t="shared" ca="1" si="10"/>
        <v>10</v>
      </c>
      <c r="AA48">
        <f t="shared" ca="1" si="10"/>
        <v>5</v>
      </c>
      <c r="AB48">
        <f t="shared" ca="1" si="10"/>
        <v>5</v>
      </c>
      <c r="AC48">
        <f t="shared" ca="1" si="10"/>
        <v>10</v>
      </c>
      <c r="AD48">
        <f t="shared" ca="1" si="10"/>
        <v>8</v>
      </c>
      <c r="AE48">
        <f t="shared" ca="1" si="10"/>
        <v>10</v>
      </c>
      <c r="AF48">
        <f t="shared" ca="1" si="10"/>
        <v>5</v>
      </c>
      <c r="AH48" s="25">
        <f t="shared" ca="1" si="6"/>
        <v>165</v>
      </c>
      <c r="AI48">
        <v>133</v>
      </c>
      <c r="AJ48">
        <v>158</v>
      </c>
      <c r="AK48">
        <f t="shared" si="3"/>
        <v>25</v>
      </c>
      <c r="AL48" s="15">
        <f t="shared" ca="1" si="4"/>
        <v>26070</v>
      </c>
      <c r="AM48" s="15">
        <f t="shared" ca="1" si="5"/>
        <v>4125</v>
      </c>
    </row>
    <row r="49" spans="1:39">
      <c r="A49" s="27"/>
      <c r="B49" t="s">
        <v>66</v>
      </c>
      <c r="C49">
        <f t="shared" ca="1" si="11"/>
        <v>8</v>
      </c>
      <c r="D49">
        <f t="shared" ca="1" si="11"/>
        <v>7</v>
      </c>
      <c r="E49">
        <f t="shared" ca="1" si="11"/>
        <v>7</v>
      </c>
      <c r="F49">
        <f t="shared" ca="1" si="11"/>
        <v>5</v>
      </c>
      <c r="G49">
        <f t="shared" ca="1" si="11"/>
        <v>5</v>
      </c>
      <c r="H49">
        <f t="shared" ca="1" si="11"/>
        <v>5</v>
      </c>
      <c r="I49">
        <f t="shared" ca="1" si="11"/>
        <v>10</v>
      </c>
      <c r="J49">
        <f t="shared" ca="1" si="11"/>
        <v>9</v>
      </c>
      <c r="K49">
        <f t="shared" ca="1" si="11"/>
        <v>4</v>
      </c>
      <c r="L49">
        <f t="shared" ca="1" si="11"/>
        <v>9</v>
      </c>
      <c r="M49">
        <f t="shared" ca="1" si="11"/>
        <v>5</v>
      </c>
      <c r="N49">
        <f t="shared" ca="1" si="11"/>
        <v>3</v>
      </c>
      <c r="O49">
        <f t="shared" ca="1" si="11"/>
        <v>9</v>
      </c>
      <c r="P49">
        <f t="shared" ca="1" si="11"/>
        <v>7</v>
      </c>
      <c r="Q49">
        <f t="shared" ca="1" si="11"/>
        <v>8</v>
      </c>
      <c r="R49">
        <f t="shared" ca="1" si="11"/>
        <v>6</v>
      </c>
      <c r="S49">
        <f t="shared" ca="1" si="10"/>
        <v>3</v>
      </c>
      <c r="T49">
        <f t="shared" ca="1" si="10"/>
        <v>1</v>
      </c>
      <c r="U49">
        <f t="shared" ca="1" si="10"/>
        <v>10</v>
      </c>
      <c r="V49">
        <f t="shared" ca="1" si="10"/>
        <v>9</v>
      </c>
      <c r="W49">
        <f t="shared" ca="1" si="10"/>
        <v>4</v>
      </c>
      <c r="X49">
        <f t="shared" ca="1" si="10"/>
        <v>6</v>
      </c>
      <c r="Y49">
        <f t="shared" ca="1" si="10"/>
        <v>10</v>
      </c>
      <c r="Z49">
        <f t="shared" ca="1" si="10"/>
        <v>8</v>
      </c>
      <c r="AA49">
        <f t="shared" ca="1" si="10"/>
        <v>7</v>
      </c>
      <c r="AB49">
        <f t="shared" ca="1" si="10"/>
        <v>4</v>
      </c>
      <c r="AC49">
        <f t="shared" ca="1" si="10"/>
        <v>3</v>
      </c>
      <c r="AD49">
        <f t="shared" ca="1" si="10"/>
        <v>10</v>
      </c>
      <c r="AE49">
        <f t="shared" ca="1" si="10"/>
        <v>1</v>
      </c>
      <c r="AF49">
        <f t="shared" ca="1" si="10"/>
        <v>9</v>
      </c>
      <c r="AH49" s="25">
        <f t="shared" ca="1" si="6"/>
        <v>192</v>
      </c>
      <c r="AI49">
        <v>40</v>
      </c>
      <c r="AJ49">
        <v>65</v>
      </c>
      <c r="AK49">
        <f t="shared" si="3"/>
        <v>25</v>
      </c>
      <c r="AL49" s="15">
        <f t="shared" ca="1" si="4"/>
        <v>12480</v>
      </c>
      <c r="AM49" s="15">
        <f t="shared" ca="1" si="5"/>
        <v>4800</v>
      </c>
    </row>
    <row r="50" spans="1:39">
      <c r="A50" s="27"/>
      <c r="B50" t="s">
        <v>67</v>
      </c>
      <c r="C50">
        <f t="shared" ca="1" si="11"/>
        <v>2</v>
      </c>
      <c r="D50">
        <f t="shared" ca="1" si="11"/>
        <v>6</v>
      </c>
      <c r="E50">
        <f t="shared" ca="1" si="11"/>
        <v>10</v>
      </c>
      <c r="F50">
        <f t="shared" ca="1" si="11"/>
        <v>5</v>
      </c>
      <c r="G50">
        <f t="shared" ca="1" si="11"/>
        <v>8</v>
      </c>
      <c r="H50">
        <f t="shared" ca="1" si="11"/>
        <v>4</v>
      </c>
      <c r="I50">
        <f t="shared" ca="1" si="11"/>
        <v>2</v>
      </c>
      <c r="J50">
        <f t="shared" ca="1" si="11"/>
        <v>9</v>
      </c>
      <c r="K50">
        <f t="shared" ca="1" si="11"/>
        <v>3</v>
      </c>
      <c r="L50">
        <f t="shared" ca="1" si="11"/>
        <v>3</v>
      </c>
      <c r="M50">
        <f t="shared" ca="1" si="11"/>
        <v>2</v>
      </c>
      <c r="N50">
        <f t="shared" ca="1" si="11"/>
        <v>1</v>
      </c>
      <c r="O50">
        <f t="shared" ca="1" si="11"/>
        <v>10</v>
      </c>
      <c r="P50">
        <f t="shared" ca="1" si="11"/>
        <v>3</v>
      </c>
      <c r="Q50">
        <f t="shared" ca="1" si="11"/>
        <v>5</v>
      </c>
      <c r="R50">
        <f t="shared" ca="1" si="11"/>
        <v>8</v>
      </c>
      <c r="S50">
        <f t="shared" ca="1" si="10"/>
        <v>4</v>
      </c>
      <c r="T50">
        <f t="shared" ca="1" si="10"/>
        <v>2</v>
      </c>
      <c r="U50">
        <f t="shared" ca="1" si="10"/>
        <v>6</v>
      </c>
      <c r="V50">
        <f t="shared" ca="1" si="10"/>
        <v>9</v>
      </c>
      <c r="W50">
        <f t="shared" ca="1" si="10"/>
        <v>9</v>
      </c>
      <c r="X50">
        <f t="shared" ca="1" si="10"/>
        <v>1</v>
      </c>
      <c r="Y50">
        <f t="shared" ca="1" si="10"/>
        <v>2</v>
      </c>
      <c r="Z50">
        <f t="shared" ca="1" si="10"/>
        <v>9</v>
      </c>
      <c r="AA50">
        <f t="shared" ca="1" si="10"/>
        <v>6</v>
      </c>
      <c r="AB50">
        <f t="shared" ca="1" si="10"/>
        <v>5</v>
      </c>
      <c r="AC50">
        <f t="shared" ca="1" si="10"/>
        <v>9</v>
      </c>
      <c r="AD50">
        <f t="shared" ca="1" si="10"/>
        <v>2</v>
      </c>
      <c r="AE50">
        <f t="shared" ca="1" si="10"/>
        <v>3</v>
      </c>
      <c r="AF50">
        <f t="shared" ca="1" si="10"/>
        <v>4</v>
      </c>
      <c r="AH50" s="25">
        <f t="shared" ca="1" si="6"/>
        <v>152</v>
      </c>
      <c r="AI50">
        <v>72</v>
      </c>
      <c r="AJ50">
        <v>89</v>
      </c>
      <c r="AK50">
        <f t="shared" si="3"/>
        <v>17</v>
      </c>
      <c r="AL50" s="15">
        <f t="shared" ca="1" si="4"/>
        <v>13528</v>
      </c>
      <c r="AM50" s="15">
        <f t="shared" ca="1" si="5"/>
        <v>2584</v>
      </c>
    </row>
    <row r="51" spans="1:39">
      <c r="A51" s="27"/>
      <c r="B51" t="s">
        <v>68</v>
      </c>
      <c r="C51">
        <f t="shared" ca="1" si="11"/>
        <v>5</v>
      </c>
      <c r="D51">
        <f t="shared" ca="1" si="11"/>
        <v>9</v>
      </c>
      <c r="E51">
        <f t="shared" ca="1" si="11"/>
        <v>3</v>
      </c>
      <c r="F51">
        <f t="shared" ca="1" si="11"/>
        <v>3</v>
      </c>
      <c r="G51">
        <f t="shared" ca="1" si="11"/>
        <v>2</v>
      </c>
      <c r="H51">
        <f t="shared" ca="1" si="11"/>
        <v>5</v>
      </c>
      <c r="I51">
        <f t="shared" ca="1" si="11"/>
        <v>9</v>
      </c>
      <c r="J51">
        <f t="shared" ca="1" si="11"/>
        <v>3</v>
      </c>
      <c r="K51">
        <f t="shared" ca="1" si="11"/>
        <v>5</v>
      </c>
      <c r="L51">
        <f t="shared" ca="1" si="11"/>
        <v>6</v>
      </c>
      <c r="M51">
        <f t="shared" ca="1" si="11"/>
        <v>1</v>
      </c>
      <c r="N51">
        <f t="shared" ca="1" si="11"/>
        <v>4</v>
      </c>
      <c r="O51">
        <f t="shared" ca="1" si="11"/>
        <v>9</v>
      </c>
      <c r="P51">
        <f t="shared" ca="1" si="11"/>
        <v>10</v>
      </c>
      <c r="Q51">
        <f t="shared" ca="1" si="11"/>
        <v>1</v>
      </c>
      <c r="R51">
        <f t="shared" ref="R51:AF57" ca="1" si="12">RANDBETWEEN(1,10)</f>
        <v>9</v>
      </c>
      <c r="S51">
        <f t="shared" ca="1" si="12"/>
        <v>7</v>
      </c>
      <c r="T51">
        <f t="shared" ca="1" si="12"/>
        <v>10</v>
      </c>
      <c r="U51">
        <f t="shared" ca="1" si="12"/>
        <v>10</v>
      </c>
      <c r="V51">
        <f t="shared" ca="1" si="12"/>
        <v>9</v>
      </c>
      <c r="W51">
        <f t="shared" ca="1" si="12"/>
        <v>2</v>
      </c>
      <c r="X51">
        <f t="shared" ca="1" si="12"/>
        <v>7</v>
      </c>
      <c r="Y51">
        <f t="shared" ca="1" si="12"/>
        <v>1</v>
      </c>
      <c r="Z51">
        <f t="shared" ca="1" si="12"/>
        <v>1</v>
      </c>
      <c r="AA51">
        <f t="shared" ca="1" si="12"/>
        <v>2</v>
      </c>
      <c r="AB51">
        <f t="shared" ca="1" si="12"/>
        <v>1</v>
      </c>
      <c r="AC51">
        <f t="shared" ca="1" si="12"/>
        <v>9</v>
      </c>
      <c r="AD51">
        <f t="shared" ca="1" si="12"/>
        <v>6</v>
      </c>
      <c r="AE51">
        <f t="shared" ca="1" si="12"/>
        <v>4</v>
      </c>
      <c r="AF51">
        <f t="shared" ca="1" si="12"/>
        <v>8</v>
      </c>
      <c r="AH51" s="25">
        <f t="shared" ca="1" si="6"/>
        <v>161</v>
      </c>
      <c r="AI51">
        <v>236</v>
      </c>
      <c r="AJ51">
        <v>268</v>
      </c>
      <c r="AK51">
        <f t="shared" si="3"/>
        <v>32</v>
      </c>
      <c r="AL51" s="15">
        <f t="shared" ca="1" si="4"/>
        <v>43148</v>
      </c>
      <c r="AM51" s="15">
        <f t="shared" ca="1" si="5"/>
        <v>5152</v>
      </c>
    </row>
    <row r="52" spans="1:39">
      <c r="A52" s="27"/>
      <c r="B52" t="s">
        <v>69</v>
      </c>
      <c r="C52">
        <f t="shared" ref="C52:R57" ca="1" si="13">RANDBETWEEN(1,10)</f>
        <v>10</v>
      </c>
      <c r="D52">
        <f t="shared" ca="1" si="13"/>
        <v>7</v>
      </c>
      <c r="E52">
        <f t="shared" ca="1" si="13"/>
        <v>3</v>
      </c>
      <c r="F52">
        <f t="shared" ca="1" si="13"/>
        <v>3</v>
      </c>
      <c r="G52">
        <f t="shared" ca="1" si="13"/>
        <v>4</v>
      </c>
      <c r="H52">
        <f t="shared" ca="1" si="13"/>
        <v>9</v>
      </c>
      <c r="I52">
        <f t="shared" ca="1" si="13"/>
        <v>5</v>
      </c>
      <c r="J52">
        <f t="shared" ca="1" si="13"/>
        <v>2</v>
      </c>
      <c r="K52">
        <f t="shared" ca="1" si="13"/>
        <v>4</v>
      </c>
      <c r="L52">
        <f t="shared" ca="1" si="13"/>
        <v>1</v>
      </c>
      <c r="M52">
        <f t="shared" ca="1" si="13"/>
        <v>1</v>
      </c>
      <c r="N52">
        <f t="shared" ca="1" si="13"/>
        <v>4</v>
      </c>
      <c r="O52">
        <f t="shared" ca="1" si="13"/>
        <v>8</v>
      </c>
      <c r="P52">
        <f t="shared" ca="1" si="13"/>
        <v>4</v>
      </c>
      <c r="Q52">
        <f t="shared" ca="1" si="13"/>
        <v>3</v>
      </c>
      <c r="R52">
        <f t="shared" ca="1" si="13"/>
        <v>3</v>
      </c>
      <c r="S52">
        <f t="shared" ca="1" si="12"/>
        <v>10</v>
      </c>
      <c r="T52">
        <f t="shared" ca="1" si="12"/>
        <v>7</v>
      </c>
      <c r="U52">
        <f t="shared" ca="1" si="12"/>
        <v>4</v>
      </c>
      <c r="V52">
        <f t="shared" ca="1" si="12"/>
        <v>10</v>
      </c>
      <c r="W52">
        <f t="shared" ca="1" si="12"/>
        <v>2</v>
      </c>
      <c r="X52">
        <f t="shared" ca="1" si="12"/>
        <v>8</v>
      </c>
      <c r="Y52">
        <f t="shared" ca="1" si="12"/>
        <v>9</v>
      </c>
      <c r="Z52">
        <f t="shared" ca="1" si="12"/>
        <v>6</v>
      </c>
      <c r="AA52">
        <f t="shared" ca="1" si="12"/>
        <v>3</v>
      </c>
      <c r="AB52">
        <f t="shared" ca="1" si="12"/>
        <v>8</v>
      </c>
      <c r="AC52">
        <f t="shared" ca="1" si="12"/>
        <v>8</v>
      </c>
      <c r="AD52">
        <f t="shared" ca="1" si="12"/>
        <v>5</v>
      </c>
      <c r="AE52">
        <f t="shared" ca="1" si="12"/>
        <v>7</v>
      </c>
      <c r="AF52">
        <f t="shared" ca="1" si="12"/>
        <v>3</v>
      </c>
      <c r="AH52" s="25">
        <f t="shared" ca="1" si="6"/>
        <v>161</v>
      </c>
      <c r="AI52">
        <v>156</v>
      </c>
      <c r="AJ52">
        <v>178</v>
      </c>
      <c r="AK52">
        <f t="shared" si="3"/>
        <v>22</v>
      </c>
      <c r="AL52" s="15">
        <f t="shared" ca="1" si="4"/>
        <v>28658</v>
      </c>
      <c r="AM52" s="15">
        <f t="shared" ca="1" si="5"/>
        <v>3542</v>
      </c>
    </row>
    <row r="53" spans="1:39">
      <c r="A53" s="27"/>
      <c r="B53" t="s">
        <v>70</v>
      </c>
      <c r="C53">
        <f t="shared" ca="1" si="13"/>
        <v>9</v>
      </c>
      <c r="D53">
        <f t="shared" ca="1" si="13"/>
        <v>8</v>
      </c>
      <c r="E53">
        <f t="shared" ca="1" si="13"/>
        <v>3</v>
      </c>
      <c r="F53">
        <f t="shared" ca="1" si="13"/>
        <v>2</v>
      </c>
      <c r="G53">
        <f t="shared" ca="1" si="13"/>
        <v>9</v>
      </c>
      <c r="H53">
        <f t="shared" ca="1" si="13"/>
        <v>8</v>
      </c>
      <c r="I53">
        <f t="shared" ca="1" si="13"/>
        <v>4</v>
      </c>
      <c r="J53">
        <f t="shared" ca="1" si="13"/>
        <v>6</v>
      </c>
      <c r="K53">
        <f t="shared" ca="1" si="13"/>
        <v>3</v>
      </c>
      <c r="L53">
        <f t="shared" ca="1" si="13"/>
        <v>7</v>
      </c>
      <c r="M53">
        <f t="shared" ca="1" si="13"/>
        <v>7</v>
      </c>
      <c r="N53">
        <f t="shared" ca="1" si="13"/>
        <v>3</v>
      </c>
      <c r="O53">
        <f t="shared" ca="1" si="13"/>
        <v>2</v>
      </c>
      <c r="P53">
        <f t="shared" ca="1" si="13"/>
        <v>9</v>
      </c>
      <c r="Q53">
        <f t="shared" ca="1" si="13"/>
        <v>6</v>
      </c>
      <c r="R53">
        <f t="shared" ca="1" si="13"/>
        <v>8</v>
      </c>
      <c r="S53">
        <f t="shared" ca="1" si="12"/>
        <v>6</v>
      </c>
      <c r="T53">
        <f t="shared" ca="1" si="12"/>
        <v>10</v>
      </c>
      <c r="U53">
        <f t="shared" ca="1" si="12"/>
        <v>6</v>
      </c>
      <c r="V53">
        <f t="shared" ca="1" si="12"/>
        <v>2</v>
      </c>
      <c r="W53">
        <f t="shared" ca="1" si="12"/>
        <v>10</v>
      </c>
      <c r="X53">
        <f t="shared" ca="1" si="12"/>
        <v>5</v>
      </c>
      <c r="Y53">
        <f t="shared" ca="1" si="12"/>
        <v>9</v>
      </c>
      <c r="Z53">
        <f t="shared" ca="1" si="12"/>
        <v>4</v>
      </c>
      <c r="AA53">
        <f t="shared" ca="1" si="12"/>
        <v>3</v>
      </c>
      <c r="AB53">
        <f t="shared" ca="1" si="12"/>
        <v>2</v>
      </c>
      <c r="AC53">
        <f t="shared" ca="1" si="12"/>
        <v>2</v>
      </c>
      <c r="AD53">
        <f t="shared" ca="1" si="12"/>
        <v>6</v>
      </c>
      <c r="AE53">
        <f t="shared" ca="1" si="12"/>
        <v>10</v>
      </c>
      <c r="AF53">
        <f t="shared" ca="1" si="12"/>
        <v>6</v>
      </c>
      <c r="AH53" s="25">
        <f t="shared" ca="1" si="6"/>
        <v>175</v>
      </c>
      <c r="AI53">
        <v>182</v>
      </c>
      <c r="AJ53">
        <v>225</v>
      </c>
      <c r="AK53">
        <f t="shared" si="3"/>
        <v>43</v>
      </c>
      <c r="AL53" s="15">
        <f t="shared" ca="1" si="4"/>
        <v>39375</v>
      </c>
      <c r="AM53" s="15">
        <f t="shared" ca="1" si="5"/>
        <v>7525</v>
      </c>
    </row>
    <row r="54" spans="1:39">
      <c r="A54" s="27"/>
      <c r="B54" t="s">
        <v>71</v>
      </c>
      <c r="C54">
        <f t="shared" ca="1" si="13"/>
        <v>8</v>
      </c>
      <c r="D54">
        <f t="shared" ca="1" si="13"/>
        <v>2</v>
      </c>
      <c r="E54">
        <f t="shared" ca="1" si="13"/>
        <v>7</v>
      </c>
      <c r="F54">
        <f t="shared" ca="1" si="13"/>
        <v>6</v>
      </c>
      <c r="G54">
        <f t="shared" ca="1" si="13"/>
        <v>4</v>
      </c>
      <c r="H54">
        <f t="shared" ca="1" si="13"/>
        <v>1</v>
      </c>
      <c r="I54">
        <f t="shared" ca="1" si="13"/>
        <v>6</v>
      </c>
      <c r="J54">
        <f t="shared" ca="1" si="13"/>
        <v>7</v>
      </c>
      <c r="K54">
        <f t="shared" ca="1" si="13"/>
        <v>10</v>
      </c>
      <c r="L54">
        <f t="shared" ca="1" si="13"/>
        <v>5</v>
      </c>
      <c r="M54">
        <f t="shared" ca="1" si="13"/>
        <v>3</v>
      </c>
      <c r="N54">
        <f t="shared" ca="1" si="13"/>
        <v>10</v>
      </c>
      <c r="O54">
        <f t="shared" ca="1" si="13"/>
        <v>3</v>
      </c>
      <c r="P54">
        <f t="shared" ca="1" si="13"/>
        <v>8</v>
      </c>
      <c r="Q54">
        <f t="shared" ca="1" si="13"/>
        <v>5</v>
      </c>
      <c r="R54">
        <f t="shared" ca="1" si="13"/>
        <v>1</v>
      </c>
      <c r="S54">
        <f t="shared" ca="1" si="12"/>
        <v>4</v>
      </c>
      <c r="T54">
        <f t="shared" ca="1" si="12"/>
        <v>7</v>
      </c>
      <c r="U54">
        <f t="shared" ca="1" si="12"/>
        <v>3</v>
      </c>
      <c r="V54">
        <f t="shared" ca="1" si="12"/>
        <v>10</v>
      </c>
      <c r="W54">
        <f t="shared" ca="1" si="12"/>
        <v>5</v>
      </c>
      <c r="X54">
        <f t="shared" ca="1" si="12"/>
        <v>10</v>
      </c>
      <c r="Y54">
        <f t="shared" ca="1" si="12"/>
        <v>9</v>
      </c>
      <c r="Z54">
        <f t="shared" ca="1" si="12"/>
        <v>6</v>
      </c>
      <c r="AA54">
        <f t="shared" ca="1" si="12"/>
        <v>6</v>
      </c>
      <c r="AB54">
        <f t="shared" ca="1" si="12"/>
        <v>10</v>
      </c>
      <c r="AC54">
        <f t="shared" ca="1" si="12"/>
        <v>4</v>
      </c>
      <c r="AD54">
        <f t="shared" ca="1" si="12"/>
        <v>9</v>
      </c>
      <c r="AE54">
        <f t="shared" ca="1" si="12"/>
        <v>6</v>
      </c>
      <c r="AF54">
        <f t="shared" ca="1" si="12"/>
        <v>2</v>
      </c>
      <c r="AH54" s="25">
        <f t="shared" ca="1" si="6"/>
        <v>177</v>
      </c>
      <c r="AI54">
        <v>23</v>
      </c>
      <c r="AJ54">
        <v>35</v>
      </c>
      <c r="AK54">
        <f t="shared" si="3"/>
        <v>12</v>
      </c>
      <c r="AL54" s="15">
        <f t="shared" ca="1" si="4"/>
        <v>6195</v>
      </c>
      <c r="AM54" s="15">
        <f t="shared" ca="1" si="5"/>
        <v>2124</v>
      </c>
    </row>
    <row r="55" spans="1:39">
      <c r="A55" s="27"/>
      <c r="B55" t="s">
        <v>72</v>
      </c>
      <c r="C55">
        <f t="shared" ca="1" si="13"/>
        <v>6</v>
      </c>
      <c r="D55">
        <f t="shared" ca="1" si="13"/>
        <v>8</v>
      </c>
      <c r="E55">
        <f t="shared" ca="1" si="13"/>
        <v>5</v>
      </c>
      <c r="F55">
        <f t="shared" ca="1" si="13"/>
        <v>3</v>
      </c>
      <c r="G55">
        <f t="shared" ca="1" si="13"/>
        <v>4</v>
      </c>
      <c r="H55">
        <f t="shared" ca="1" si="13"/>
        <v>8</v>
      </c>
      <c r="I55">
        <f t="shared" ca="1" si="13"/>
        <v>6</v>
      </c>
      <c r="J55">
        <f t="shared" ca="1" si="13"/>
        <v>9</v>
      </c>
      <c r="K55">
        <f t="shared" ca="1" si="13"/>
        <v>4</v>
      </c>
      <c r="L55">
        <f t="shared" ca="1" si="13"/>
        <v>8</v>
      </c>
      <c r="M55">
        <f t="shared" ca="1" si="13"/>
        <v>3</v>
      </c>
      <c r="N55">
        <f t="shared" ca="1" si="13"/>
        <v>2</v>
      </c>
      <c r="O55">
        <f t="shared" ca="1" si="13"/>
        <v>6</v>
      </c>
      <c r="P55">
        <f t="shared" ca="1" si="13"/>
        <v>4</v>
      </c>
      <c r="Q55">
        <f t="shared" ca="1" si="13"/>
        <v>9</v>
      </c>
      <c r="R55">
        <f t="shared" ca="1" si="13"/>
        <v>9</v>
      </c>
      <c r="S55">
        <f t="shared" ca="1" si="12"/>
        <v>6</v>
      </c>
      <c r="T55">
        <f t="shared" ca="1" si="12"/>
        <v>10</v>
      </c>
      <c r="U55">
        <f t="shared" ca="1" si="12"/>
        <v>10</v>
      </c>
      <c r="V55">
        <f t="shared" ca="1" si="12"/>
        <v>10</v>
      </c>
      <c r="W55">
        <f t="shared" ca="1" si="12"/>
        <v>7</v>
      </c>
      <c r="X55">
        <f t="shared" ca="1" si="12"/>
        <v>7</v>
      </c>
      <c r="Y55">
        <f t="shared" ca="1" si="12"/>
        <v>2</v>
      </c>
      <c r="Z55">
        <f t="shared" ca="1" si="12"/>
        <v>6</v>
      </c>
      <c r="AA55">
        <f t="shared" ca="1" si="12"/>
        <v>9</v>
      </c>
      <c r="AB55">
        <f t="shared" ca="1" si="12"/>
        <v>5</v>
      </c>
      <c r="AC55">
        <f t="shared" ca="1" si="12"/>
        <v>7</v>
      </c>
      <c r="AD55">
        <f t="shared" ca="1" si="12"/>
        <v>10</v>
      </c>
      <c r="AE55">
        <f t="shared" ca="1" si="12"/>
        <v>9</v>
      </c>
      <c r="AF55">
        <f t="shared" ca="1" si="12"/>
        <v>6</v>
      </c>
      <c r="AH55" s="25">
        <f t="shared" ca="1" si="6"/>
        <v>198</v>
      </c>
      <c r="AI55">
        <v>205</v>
      </c>
      <c r="AJ55">
        <v>260</v>
      </c>
      <c r="AK55">
        <f t="shared" si="3"/>
        <v>55</v>
      </c>
      <c r="AL55" s="15">
        <f t="shared" ca="1" si="4"/>
        <v>51480</v>
      </c>
      <c r="AM55" s="15">
        <f t="shared" ca="1" si="5"/>
        <v>10890</v>
      </c>
    </row>
    <row r="56" spans="1:39">
      <c r="A56" s="27"/>
      <c r="B56" t="s">
        <v>73</v>
      </c>
      <c r="C56">
        <f t="shared" ca="1" si="13"/>
        <v>5</v>
      </c>
      <c r="D56">
        <f t="shared" ca="1" si="13"/>
        <v>2</v>
      </c>
      <c r="E56">
        <f t="shared" ca="1" si="13"/>
        <v>8</v>
      </c>
      <c r="F56">
        <f t="shared" ca="1" si="13"/>
        <v>5</v>
      </c>
      <c r="G56">
        <f t="shared" ca="1" si="13"/>
        <v>3</v>
      </c>
      <c r="H56">
        <f t="shared" ca="1" si="13"/>
        <v>10</v>
      </c>
      <c r="I56">
        <f t="shared" ca="1" si="13"/>
        <v>6</v>
      </c>
      <c r="J56">
        <f t="shared" ca="1" si="13"/>
        <v>5</v>
      </c>
      <c r="K56">
        <f t="shared" ca="1" si="13"/>
        <v>4</v>
      </c>
      <c r="L56">
        <f t="shared" ca="1" si="13"/>
        <v>7</v>
      </c>
      <c r="M56">
        <f t="shared" ca="1" si="13"/>
        <v>10</v>
      </c>
      <c r="N56">
        <f t="shared" ca="1" si="13"/>
        <v>1</v>
      </c>
      <c r="O56">
        <f t="shared" ca="1" si="13"/>
        <v>6</v>
      </c>
      <c r="P56">
        <f t="shared" ca="1" si="13"/>
        <v>6</v>
      </c>
      <c r="Q56">
        <f t="shared" ca="1" si="13"/>
        <v>1</v>
      </c>
      <c r="R56">
        <f t="shared" ca="1" si="13"/>
        <v>9</v>
      </c>
      <c r="S56">
        <f t="shared" ca="1" si="12"/>
        <v>2</v>
      </c>
      <c r="T56">
        <f t="shared" ca="1" si="12"/>
        <v>1</v>
      </c>
      <c r="U56">
        <f t="shared" ca="1" si="12"/>
        <v>9</v>
      </c>
      <c r="V56">
        <f t="shared" ca="1" si="12"/>
        <v>8</v>
      </c>
      <c r="W56">
        <f t="shared" ca="1" si="12"/>
        <v>7</v>
      </c>
      <c r="X56">
        <f t="shared" ca="1" si="12"/>
        <v>2</v>
      </c>
      <c r="Y56">
        <f t="shared" ca="1" si="12"/>
        <v>10</v>
      </c>
      <c r="Z56">
        <f t="shared" ca="1" si="12"/>
        <v>3</v>
      </c>
      <c r="AA56">
        <f t="shared" ca="1" si="12"/>
        <v>4</v>
      </c>
      <c r="AB56">
        <f t="shared" ca="1" si="12"/>
        <v>5</v>
      </c>
      <c r="AC56">
        <f t="shared" ca="1" si="12"/>
        <v>9</v>
      </c>
      <c r="AD56">
        <f t="shared" ca="1" si="12"/>
        <v>2</v>
      </c>
      <c r="AE56">
        <f t="shared" ca="1" si="12"/>
        <v>3</v>
      </c>
      <c r="AF56">
        <f t="shared" ca="1" si="12"/>
        <v>3</v>
      </c>
      <c r="AH56" s="25">
        <f t="shared" ca="1" si="6"/>
        <v>156</v>
      </c>
      <c r="AI56">
        <v>325</v>
      </c>
      <c r="AJ56">
        <v>358</v>
      </c>
      <c r="AK56">
        <f t="shared" si="3"/>
        <v>33</v>
      </c>
      <c r="AL56" s="15">
        <f t="shared" ca="1" si="4"/>
        <v>55848</v>
      </c>
      <c r="AM56" s="15">
        <f t="shared" ca="1" si="5"/>
        <v>5148</v>
      </c>
    </row>
    <row r="57" spans="1:39">
      <c r="A57" s="27"/>
      <c r="B57" t="s">
        <v>74</v>
      </c>
      <c r="C57">
        <f t="shared" ca="1" si="13"/>
        <v>5</v>
      </c>
      <c r="D57">
        <f t="shared" ca="1" si="13"/>
        <v>8</v>
      </c>
      <c r="E57">
        <f t="shared" ca="1" si="13"/>
        <v>5</v>
      </c>
      <c r="F57">
        <f t="shared" ca="1" si="13"/>
        <v>3</v>
      </c>
      <c r="G57">
        <f t="shared" ca="1" si="13"/>
        <v>3</v>
      </c>
      <c r="H57">
        <f t="shared" ca="1" si="13"/>
        <v>9</v>
      </c>
      <c r="I57">
        <f t="shared" ca="1" si="13"/>
        <v>8</v>
      </c>
      <c r="J57">
        <f t="shared" ca="1" si="13"/>
        <v>8</v>
      </c>
      <c r="K57">
        <f t="shared" ca="1" si="13"/>
        <v>1</v>
      </c>
      <c r="L57">
        <f t="shared" ca="1" si="13"/>
        <v>1</v>
      </c>
      <c r="M57">
        <f t="shared" ca="1" si="13"/>
        <v>3</v>
      </c>
      <c r="N57">
        <f t="shared" ca="1" si="13"/>
        <v>1</v>
      </c>
      <c r="O57">
        <f t="shared" ca="1" si="13"/>
        <v>4</v>
      </c>
      <c r="P57">
        <f t="shared" ca="1" si="13"/>
        <v>7</v>
      </c>
      <c r="Q57">
        <f t="shared" ca="1" si="13"/>
        <v>2</v>
      </c>
      <c r="R57">
        <f t="shared" ca="1" si="13"/>
        <v>4</v>
      </c>
      <c r="S57">
        <f t="shared" ca="1" si="12"/>
        <v>9</v>
      </c>
      <c r="T57">
        <f t="shared" ca="1" si="12"/>
        <v>7</v>
      </c>
      <c r="U57">
        <f t="shared" ca="1" si="12"/>
        <v>9</v>
      </c>
      <c r="V57">
        <f t="shared" ca="1" si="12"/>
        <v>8</v>
      </c>
      <c r="W57">
        <f t="shared" ca="1" si="12"/>
        <v>7</v>
      </c>
      <c r="X57">
        <f t="shared" ca="1" si="12"/>
        <v>4</v>
      </c>
      <c r="Y57">
        <f t="shared" ca="1" si="12"/>
        <v>9</v>
      </c>
      <c r="Z57">
        <f t="shared" ca="1" si="12"/>
        <v>1</v>
      </c>
      <c r="AA57">
        <f t="shared" ca="1" si="12"/>
        <v>1</v>
      </c>
      <c r="AB57">
        <f t="shared" ca="1" si="12"/>
        <v>8</v>
      </c>
      <c r="AC57">
        <f t="shared" ca="1" si="12"/>
        <v>2</v>
      </c>
      <c r="AD57">
        <f t="shared" ca="1" si="12"/>
        <v>9</v>
      </c>
      <c r="AE57">
        <f t="shared" ca="1" si="12"/>
        <v>5</v>
      </c>
      <c r="AF57">
        <f t="shared" ca="1" si="12"/>
        <v>2</v>
      </c>
      <c r="AH57" s="25">
        <f t="shared" ca="1" si="6"/>
        <v>153</v>
      </c>
      <c r="AI57">
        <v>340</v>
      </c>
      <c r="AJ57">
        <v>380</v>
      </c>
      <c r="AK57">
        <f t="shared" si="3"/>
        <v>40</v>
      </c>
      <c r="AL57" s="15">
        <f t="shared" ca="1" si="4"/>
        <v>58140</v>
      </c>
      <c r="AM57" s="15">
        <f t="shared" ca="1" si="5"/>
        <v>6120</v>
      </c>
    </row>
    <row r="58" spans="1:39">
      <c r="A58" s="27"/>
    </row>
    <row r="59" spans="1:39">
      <c r="A59" s="27"/>
    </row>
    <row r="60" spans="1:39">
      <c r="A60" s="27"/>
    </row>
    <row r="61" spans="1:39">
      <c r="A61" s="27"/>
    </row>
    <row r="62" spans="1:39">
      <c r="A62" s="27"/>
    </row>
    <row r="63" spans="1:39">
      <c r="A63" s="27"/>
    </row>
    <row r="64" spans="1:39">
      <c r="A64" s="27"/>
    </row>
    <row r="65" spans="1:1">
      <c r="A65" s="27"/>
    </row>
    <row r="66" spans="1:1">
      <c r="A66" s="27"/>
    </row>
    <row r="67" spans="1:1">
      <c r="A67" s="27"/>
    </row>
    <row r="68" spans="1:1">
      <c r="A68" s="27"/>
    </row>
    <row r="69" spans="1:1">
      <c r="A69" s="27"/>
    </row>
    <row r="70" spans="1:1">
      <c r="A70" s="27"/>
    </row>
    <row r="71" spans="1:1">
      <c r="A71" s="27"/>
    </row>
    <row r="72" spans="1:1">
      <c r="A72" s="27"/>
    </row>
    <row r="73" spans="1:1">
      <c r="A73" s="27"/>
    </row>
    <row r="74" spans="1:1">
      <c r="A74" s="27"/>
    </row>
    <row r="75" spans="1:1">
      <c r="A75" s="27"/>
    </row>
    <row r="76" spans="1:1">
      <c r="A76" s="27"/>
    </row>
    <row r="77" spans="1:1">
      <c r="A77" s="27"/>
    </row>
    <row r="78" spans="1:1">
      <c r="A78" s="27"/>
    </row>
    <row r="79" spans="1:1">
      <c r="A79" s="27"/>
    </row>
    <row r="80" spans="1:1">
      <c r="A80" s="27"/>
    </row>
    <row r="81" spans="1:1">
      <c r="A81" s="27"/>
    </row>
    <row r="82" spans="1:1">
      <c r="A82" s="27"/>
    </row>
    <row r="83" spans="1:1">
      <c r="A83" s="27"/>
    </row>
    <row r="84" spans="1:1">
      <c r="A84" s="27"/>
    </row>
    <row r="85" spans="1:1">
      <c r="A85" s="27"/>
    </row>
    <row r="86" spans="1:1">
      <c r="A86" s="27"/>
    </row>
    <row r="87" spans="1:1">
      <c r="A87" s="27"/>
    </row>
  </sheetData>
  <mergeCells count="9">
    <mergeCell ref="A1:A29"/>
    <mergeCell ref="A30:A58"/>
    <mergeCell ref="A59:A87"/>
    <mergeCell ref="AM1:AM2"/>
    <mergeCell ref="AH1:AH2"/>
    <mergeCell ref="AI1:AI2"/>
    <mergeCell ref="AJ1:AJ2"/>
    <mergeCell ref="AK1:AK2"/>
    <mergeCell ref="AL1:AL2"/>
  </mergeCells>
  <dataValidations count="2">
    <dataValidation type="list" allowBlank="1" showInputMessage="1" showErrorMessage="1" sqref="AP2" xr:uid="{00000000-0002-0000-0A00-000000000000}">
      <formula1>"2020,2021,2022,2023,2024,2025,2026,2027,2028,2029,2030"</formula1>
    </dataValidation>
    <dataValidation type="list" allowBlank="1" showInputMessage="1" showErrorMessage="1" sqref="AP1" xr:uid="{00000000-0002-0000-0A00-000001000000}">
      <formula1>"January,February,March,Aprail,May,June,July,August,September,October,November,December"</formula1>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1"/>
  <dimension ref="A1:AP87"/>
  <sheetViews>
    <sheetView workbookViewId="0">
      <pane xSplit="1" topLeftCell="T1" activePane="topRight" state="frozenSplit"/>
      <selection pane="topRight" activeCell="AP17" sqref="AP17"/>
    </sheetView>
  </sheetViews>
  <sheetFormatPr defaultRowHeight="15"/>
  <cols>
    <col min="1" max="1" width="16.85546875" bestFit="1" customWidth="1"/>
    <col min="2" max="2" width="13.7109375" customWidth="1"/>
    <col min="3" max="3" width="4.28515625" customWidth="1"/>
    <col min="4" max="4" width="5.28515625" customWidth="1"/>
    <col min="5" max="5" width="4.28515625" customWidth="1"/>
    <col min="6" max="6" width="3.28515625" customWidth="1"/>
    <col min="7" max="7" width="3.7109375" customWidth="1"/>
    <col min="8" max="8" width="4.28515625" customWidth="1"/>
    <col min="9" max="9" width="5.140625" customWidth="1"/>
    <col min="10" max="10" width="4.28515625" customWidth="1"/>
    <col min="11" max="11" width="5.28515625" customWidth="1"/>
    <col min="12" max="12" width="4.28515625" customWidth="1"/>
    <col min="13" max="13" width="3.28515625" customWidth="1"/>
    <col min="14" max="14" width="3.7109375" customWidth="1"/>
    <col min="15" max="15" width="4.28515625" customWidth="1"/>
    <col min="16" max="16" width="5.140625" customWidth="1"/>
    <col min="17" max="17" width="4.28515625" customWidth="1"/>
    <col min="18" max="18" width="5.28515625" customWidth="1"/>
    <col min="19" max="19" width="4.28515625" customWidth="1"/>
    <col min="20" max="20" width="3.28515625" customWidth="1"/>
    <col min="21" max="21" width="3.7109375" customWidth="1"/>
    <col min="22" max="22" width="4.28515625" customWidth="1"/>
    <col min="23" max="23" width="5.140625" customWidth="1"/>
    <col min="24" max="24" width="4.28515625" customWidth="1"/>
    <col min="25" max="25" width="5.28515625" customWidth="1"/>
    <col min="26" max="26" width="4.28515625" customWidth="1"/>
    <col min="27" max="27" width="3.28515625" customWidth="1"/>
    <col min="28" max="28" width="3.7109375" customWidth="1"/>
    <col min="29" max="29" width="4.28515625" customWidth="1"/>
    <col min="30" max="30" width="5.140625" customWidth="1"/>
    <col min="31" max="31" width="4.28515625" customWidth="1"/>
    <col min="32" max="32" width="5.28515625" customWidth="1"/>
    <col min="33" max="33" width="4.28515625" customWidth="1"/>
    <col min="34" max="34" width="6.5703125" customWidth="1"/>
    <col min="35" max="35" width="12.42578125" customWidth="1"/>
    <col min="36" max="36" width="10.7109375" customWidth="1"/>
    <col min="41" max="41" width="15.28515625" bestFit="1" customWidth="1"/>
    <col min="42" max="42" width="12" customWidth="1"/>
  </cols>
  <sheetData>
    <row r="1" spans="1:42">
      <c r="A1" s="27"/>
      <c r="C1" s="8" t="str">
        <f>TEXT(C2,"DDD")</f>
        <v>Tue</v>
      </c>
      <c r="D1" s="8" t="str">
        <f t="shared" ref="D1:AG1" si="0">TEXT(D2,"DDD")</f>
        <v>Wed</v>
      </c>
      <c r="E1" s="8" t="str">
        <f t="shared" si="0"/>
        <v>Thu</v>
      </c>
      <c r="F1" s="8" t="str">
        <f t="shared" si="0"/>
        <v>Fri</v>
      </c>
      <c r="G1" s="8" t="str">
        <f t="shared" si="0"/>
        <v>Sat</v>
      </c>
      <c r="H1" s="8" t="str">
        <f t="shared" si="0"/>
        <v>Sun</v>
      </c>
      <c r="I1" s="8" t="str">
        <f t="shared" si="0"/>
        <v>Mon</v>
      </c>
      <c r="J1" s="8" t="str">
        <f t="shared" si="0"/>
        <v>Tue</v>
      </c>
      <c r="K1" s="8" t="str">
        <f t="shared" si="0"/>
        <v>Wed</v>
      </c>
      <c r="L1" s="8" t="str">
        <f t="shared" si="0"/>
        <v>Thu</v>
      </c>
      <c r="M1" s="8" t="str">
        <f t="shared" si="0"/>
        <v>Fri</v>
      </c>
      <c r="N1" s="8" t="str">
        <f t="shared" si="0"/>
        <v>Sat</v>
      </c>
      <c r="O1" s="8" t="str">
        <f t="shared" si="0"/>
        <v>Sun</v>
      </c>
      <c r="P1" s="8" t="str">
        <f t="shared" si="0"/>
        <v>Mon</v>
      </c>
      <c r="Q1" s="8" t="str">
        <f t="shared" si="0"/>
        <v>Tue</v>
      </c>
      <c r="R1" s="8" t="str">
        <f t="shared" si="0"/>
        <v>Wed</v>
      </c>
      <c r="S1" s="8" t="str">
        <f t="shared" si="0"/>
        <v>Thu</v>
      </c>
      <c r="T1" s="8" t="str">
        <f t="shared" si="0"/>
        <v>Fri</v>
      </c>
      <c r="U1" s="8" t="str">
        <f t="shared" si="0"/>
        <v>Sat</v>
      </c>
      <c r="V1" s="8" t="str">
        <f t="shared" si="0"/>
        <v>Sun</v>
      </c>
      <c r="W1" s="8" t="str">
        <f t="shared" si="0"/>
        <v>Mon</v>
      </c>
      <c r="X1" s="8" t="str">
        <f t="shared" si="0"/>
        <v>Tue</v>
      </c>
      <c r="Y1" s="8" t="str">
        <f t="shared" si="0"/>
        <v>Wed</v>
      </c>
      <c r="Z1" s="8" t="str">
        <f t="shared" si="0"/>
        <v>Thu</v>
      </c>
      <c r="AA1" s="8" t="str">
        <f t="shared" si="0"/>
        <v>Fri</v>
      </c>
      <c r="AB1" s="8" t="str">
        <f t="shared" si="0"/>
        <v>Sat</v>
      </c>
      <c r="AC1" s="8" t="str">
        <f t="shared" si="0"/>
        <v>Sun</v>
      </c>
      <c r="AD1" s="8" t="str">
        <f t="shared" si="0"/>
        <v>Mon</v>
      </c>
      <c r="AE1" s="8" t="str">
        <f t="shared" si="0"/>
        <v>Tue</v>
      </c>
      <c r="AF1" s="8" t="str">
        <f t="shared" si="0"/>
        <v>Wed</v>
      </c>
      <c r="AG1" s="8" t="str">
        <f t="shared" si="0"/>
        <v>Thu</v>
      </c>
      <c r="AH1" s="28" t="s">
        <v>75</v>
      </c>
      <c r="AI1" s="28" t="s">
        <v>76</v>
      </c>
      <c r="AJ1" s="30" t="s">
        <v>77</v>
      </c>
      <c r="AK1" s="28" t="s">
        <v>78</v>
      </c>
      <c r="AL1" s="29" t="s">
        <v>79</v>
      </c>
      <c r="AM1" s="29" t="s">
        <v>80</v>
      </c>
      <c r="AO1" s="5" t="s">
        <v>81</v>
      </c>
      <c r="AP1" s="10" t="s">
        <v>103</v>
      </c>
    </row>
    <row r="2" spans="1:42">
      <c r="A2" s="27"/>
      <c r="B2" s="1" t="s">
        <v>0</v>
      </c>
      <c r="C2" s="9">
        <f>IF(COLUMNS($C$2:C2)&gt;DAY($AP$4),"",$AP$3+COLUMNS($C$2:C2)-1)</f>
        <v>45566</v>
      </c>
      <c r="D2" s="9">
        <f>IF(COLUMNS($C$2:D2)&gt;DAY($AP$4),"",$AP$3+COLUMNS($C$2:D2)-1)</f>
        <v>45567</v>
      </c>
      <c r="E2" s="9">
        <f>IF(COLUMNS($C$2:E2)&gt;DAY($AP$4),"",$AP$3+COLUMNS($C$2:E2)-1)</f>
        <v>45568</v>
      </c>
      <c r="F2" s="9">
        <f>IF(COLUMNS($C$2:F2)&gt;DAY($AP$4),"",$AP$3+COLUMNS($C$2:F2)-1)</f>
        <v>45569</v>
      </c>
      <c r="G2" s="9">
        <f>IF(COLUMNS($C$2:G2)&gt;DAY($AP$4),"",$AP$3+COLUMNS($C$2:G2)-1)</f>
        <v>45570</v>
      </c>
      <c r="H2" s="9">
        <f>IF(COLUMNS($C$2:H2)&gt;DAY($AP$4),"",$AP$3+COLUMNS($C$2:H2)-1)</f>
        <v>45571</v>
      </c>
      <c r="I2" s="9">
        <f>IF(COLUMNS($C$2:I2)&gt;DAY($AP$4),"",$AP$3+COLUMNS($C$2:I2)-1)</f>
        <v>45572</v>
      </c>
      <c r="J2" s="9">
        <f>IF(COLUMNS($C$2:J2)&gt;DAY($AP$4),"",$AP$3+COLUMNS($C$2:J2)-1)</f>
        <v>45573</v>
      </c>
      <c r="K2" s="9">
        <f>IF(COLUMNS($C$2:K2)&gt;DAY($AP$4),"",$AP$3+COLUMNS($C$2:K2)-1)</f>
        <v>45574</v>
      </c>
      <c r="L2" s="9">
        <f>IF(COLUMNS($C$2:L2)&gt;DAY($AP$4),"",$AP$3+COLUMNS($C$2:L2)-1)</f>
        <v>45575</v>
      </c>
      <c r="M2" s="9">
        <f>IF(COLUMNS($C$2:M2)&gt;DAY($AP$4),"",$AP$3+COLUMNS($C$2:M2)-1)</f>
        <v>45576</v>
      </c>
      <c r="N2" s="9">
        <f>IF(COLUMNS($C$2:N2)&gt;DAY($AP$4),"",$AP$3+COLUMNS($C$2:N2)-1)</f>
        <v>45577</v>
      </c>
      <c r="O2" s="9">
        <f>IF(COLUMNS($C$2:O2)&gt;DAY($AP$4),"",$AP$3+COLUMNS($C$2:O2)-1)</f>
        <v>45578</v>
      </c>
      <c r="P2" s="9">
        <f>IF(COLUMNS($C$2:P2)&gt;DAY($AP$4),"",$AP$3+COLUMNS($C$2:P2)-1)</f>
        <v>45579</v>
      </c>
      <c r="Q2" s="9">
        <f>IF(COLUMNS($C$2:Q2)&gt;DAY($AP$4),"",$AP$3+COLUMNS($C$2:Q2)-1)</f>
        <v>45580</v>
      </c>
      <c r="R2" s="9">
        <f>IF(COLUMNS($C$2:R2)&gt;DAY($AP$4),"",$AP$3+COLUMNS($C$2:R2)-1)</f>
        <v>45581</v>
      </c>
      <c r="S2" s="9">
        <f>IF(COLUMNS($C$2:S2)&gt;DAY($AP$4),"",$AP$3+COLUMNS($C$2:S2)-1)</f>
        <v>45582</v>
      </c>
      <c r="T2" s="9">
        <f>IF(COLUMNS($C$2:T2)&gt;DAY($AP$4),"",$AP$3+COLUMNS($C$2:T2)-1)</f>
        <v>45583</v>
      </c>
      <c r="U2" s="9">
        <f>IF(COLUMNS($C$2:U2)&gt;DAY($AP$4),"",$AP$3+COLUMNS($C$2:U2)-1)</f>
        <v>45584</v>
      </c>
      <c r="V2" s="9">
        <f>IF(COLUMNS($C$2:V2)&gt;DAY($AP$4),"",$AP$3+COLUMNS($C$2:V2)-1)</f>
        <v>45585</v>
      </c>
      <c r="W2" s="9">
        <f>IF(COLUMNS($C$2:W2)&gt;DAY($AP$4),"",$AP$3+COLUMNS($C$2:W2)-1)</f>
        <v>45586</v>
      </c>
      <c r="X2" s="9">
        <f>IF(COLUMNS($C$2:X2)&gt;DAY($AP$4),"",$AP$3+COLUMNS($C$2:X2)-1)</f>
        <v>45587</v>
      </c>
      <c r="Y2" s="9">
        <f>IF(COLUMNS($C$2:Y2)&gt;DAY($AP$4),"",$AP$3+COLUMNS($C$2:Y2)-1)</f>
        <v>45588</v>
      </c>
      <c r="Z2" s="9">
        <f>IF(COLUMNS($C$2:Z2)&gt;DAY($AP$4),"",$AP$3+COLUMNS($C$2:Z2)-1)</f>
        <v>45589</v>
      </c>
      <c r="AA2" s="9">
        <f>IF(COLUMNS($C$2:AA2)&gt;DAY($AP$4),"",$AP$3+COLUMNS($C$2:AA2)-1)</f>
        <v>45590</v>
      </c>
      <c r="AB2" s="9">
        <f>IF(COLUMNS($C$2:AB2)&gt;DAY($AP$4),"",$AP$3+COLUMNS($C$2:AB2)-1)</f>
        <v>45591</v>
      </c>
      <c r="AC2" s="9">
        <f>IF(COLUMNS($C$2:AC2)&gt;DAY($AP$4),"",$AP$3+COLUMNS($C$2:AC2)-1)</f>
        <v>45592</v>
      </c>
      <c r="AD2" s="9">
        <f>IF(COLUMNS($C$2:AD2)&gt;DAY($AP$4),"",$AP$3+COLUMNS($C$2:AD2)-1)</f>
        <v>45593</v>
      </c>
      <c r="AE2" s="9">
        <f>IF(COLUMNS($C$2:AE2)&gt;DAY($AP$4),"",$AP$3+COLUMNS($C$2:AE2)-1)</f>
        <v>45594</v>
      </c>
      <c r="AF2" s="9">
        <f>IF(COLUMNS($C$2:AF2)&gt;DAY($AP$4),"",$AP$3+COLUMNS($C$2:AF2)-1)</f>
        <v>45595</v>
      </c>
      <c r="AG2" s="9">
        <f>IF(COLUMNS($C$2:AG2)&gt;DAY($AP$4),"",$AP$3+COLUMNS($C$2:AG2)-1)</f>
        <v>45596</v>
      </c>
      <c r="AH2" s="28"/>
      <c r="AI2" s="28"/>
      <c r="AJ2" s="30"/>
      <c r="AK2" s="28"/>
      <c r="AL2" s="29"/>
      <c r="AM2" s="29"/>
      <c r="AO2" s="6" t="s">
        <v>83</v>
      </c>
      <c r="AP2" s="11">
        <v>2024</v>
      </c>
    </row>
    <row r="3" spans="1:42">
      <c r="A3" s="27"/>
      <c r="B3" t="s">
        <v>18</v>
      </c>
      <c r="C3">
        <v>2</v>
      </c>
      <c r="D3">
        <v>5</v>
      </c>
      <c r="E3">
        <v>7</v>
      </c>
      <c r="F3">
        <v>8</v>
      </c>
      <c r="G3">
        <v>6</v>
      </c>
      <c r="H3">
        <v>4</v>
      </c>
      <c r="I3">
        <v>9</v>
      </c>
      <c r="J3">
        <v>7</v>
      </c>
      <c r="K3">
        <v>5</v>
      </c>
      <c r="L3">
        <v>7</v>
      </c>
      <c r="M3">
        <v>9</v>
      </c>
      <c r="N3">
        <v>4</v>
      </c>
      <c r="O3">
        <v>3</v>
      </c>
      <c r="P3">
        <v>7</v>
      </c>
      <c r="AH3" s="25">
        <f>IF(SUM($C3:$AG3)&gt;0,SUM($C3:$AG3),"")</f>
        <v>83</v>
      </c>
      <c r="AI3">
        <v>40</v>
      </c>
      <c r="AJ3">
        <v>80</v>
      </c>
      <c r="AK3">
        <f>AJ3-AI3</f>
        <v>40</v>
      </c>
      <c r="AL3" s="15">
        <f>AJ3*AH3</f>
        <v>6640</v>
      </c>
      <c r="AM3" s="15">
        <f>IFERROR(AK3*AH3,"")</f>
        <v>3320</v>
      </c>
      <c r="AO3" s="7" t="s">
        <v>84</v>
      </c>
      <c r="AP3" s="4">
        <f>DATE(AP2,MONTH(AP1&amp;1),1)</f>
        <v>45566</v>
      </c>
    </row>
    <row r="4" spans="1:42">
      <c r="A4" s="27"/>
      <c r="B4" t="s">
        <v>20</v>
      </c>
      <c r="AH4" s="25" t="str">
        <f>IF(SUM($C4:$AG4)&gt;0,SUM($C4:$AG4),"")</f>
        <v/>
      </c>
      <c r="AI4">
        <v>7</v>
      </c>
      <c r="AJ4">
        <v>15</v>
      </c>
      <c r="AK4">
        <f t="shared" ref="AK4:AK57" si="1">AJ4-AI4</f>
        <v>8</v>
      </c>
      <c r="AL4" s="15" t="e">
        <f t="shared" ref="AL4:AL57" si="2">AJ4*AH4</f>
        <v>#VALUE!</v>
      </c>
      <c r="AM4" s="15" t="str">
        <f t="shared" ref="AM4:AM57" si="3">IFERROR(AK4*AH4,"")</f>
        <v/>
      </c>
      <c r="AO4" s="7" t="s">
        <v>85</v>
      </c>
      <c r="AP4" s="4">
        <f>EOMONTH(AP3,0)</f>
        <v>45596</v>
      </c>
    </row>
    <row r="5" spans="1:42">
      <c r="A5" s="27"/>
      <c r="B5" t="s">
        <v>21</v>
      </c>
      <c r="AH5" s="25" t="str">
        <f t="shared" ref="AH5:AH57" si="4">IF(SUM($C5:$AG5)&gt;0,SUM($C5:$AG5),"")</f>
        <v/>
      </c>
      <c r="AI5">
        <v>5</v>
      </c>
      <c r="AJ5">
        <v>10</v>
      </c>
      <c r="AK5">
        <f t="shared" si="1"/>
        <v>5</v>
      </c>
      <c r="AL5" s="15" t="e">
        <f t="shared" si="2"/>
        <v>#VALUE!</v>
      </c>
      <c r="AM5" s="15" t="str">
        <f t="shared" si="3"/>
        <v/>
      </c>
    </row>
    <row r="6" spans="1:42">
      <c r="A6" s="27"/>
      <c r="B6" t="s">
        <v>23</v>
      </c>
      <c r="AH6" s="25" t="str">
        <f t="shared" si="4"/>
        <v/>
      </c>
      <c r="AI6">
        <v>45</v>
      </c>
      <c r="AJ6">
        <v>80</v>
      </c>
      <c r="AK6">
        <f t="shared" si="1"/>
        <v>35</v>
      </c>
      <c r="AL6" s="15" t="e">
        <f t="shared" si="2"/>
        <v>#VALUE!</v>
      </c>
      <c r="AM6" s="15" t="str">
        <f t="shared" si="3"/>
        <v/>
      </c>
    </row>
    <row r="7" spans="1:42">
      <c r="A7" s="27"/>
      <c r="B7" t="s">
        <v>24</v>
      </c>
      <c r="AH7" s="25" t="str">
        <f t="shared" si="4"/>
        <v/>
      </c>
      <c r="AI7">
        <v>392</v>
      </c>
      <c r="AJ7">
        <v>420</v>
      </c>
      <c r="AK7">
        <f t="shared" si="1"/>
        <v>28</v>
      </c>
      <c r="AL7" s="15" t="e">
        <f t="shared" si="2"/>
        <v>#VALUE!</v>
      </c>
      <c r="AM7" s="15" t="str">
        <f t="shared" si="3"/>
        <v/>
      </c>
      <c r="AO7" s="1" t="s">
        <v>86</v>
      </c>
    </row>
    <row r="8" spans="1:42">
      <c r="A8" s="27"/>
      <c r="B8" t="s">
        <v>25</v>
      </c>
      <c r="AH8" s="25" t="str">
        <f t="shared" si="4"/>
        <v/>
      </c>
      <c r="AI8">
        <v>86</v>
      </c>
      <c r="AJ8">
        <v>100</v>
      </c>
      <c r="AK8">
        <f t="shared" si="1"/>
        <v>14</v>
      </c>
      <c r="AL8" s="15" t="e">
        <f t="shared" si="2"/>
        <v>#VALUE!</v>
      </c>
      <c r="AM8" s="15" t="str">
        <f t="shared" si="3"/>
        <v/>
      </c>
      <c r="AO8" t="s">
        <v>87</v>
      </c>
    </row>
    <row r="9" spans="1:42">
      <c r="A9" s="27"/>
      <c r="B9" t="s">
        <v>26</v>
      </c>
      <c r="AH9" s="25" t="str">
        <f t="shared" si="4"/>
        <v/>
      </c>
      <c r="AI9">
        <v>271</v>
      </c>
      <c r="AJ9">
        <v>300</v>
      </c>
      <c r="AK9">
        <f t="shared" si="1"/>
        <v>29</v>
      </c>
      <c r="AL9" s="15" t="e">
        <f t="shared" si="2"/>
        <v>#VALUE!</v>
      </c>
      <c r="AM9" s="15" t="str">
        <f t="shared" si="3"/>
        <v/>
      </c>
      <c r="AO9" t="s">
        <v>88</v>
      </c>
      <c r="AP9" s="13">
        <f>'Attendence (Oct)'!AL3</f>
        <v>35000</v>
      </c>
    </row>
    <row r="10" spans="1:42">
      <c r="A10" s="27"/>
      <c r="B10" t="s">
        <v>27</v>
      </c>
      <c r="AH10" s="25" t="str">
        <f t="shared" si="4"/>
        <v/>
      </c>
      <c r="AI10">
        <v>226</v>
      </c>
      <c r="AJ10">
        <v>250</v>
      </c>
      <c r="AK10">
        <f t="shared" si="1"/>
        <v>24</v>
      </c>
      <c r="AL10" s="15" t="e">
        <f t="shared" si="2"/>
        <v>#VALUE!</v>
      </c>
      <c r="AM10" s="15" t="str">
        <f t="shared" si="3"/>
        <v/>
      </c>
      <c r="AO10" t="s">
        <v>89</v>
      </c>
      <c r="AP10" s="13">
        <f>'Attendence (Oct)'!AL4</f>
        <v>10500</v>
      </c>
    </row>
    <row r="11" spans="1:42">
      <c r="A11" s="27"/>
      <c r="B11" t="s">
        <v>28</v>
      </c>
      <c r="AH11" s="25" t="str">
        <f t="shared" si="4"/>
        <v/>
      </c>
      <c r="AI11">
        <v>390</v>
      </c>
      <c r="AJ11">
        <v>450</v>
      </c>
      <c r="AK11">
        <f t="shared" si="1"/>
        <v>60</v>
      </c>
      <c r="AL11" s="15" t="e">
        <f t="shared" si="2"/>
        <v>#VALUE!</v>
      </c>
      <c r="AM11" s="15" t="str">
        <f t="shared" si="3"/>
        <v/>
      </c>
      <c r="AO11" t="s">
        <v>90</v>
      </c>
      <c r="AP11" s="13">
        <f>'Attendence (Oct)'!AL5</f>
        <v>12600</v>
      </c>
    </row>
    <row r="12" spans="1:42">
      <c r="A12" s="27"/>
      <c r="B12" t="s">
        <v>29</v>
      </c>
      <c r="AH12" s="25" t="str">
        <f t="shared" si="4"/>
        <v/>
      </c>
      <c r="AI12">
        <v>379</v>
      </c>
      <c r="AJ12">
        <v>430</v>
      </c>
      <c r="AK12">
        <f t="shared" si="1"/>
        <v>51</v>
      </c>
      <c r="AL12" s="15" t="e">
        <f t="shared" si="2"/>
        <v>#VALUE!</v>
      </c>
      <c r="AM12" s="15" t="str">
        <f t="shared" si="3"/>
        <v/>
      </c>
      <c r="AO12" t="s">
        <v>91</v>
      </c>
      <c r="AP12" s="13">
        <f>'Attendence (Oct)'!AL6</f>
        <v>7000</v>
      </c>
    </row>
    <row r="13" spans="1:42">
      <c r="A13" s="27"/>
      <c r="B13" t="s">
        <v>30</v>
      </c>
      <c r="AH13" s="25" t="str">
        <f t="shared" si="4"/>
        <v/>
      </c>
      <c r="AI13">
        <v>368</v>
      </c>
      <c r="AJ13">
        <v>435</v>
      </c>
      <c r="AK13">
        <f t="shared" si="1"/>
        <v>67</v>
      </c>
      <c r="AL13" s="15" t="e">
        <f t="shared" si="2"/>
        <v>#VALUE!</v>
      </c>
      <c r="AM13" s="15" t="str">
        <f t="shared" si="3"/>
        <v/>
      </c>
      <c r="AO13" t="s">
        <v>92</v>
      </c>
      <c r="AP13" s="13">
        <v>10000</v>
      </c>
    </row>
    <row r="14" spans="1:42">
      <c r="A14" s="27"/>
      <c r="B14" t="s">
        <v>31</v>
      </c>
      <c r="AH14" s="25" t="str">
        <f t="shared" si="4"/>
        <v/>
      </c>
      <c r="AI14">
        <v>88</v>
      </c>
      <c r="AJ14">
        <v>99</v>
      </c>
      <c r="AK14">
        <f t="shared" si="1"/>
        <v>11</v>
      </c>
      <c r="AL14" s="15" t="e">
        <f t="shared" si="2"/>
        <v>#VALUE!</v>
      </c>
      <c r="AM14" s="15" t="str">
        <f t="shared" si="3"/>
        <v/>
      </c>
      <c r="AO14" t="s">
        <v>93</v>
      </c>
      <c r="AP14" s="13">
        <v>2000</v>
      </c>
    </row>
    <row r="15" spans="1:42">
      <c r="A15" s="27"/>
      <c r="B15" t="s">
        <v>32</v>
      </c>
      <c r="AH15" s="25" t="str">
        <f t="shared" si="4"/>
        <v/>
      </c>
      <c r="AI15">
        <v>391</v>
      </c>
      <c r="AJ15">
        <v>500</v>
      </c>
      <c r="AK15">
        <f t="shared" si="1"/>
        <v>109</v>
      </c>
      <c r="AL15" s="15" t="e">
        <f t="shared" si="2"/>
        <v>#VALUE!</v>
      </c>
      <c r="AM15" s="15" t="str">
        <f t="shared" si="3"/>
        <v/>
      </c>
      <c r="AO15" t="s">
        <v>80</v>
      </c>
      <c r="AP15" s="13">
        <f>SUM(AM3:AM57)</f>
        <v>3320</v>
      </c>
    </row>
    <row r="16" spans="1:42">
      <c r="A16" s="27"/>
      <c r="B16" t="s">
        <v>33</v>
      </c>
      <c r="AH16" s="25" t="str">
        <f t="shared" si="4"/>
        <v/>
      </c>
      <c r="AI16">
        <v>261</v>
      </c>
      <c r="AJ16">
        <v>300</v>
      </c>
      <c r="AK16">
        <f t="shared" si="1"/>
        <v>39</v>
      </c>
      <c r="AL16" s="15" t="e">
        <f t="shared" si="2"/>
        <v>#VALUE!</v>
      </c>
      <c r="AM16" s="15" t="str">
        <f t="shared" si="3"/>
        <v/>
      </c>
      <c r="AO16" s="1" t="s">
        <v>94</v>
      </c>
      <c r="AP16" s="14">
        <f>AP15-(AP9+AP10+AP11+AP12+AP13+AP14)</f>
        <v>-73780</v>
      </c>
    </row>
    <row r="17" spans="1:39">
      <c r="A17" s="27"/>
      <c r="B17" t="s">
        <v>34</v>
      </c>
      <c r="AH17" s="25" t="str">
        <f t="shared" si="4"/>
        <v/>
      </c>
      <c r="AI17">
        <v>67</v>
      </c>
      <c r="AJ17">
        <v>99</v>
      </c>
      <c r="AK17">
        <f t="shared" si="1"/>
        <v>32</v>
      </c>
      <c r="AL17" s="15" t="e">
        <f t="shared" si="2"/>
        <v>#VALUE!</v>
      </c>
      <c r="AM17" s="15" t="str">
        <f t="shared" si="3"/>
        <v/>
      </c>
    </row>
    <row r="18" spans="1:39">
      <c r="A18" s="27"/>
      <c r="B18" t="s">
        <v>35</v>
      </c>
      <c r="AH18" s="25" t="str">
        <f t="shared" si="4"/>
        <v/>
      </c>
      <c r="AI18">
        <v>138</v>
      </c>
      <c r="AJ18">
        <v>150</v>
      </c>
      <c r="AK18">
        <f t="shared" si="1"/>
        <v>12</v>
      </c>
      <c r="AL18" s="15" t="e">
        <f t="shared" si="2"/>
        <v>#VALUE!</v>
      </c>
      <c r="AM18" s="15" t="str">
        <f t="shared" si="3"/>
        <v/>
      </c>
    </row>
    <row r="19" spans="1:39">
      <c r="A19" s="27"/>
      <c r="B19" t="s">
        <v>36</v>
      </c>
      <c r="AH19" s="25" t="str">
        <f t="shared" si="4"/>
        <v/>
      </c>
      <c r="AI19">
        <v>60</v>
      </c>
      <c r="AJ19">
        <v>80</v>
      </c>
      <c r="AK19">
        <f t="shared" si="1"/>
        <v>20</v>
      </c>
      <c r="AL19" s="15" t="e">
        <f t="shared" si="2"/>
        <v>#VALUE!</v>
      </c>
      <c r="AM19" s="15" t="str">
        <f t="shared" si="3"/>
        <v/>
      </c>
    </row>
    <row r="20" spans="1:39">
      <c r="A20" s="27"/>
      <c r="B20" t="s">
        <v>37</v>
      </c>
      <c r="AH20" s="25" t="str">
        <f t="shared" si="4"/>
        <v/>
      </c>
      <c r="AI20">
        <v>44</v>
      </c>
      <c r="AJ20">
        <v>50</v>
      </c>
      <c r="AK20">
        <f t="shared" si="1"/>
        <v>6</v>
      </c>
      <c r="AL20" s="15" t="e">
        <f t="shared" si="2"/>
        <v>#VALUE!</v>
      </c>
      <c r="AM20" s="15" t="str">
        <f t="shared" si="3"/>
        <v/>
      </c>
    </row>
    <row r="21" spans="1:39">
      <c r="A21" s="27"/>
      <c r="B21" t="s">
        <v>38</v>
      </c>
      <c r="AH21" s="25" t="str">
        <f t="shared" si="4"/>
        <v/>
      </c>
      <c r="AI21">
        <v>308</v>
      </c>
      <c r="AJ21">
        <v>320</v>
      </c>
      <c r="AK21">
        <f t="shared" si="1"/>
        <v>12</v>
      </c>
      <c r="AL21" s="15" t="e">
        <f t="shared" si="2"/>
        <v>#VALUE!</v>
      </c>
      <c r="AM21" s="15" t="str">
        <f t="shared" si="3"/>
        <v/>
      </c>
    </row>
    <row r="22" spans="1:39">
      <c r="A22" s="27"/>
      <c r="B22" t="s">
        <v>39</v>
      </c>
      <c r="AH22" s="25" t="str">
        <f t="shared" si="4"/>
        <v/>
      </c>
      <c r="AI22">
        <v>234</v>
      </c>
      <c r="AJ22">
        <v>250</v>
      </c>
      <c r="AK22">
        <f t="shared" si="1"/>
        <v>16</v>
      </c>
      <c r="AL22" s="15" t="e">
        <f t="shared" si="2"/>
        <v>#VALUE!</v>
      </c>
      <c r="AM22" s="15" t="str">
        <f t="shared" si="3"/>
        <v/>
      </c>
    </row>
    <row r="23" spans="1:39">
      <c r="A23" s="27"/>
      <c r="B23" t="s">
        <v>40</v>
      </c>
      <c r="AH23" s="25" t="str">
        <f t="shared" si="4"/>
        <v/>
      </c>
      <c r="AI23">
        <v>121</v>
      </c>
      <c r="AJ23">
        <v>140</v>
      </c>
      <c r="AK23">
        <f t="shared" si="1"/>
        <v>19</v>
      </c>
      <c r="AL23" s="15" t="e">
        <f t="shared" si="2"/>
        <v>#VALUE!</v>
      </c>
      <c r="AM23" s="15" t="str">
        <f t="shared" si="3"/>
        <v/>
      </c>
    </row>
    <row r="24" spans="1:39">
      <c r="A24" s="27"/>
      <c r="B24" t="s">
        <v>41</v>
      </c>
      <c r="AH24" s="25" t="str">
        <f t="shared" si="4"/>
        <v/>
      </c>
      <c r="AI24">
        <v>350</v>
      </c>
      <c r="AJ24">
        <v>390</v>
      </c>
      <c r="AK24">
        <f t="shared" si="1"/>
        <v>40</v>
      </c>
      <c r="AL24" s="15" t="e">
        <f t="shared" si="2"/>
        <v>#VALUE!</v>
      </c>
      <c r="AM24" s="15" t="str">
        <f t="shared" si="3"/>
        <v/>
      </c>
    </row>
    <row r="25" spans="1:39">
      <c r="A25" s="27"/>
      <c r="B25" t="s">
        <v>42</v>
      </c>
      <c r="AH25" s="25" t="str">
        <f t="shared" si="4"/>
        <v/>
      </c>
      <c r="AI25">
        <v>211</v>
      </c>
      <c r="AJ25">
        <v>240</v>
      </c>
      <c r="AK25">
        <f t="shared" si="1"/>
        <v>29</v>
      </c>
      <c r="AL25" s="15" t="e">
        <f t="shared" si="2"/>
        <v>#VALUE!</v>
      </c>
      <c r="AM25" s="15" t="str">
        <f t="shared" si="3"/>
        <v/>
      </c>
    </row>
    <row r="26" spans="1:39">
      <c r="A26" s="27"/>
      <c r="B26" t="s">
        <v>43</v>
      </c>
      <c r="AH26" s="25" t="str">
        <f t="shared" si="4"/>
        <v/>
      </c>
      <c r="AI26">
        <v>247</v>
      </c>
      <c r="AJ26">
        <v>280</v>
      </c>
      <c r="AK26">
        <f t="shared" si="1"/>
        <v>33</v>
      </c>
      <c r="AL26" s="15" t="e">
        <f t="shared" si="2"/>
        <v>#VALUE!</v>
      </c>
      <c r="AM26" s="15" t="str">
        <f t="shared" si="3"/>
        <v/>
      </c>
    </row>
    <row r="27" spans="1:39">
      <c r="A27" s="27"/>
      <c r="B27" t="s">
        <v>44</v>
      </c>
      <c r="AH27" s="25" t="str">
        <f t="shared" si="4"/>
        <v/>
      </c>
      <c r="AI27">
        <v>286</v>
      </c>
      <c r="AJ27">
        <v>320</v>
      </c>
      <c r="AK27">
        <f t="shared" si="1"/>
        <v>34</v>
      </c>
      <c r="AL27" s="15" t="e">
        <f t="shared" si="2"/>
        <v>#VALUE!</v>
      </c>
      <c r="AM27" s="15" t="str">
        <f t="shared" si="3"/>
        <v/>
      </c>
    </row>
    <row r="28" spans="1:39">
      <c r="A28" s="27"/>
      <c r="B28" t="s">
        <v>45</v>
      </c>
      <c r="AH28" s="25" t="str">
        <f t="shared" si="4"/>
        <v/>
      </c>
      <c r="AI28">
        <v>67</v>
      </c>
      <c r="AJ28">
        <v>80</v>
      </c>
      <c r="AK28">
        <f t="shared" si="1"/>
        <v>13</v>
      </c>
      <c r="AL28" s="15" t="e">
        <f t="shared" si="2"/>
        <v>#VALUE!</v>
      </c>
      <c r="AM28" s="15" t="str">
        <f t="shared" si="3"/>
        <v/>
      </c>
    </row>
    <row r="29" spans="1:39">
      <c r="A29" s="27"/>
      <c r="B29" t="s">
        <v>46</v>
      </c>
      <c r="AH29" s="25" t="str">
        <f t="shared" si="4"/>
        <v/>
      </c>
      <c r="AI29">
        <v>335</v>
      </c>
      <c r="AJ29">
        <v>350</v>
      </c>
      <c r="AK29">
        <f t="shared" si="1"/>
        <v>15</v>
      </c>
      <c r="AL29" s="15" t="e">
        <f t="shared" si="2"/>
        <v>#VALUE!</v>
      </c>
      <c r="AM29" s="15" t="str">
        <f t="shared" si="3"/>
        <v/>
      </c>
    </row>
    <row r="30" spans="1:39">
      <c r="A30" s="27"/>
      <c r="B30" t="s">
        <v>47</v>
      </c>
      <c r="AH30" s="25" t="str">
        <f t="shared" si="4"/>
        <v/>
      </c>
      <c r="AI30">
        <v>366</v>
      </c>
      <c r="AJ30">
        <v>400</v>
      </c>
      <c r="AK30">
        <f t="shared" si="1"/>
        <v>34</v>
      </c>
      <c r="AL30" s="15" t="e">
        <f t="shared" si="2"/>
        <v>#VALUE!</v>
      </c>
      <c r="AM30" s="15" t="str">
        <f t="shared" si="3"/>
        <v/>
      </c>
    </row>
    <row r="31" spans="1:39">
      <c r="A31" s="27"/>
      <c r="B31" t="s">
        <v>48</v>
      </c>
      <c r="AH31" s="25" t="str">
        <f t="shared" si="4"/>
        <v/>
      </c>
      <c r="AI31">
        <v>167</v>
      </c>
      <c r="AJ31">
        <v>200</v>
      </c>
      <c r="AK31">
        <f t="shared" si="1"/>
        <v>33</v>
      </c>
      <c r="AL31" s="15" t="e">
        <f t="shared" si="2"/>
        <v>#VALUE!</v>
      </c>
      <c r="AM31" s="15" t="str">
        <f t="shared" si="3"/>
        <v/>
      </c>
    </row>
    <row r="32" spans="1:39">
      <c r="A32" s="27"/>
      <c r="B32" t="s">
        <v>49</v>
      </c>
      <c r="AH32" s="25" t="str">
        <f t="shared" si="4"/>
        <v/>
      </c>
      <c r="AI32">
        <v>73</v>
      </c>
      <c r="AJ32">
        <v>100</v>
      </c>
      <c r="AK32">
        <f t="shared" si="1"/>
        <v>27</v>
      </c>
      <c r="AL32" s="15" t="e">
        <f t="shared" si="2"/>
        <v>#VALUE!</v>
      </c>
      <c r="AM32" s="15" t="str">
        <f t="shared" si="3"/>
        <v/>
      </c>
    </row>
    <row r="33" spans="1:39">
      <c r="A33" s="27"/>
      <c r="B33" t="s">
        <v>50</v>
      </c>
      <c r="AH33" s="25" t="str">
        <f t="shared" si="4"/>
        <v/>
      </c>
      <c r="AI33">
        <v>367</v>
      </c>
      <c r="AJ33">
        <v>450</v>
      </c>
      <c r="AK33">
        <f t="shared" si="1"/>
        <v>83</v>
      </c>
      <c r="AL33" s="15" t="e">
        <f t="shared" si="2"/>
        <v>#VALUE!</v>
      </c>
      <c r="AM33" s="15" t="str">
        <f t="shared" si="3"/>
        <v/>
      </c>
    </row>
    <row r="34" spans="1:39">
      <c r="A34" s="27"/>
      <c r="B34" t="s">
        <v>51</v>
      </c>
      <c r="AH34" s="25" t="str">
        <f t="shared" si="4"/>
        <v/>
      </c>
      <c r="AI34">
        <v>342</v>
      </c>
      <c r="AJ34">
        <v>390</v>
      </c>
      <c r="AK34">
        <f t="shared" si="1"/>
        <v>48</v>
      </c>
      <c r="AL34" s="15" t="e">
        <f t="shared" si="2"/>
        <v>#VALUE!</v>
      </c>
      <c r="AM34" s="15" t="str">
        <f t="shared" si="3"/>
        <v/>
      </c>
    </row>
    <row r="35" spans="1:39">
      <c r="A35" s="27"/>
      <c r="B35" t="s">
        <v>52</v>
      </c>
      <c r="AH35" s="25" t="str">
        <f t="shared" si="4"/>
        <v/>
      </c>
      <c r="AI35">
        <v>363</v>
      </c>
      <c r="AJ35">
        <v>420</v>
      </c>
      <c r="AK35">
        <f t="shared" si="1"/>
        <v>57</v>
      </c>
      <c r="AL35" s="15" t="e">
        <f t="shared" si="2"/>
        <v>#VALUE!</v>
      </c>
      <c r="AM35" s="15" t="str">
        <f t="shared" si="3"/>
        <v/>
      </c>
    </row>
    <row r="36" spans="1:39">
      <c r="A36" s="27"/>
      <c r="B36" t="s">
        <v>53</v>
      </c>
      <c r="AH36" s="25" t="str">
        <f t="shared" si="4"/>
        <v/>
      </c>
      <c r="AI36">
        <v>263</v>
      </c>
      <c r="AJ36">
        <v>300</v>
      </c>
      <c r="AK36">
        <f t="shared" si="1"/>
        <v>37</v>
      </c>
      <c r="AL36" s="15" t="e">
        <f t="shared" si="2"/>
        <v>#VALUE!</v>
      </c>
      <c r="AM36" s="15" t="str">
        <f t="shared" si="3"/>
        <v/>
      </c>
    </row>
    <row r="37" spans="1:39">
      <c r="A37" s="27"/>
      <c r="B37" t="s">
        <v>54</v>
      </c>
      <c r="AH37" s="25" t="str">
        <f t="shared" si="4"/>
        <v/>
      </c>
      <c r="AI37">
        <v>96</v>
      </c>
      <c r="AJ37">
        <v>120</v>
      </c>
      <c r="AK37">
        <f t="shared" si="1"/>
        <v>24</v>
      </c>
      <c r="AL37" s="15" t="e">
        <f t="shared" si="2"/>
        <v>#VALUE!</v>
      </c>
      <c r="AM37" s="15" t="str">
        <f t="shared" si="3"/>
        <v/>
      </c>
    </row>
    <row r="38" spans="1:39">
      <c r="A38" s="27"/>
      <c r="B38" t="s">
        <v>55</v>
      </c>
      <c r="AH38" s="25" t="str">
        <f t="shared" si="4"/>
        <v/>
      </c>
      <c r="AI38">
        <v>196</v>
      </c>
      <c r="AJ38">
        <v>230</v>
      </c>
      <c r="AK38">
        <f t="shared" si="1"/>
        <v>34</v>
      </c>
      <c r="AL38" s="15" t="e">
        <f t="shared" si="2"/>
        <v>#VALUE!</v>
      </c>
      <c r="AM38" s="15" t="str">
        <f t="shared" si="3"/>
        <v/>
      </c>
    </row>
    <row r="39" spans="1:39">
      <c r="A39" s="27"/>
      <c r="B39" t="s">
        <v>56</v>
      </c>
      <c r="AH39" s="25" t="str">
        <f t="shared" si="4"/>
        <v/>
      </c>
      <c r="AI39">
        <v>98</v>
      </c>
      <c r="AJ39">
        <v>115</v>
      </c>
      <c r="AK39">
        <f t="shared" si="1"/>
        <v>17</v>
      </c>
      <c r="AL39" s="15" t="e">
        <f t="shared" si="2"/>
        <v>#VALUE!</v>
      </c>
      <c r="AM39" s="15" t="str">
        <f t="shared" si="3"/>
        <v/>
      </c>
    </row>
    <row r="40" spans="1:39">
      <c r="A40" s="27"/>
      <c r="B40" t="s">
        <v>57</v>
      </c>
      <c r="AH40" s="25" t="str">
        <f t="shared" si="4"/>
        <v/>
      </c>
      <c r="AI40">
        <v>75</v>
      </c>
      <c r="AJ40">
        <v>99</v>
      </c>
      <c r="AK40">
        <f t="shared" si="1"/>
        <v>24</v>
      </c>
      <c r="AL40" s="15" t="e">
        <f t="shared" si="2"/>
        <v>#VALUE!</v>
      </c>
      <c r="AM40" s="15" t="str">
        <f t="shared" si="3"/>
        <v/>
      </c>
    </row>
    <row r="41" spans="1:39">
      <c r="A41" s="27"/>
      <c r="B41" t="s">
        <v>58</v>
      </c>
      <c r="AH41" s="25" t="str">
        <f t="shared" si="4"/>
        <v/>
      </c>
      <c r="AI41">
        <v>105</v>
      </c>
      <c r="AJ41">
        <v>140</v>
      </c>
      <c r="AK41">
        <f t="shared" si="1"/>
        <v>35</v>
      </c>
      <c r="AL41" s="15" t="e">
        <f t="shared" si="2"/>
        <v>#VALUE!</v>
      </c>
      <c r="AM41" s="15" t="str">
        <f t="shared" si="3"/>
        <v/>
      </c>
    </row>
    <row r="42" spans="1:39">
      <c r="A42" s="27"/>
      <c r="B42" t="s">
        <v>59</v>
      </c>
      <c r="AH42" s="25" t="str">
        <f t="shared" si="4"/>
        <v/>
      </c>
      <c r="AI42">
        <v>37</v>
      </c>
      <c r="AJ42">
        <v>50</v>
      </c>
      <c r="AK42">
        <f t="shared" si="1"/>
        <v>13</v>
      </c>
      <c r="AL42" s="15" t="e">
        <f t="shared" si="2"/>
        <v>#VALUE!</v>
      </c>
      <c r="AM42" s="15" t="str">
        <f t="shared" si="3"/>
        <v/>
      </c>
    </row>
    <row r="43" spans="1:39">
      <c r="A43" s="27"/>
      <c r="B43" t="s">
        <v>60</v>
      </c>
      <c r="AH43" s="25" t="str">
        <f t="shared" si="4"/>
        <v/>
      </c>
      <c r="AI43">
        <v>221</v>
      </c>
      <c r="AJ43">
        <v>250</v>
      </c>
      <c r="AK43">
        <f t="shared" si="1"/>
        <v>29</v>
      </c>
      <c r="AL43" s="15" t="e">
        <f t="shared" si="2"/>
        <v>#VALUE!</v>
      </c>
      <c r="AM43" s="15" t="str">
        <f t="shared" si="3"/>
        <v/>
      </c>
    </row>
    <row r="44" spans="1:39">
      <c r="A44" s="27"/>
      <c r="B44" t="s">
        <v>61</v>
      </c>
      <c r="AH44" s="25" t="str">
        <f t="shared" si="4"/>
        <v/>
      </c>
      <c r="AI44">
        <v>140</v>
      </c>
      <c r="AJ44">
        <v>150</v>
      </c>
      <c r="AK44">
        <f t="shared" si="1"/>
        <v>10</v>
      </c>
      <c r="AL44" s="15" t="e">
        <f t="shared" si="2"/>
        <v>#VALUE!</v>
      </c>
      <c r="AM44" s="15" t="str">
        <f t="shared" si="3"/>
        <v/>
      </c>
    </row>
    <row r="45" spans="1:39">
      <c r="A45" s="27"/>
      <c r="B45" t="s">
        <v>62</v>
      </c>
      <c r="AH45" s="25" t="str">
        <f t="shared" si="4"/>
        <v/>
      </c>
      <c r="AI45">
        <v>154</v>
      </c>
      <c r="AJ45">
        <v>170</v>
      </c>
      <c r="AK45">
        <f t="shared" si="1"/>
        <v>16</v>
      </c>
      <c r="AL45" s="15" t="e">
        <f t="shared" si="2"/>
        <v>#VALUE!</v>
      </c>
      <c r="AM45" s="15" t="str">
        <f t="shared" si="3"/>
        <v/>
      </c>
    </row>
    <row r="46" spans="1:39">
      <c r="A46" s="27"/>
      <c r="B46" t="s">
        <v>63</v>
      </c>
      <c r="AH46" s="25" t="str">
        <f t="shared" si="4"/>
        <v/>
      </c>
      <c r="AI46">
        <v>322</v>
      </c>
      <c r="AJ46">
        <v>345</v>
      </c>
      <c r="AK46">
        <f t="shared" si="1"/>
        <v>23</v>
      </c>
      <c r="AL46" s="15" t="e">
        <f t="shared" si="2"/>
        <v>#VALUE!</v>
      </c>
      <c r="AM46" s="15" t="str">
        <f t="shared" si="3"/>
        <v/>
      </c>
    </row>
    <row r="47" spans="1:39">
      <c r="A47" s="27"/>
      <c r="B47" t="s">
        <v>64</v>
      </c>
      <c r="AH47" s="25" t="str">
        <f t="shared" si="4"/>
        <v/>
      </c>
      <c r="AI47">
        <v>380</v>
      </c>
      <c r="AJ47">
        <v>456</v>
      </c>
      <c r="AK47">
        <f t="shared" si="1"/>
        <v>76</v>
      </c>
      <c r="AL47" s="15" t="e">
        <f t="shared" si="2"/>
        <v>#VALUE!</v>
      </c>
      <c r="AM47" s="15" t="str">
        <f t="shared" si="3"/>
        <v/>
      </c>
    </row>
    <row r="48" spans="1:39">
      <c r="A48" s="27"/>
      <c r="B48" t="s">
        <v>65</v>
      </c>
      <c r="AH48" s="25" t="str">
        <f t="shared" si="4"/>
        <v/>
      </c>
      <c r="AI48">
        <v>133</v>
      </c>
      <c r="AJ48">
        <v>158</v>
      </c>
      <c r="AK48">
        <f t="shared" si="1"/>
        <v>25</v>
      </c>
      <c r="AL48" s="15" t="e">
        <f t="shared" si="2"/>
        <v>#VALUE!</v>
      </c>
      <c r="AM48" s="15" t="str">
        <f t="shared" si="3"/>
        <v/>
      </c>
    </row>
    <row r="49" spans="1:39">
      <c r="A49" s="27"/>
      <c r="B49" t="s">
        <v>66</v>
      </c>
      <c r="AH49" s="25" t="str">
        <f t="shared" si="4"/>
        <v/>
      </c>
      <c r="AI49">
        <v>40</v>
      </c>
      <c r="AJ49">
        <v>65</v>
      </c>
      <c r="AK49">
        <f t="shared" si="1"/>
        <v>25</v>
      </c>
      <c r="AL49" s="15" t="e">
        <f t="shared" si="2"/>
        <v>#VALUE!</v>
      </c>
      <c r="AM49" s="15" t="str">
        <f t="shared" si="3"/>
        <v/>
      </c>
    </row>
    <row r="50" spans="1:39">
      <c r="A50" s="27"/>
      <c r="B50" t="s">
        <v>67</v>
      </c>
      <c r="AH50" s="25" t="str">
        <f t="shared" si="4"/>
        <v/>
      </c>
      <c r="AI50">
        <v>72</v>
      </c>
      <c r="AJ50">
        <v>89</v>
      </c>
      <c r="AK50">
        <f t="shared" si="1"/>
        <v>17</v>
      </c>
      <c r="AL50" s="15" t="e">
        <f t="shared" si="2"/>
        <v>#VALUE!</v>
      </c>
      <c r="AM50" s="15" t="str">
        <f t="shared" si="3"/>
        <v/>
      </c>
    </row>
    <row r="51" spans="1:39">
      <c r="A51" s="27"/>
      <c r="B51" t="s">
        <v>68</v>
      </c>
      <c r="AH51" s="25" t="str">
        <f t="shared" si="4"/>
        <v/>
      </c>
      <c r="AI51">
        <v>236</v>
      </c>
      <c r="AJ51">
        <v>268</v>
      </c>
      <c r="AK51">
        <f t="shared" si="1"/>
        <v>32</v>
      </c>
      <c r="AL51" s="15" t="e">
        <f t="shared" si="2"/>
        <v>#VALUE!</v>
      </c>
      <c r="AM51" s="15" t="str">
        <f t="shared" si="3"/>
        <v/>
      </c>
    </row>
    <row r="52" spans="1:39">
      <c r="A52" s="27"/>
      <c r="B52" t="s">
        <v>69</v>
      </c>
      <c r="AH52" s="25" t="str">
        <f t="shared" si="4"/>
        <v/>
      </c>
      <c r="AI52">
        <v>156</v>
      </c>
      <c r="AJ52">
        <v>178</v>
      </c>
      <c r="AK52">
        <f t="shared" si="1"/>
        <v>22</v>
      </c>
      <c r="AL52" s="15" t="e">
        <f t="shared" si="2"/>
        <v>#VALUE!</v>
      </c>
      <c r="AM52" s="15" t="str">
        <f t="shared" si="3"/>
        <v/>
      </c>
    </row>
    <row r="53" spans="1:39">
      <c r="A53" s="27"/>
      <c r="B53" t="s">
        <v>70</v>
      </c>
      <c r="AH53" s="25" t="str">
        <f t="shared" si="4"/>
        <v/>
      </c>
      <c r="AI53">
        <v>182</v>
      </c>
      <c r="AJ53">
        <v>225</v>
      </c>
      <c r="AK53">
        <f t="shared" si="1"/>
        <v>43</v>
      </c>
      <c r="AL53" s="15" t="e">
        <f t="shared" si="2"/>
        <v>#VALUE!</v>
      </c>
      <c r="AM53" s="15" t="str">
        <f t="shared" si="3"/>
        <v/>
      </c>
    </row>
    <row r="54" spans="1:39">
      <c r="A54" s="27"/>
      <c r="B54" t="s">
        <v>71</v>
      </c>
      <c r="AH54" s="25" t="str">
        <f t="shared" si="4"/>
        <v/>
      </c>
      <c r="AI54">
        <v>23</v>
      </c>
      <c r="AJ54">
        <v>35</v>
      </c>
      <c r="AK54">
        <f t="shared" si="1"/>
        <v>12</v>
      </c>
      <c r="AL54" s="15" t="e">
        <f t="shared" si="2"/>
        <v>#VALUE!</v>
      </c>
      <c r="AM54" s="15" t="str">
        <f t="shared" si="3"/>
        <v/>
      </c>
    </row>
    <row r="55" spans="1:39">
      <c r="A55" s="27"/>
      <c r="B55" t="s">
        <v>72</v>
      </c>
      <c r="AH55" s="25" t="str">
        <f t="shared" si="4"/>
        <v/>
      </c>
      <c r="AI55">
        <v>205</v>
      </c>
      <c r="AJ55">
        <v>260</v>
      </c>
      <c r="AK55">
        <f t="shared" si="1"/>
        <v>55</v>
      </c>
      <c r="AL55" s="15" t="e">
        <f t="shared" si="2"/>
        <v>#VALUE!</v>
      </c>
      <c r="AM55" s="15" t="str">
        <f t="shared" si="3"/>
        <v/>
      </c>
    </row>
    <row r="56" spans="1:39">
      <c r="A56" s="27"/>
      <c r="B56" t="s">
        <v>73</v>
      </c>
      <c r="AH56" s="25" t="str">
        <f t="shared" si="4"/>
        <v/>
      </c>
      <c r="AI56">
        <v>325</v>
      </c>
      <c r="AJ56">
        <v>358</v>
      </c>
      <c r="AK56">
        <f t="shared" si="1"/>
        <v>33</v>
      </c>
      <c r="AL56" s="15" t="e">
        <f t="shared" si="2"/>
        <v>#VALUE!</v>
      </c>
      <c r="AM56" s="15" t="str">
        <f t="shared" si="3"/>
        <v/>
      </c>
    </row>
    <row r="57" spans="1:39">
      <c r="A57" s="27"/>
      <c r="B57" t="s">
        <v>74</v>
      </c>
      <c r="AH57" s="25" t="str">
        <f t="shared" si="4"/>
        <v/>
      </c>
      <c r="AI57">
        <v>340</v>
      </c>
      <c r="AJ57">
        <v>380</v>
      </c>
      <c r="AK57">
        <f t="shared" si="1"/>
        <v>40</v>
      </c>
      <c r="AL57" s="15" t="e">
        <f t="shared" si="2"/>
        <v>#VALUE!</v>
      </c>
      <c r="AM57" s="15" t="str">
        <f t="shared" si="3"/>
        <v/>
      </c>
    </row>
    <row r="58" spans="1:39">
      <c r="A58" s="27"/>
    </row>
    <row r="59" spans="1:39">
      <c r="A59" s="27"/>
    </row>
    <row r="60" spans="1:39">
      <c r="A60" s="27"/>
    </row>
    <row r="61" spans="1:39">
      <c r="A61" s="27"/>
    </row>
    <row r="62" spans="1:39">
      <c r="A62" s="27"/>
    </row>
    <row r="63" spans="1:39">
      <c r="A63" s="27"/>
    </row>
    <row r="64" spans="1:39">
      <c r="A64" s="27"/>
    </row>
    <row r="65" spans="1:1">
      <c r="A65" s="27"/>
    </row>
    <row r="66" spans="1:1">
      <c r="A66" s="27"/>
    </row>
    <row r="67" spans="1:1">
      <c r="A67" s="27"/>
    </row>
    <row r="68" spans="1:1">
      <c r="A68" s="27"/>
    </row>
    <row r="69" spans="1:1">
      <c r="A69" s="27"/>
    </row>
    <row r="70" spans="1:1">
      <c r="A70" s="27"/>
    </row>
    <row r="71" spans="1:1">
      <c r="A71" s="27"/>
    </row>
    <row r="72" spans="1:1">
      <c r="A72" s="27"/>
    </row>
    <row r="73" spans="1:1">
      <c r="A73" s="27"/>
    </row>
    <row r="74" spans="1:1">
      <c r="A74" s="27"/>
    </row>
    <row r="75" spans="1:1">
      <c r="A75" s="27"/>
    </row>
    <row r="76" spans="1:1">
      <c r="A76" s="27"/>
    </row>
    <row r="77" spans="1:1">
      <c r="A77" s="27"/>
    </row>
    <row r="78" spans="1:1">
      <c r="A78" s="27"/>
    </row>
    <row r="79" spans="1:1">
      <c r="A79" s="27"/>
    </row>
    <row r="80" spans="1:1">
      <c r="A80" s="27"/>
    </row>
    <row r="81" spans="1:1">
      <c r="A81" s="27"/>
    </row>
    <row r="82" spans="1:1">
      <c r="A82" s="27"/>
    </row>
    <row r="83" spans="1:1">
      <c r="A83" s="27"/>
    </row>
    <row r="84" spans="1:1">
      <c r="A84" s="27"/>
    </row>
    <row r="85" spans="1:1">
      <c r="A85" s="27"/>
    </row>
    <row r="86" spans="1:1">
      <c r="A86" s="27"/>
    </row>
    <row r="87" spans="1:1">
      <c r="A87" s="27"/>
    </row>
  </sheetData>
  <mergeCells count="9">
    <mergeCell ref="A1:A29"/>
    <mergeCell ref="A30:A58"/>
    <mergeCell ref="A59:A87"/>
    <mergeCell ref="AM1:AM2"/>
    <mergeCell ref="AH1:AH2"/>
    <mergeCell ref="AI1:AI2"/>
    <mergeCell ref="AJ1:AJ2"/>
    <mergeCell ref="AK1:AK2"/>
    <mergeCell ref="AL1:AL2"/>
  </mergeCells>
  <dataValidations count="2">
    <dataValidation type="list" allowBlank="1" showInputMessage="1" showErrorMessage="1" sqref="AP2" xr:uid="{00000000-0002-0000-0B00-000000000000}">
      <formula1>"2020,2021,2022,2023,2024,2025,2026,2027,2028,2029,2030"</formula1>
    </dataValidation>
    <dataValidation type="list" allowBlank="1" showInputMessage="1" showErrorMessage="1" sqref="AP1" xr:uid="{00000000-0002-0000-0B00-000001000000}">
      <formula1>"January,February,March,Aprail,May,June,July,August,September,October,November,December"</formula1>
    </dataValidation>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P87"/>
  <sheetViews>
    <sheetView workbookViewId="0">
      <pane xSplit="1" topLeftCell="Z1" activePane="topRight" state="frozenSplit"/>
      <selection pane="topRight" activeCell="AP17" sqref="AP17"/>
    </sheetView>
  </sheetViews>
  <sheetFormatPr defaultRowHeight="15"/>
  <cols>
    <col min="1" max="1" width="16.85546875" bestFit="1" customWidth="1"/>
    <col min="2" max="2" width="13.7109375" customWidth="1"/>
    <col min="3" max="3" width="4.28515625" customWidth="1"/>
    <col min="4" max="4" width="5.28515625" customWidth="1"/>
    <col min="5" max="5" width="4.28515625" customWidth="1"/>
    <col min="6" max="6" width="3.28515625" customWidth="1"/>
    <col min="7" max="7" width="3.7109375" customWidth="1"/>
    <col min="8" max="8" width="4.28515625" customWidth="1"/>
    <col min="9" max="9" width="5.140625" customWidth="1"/>
    <col min="10" max="10" width="4.28515625" customWidth="1"/>
    <col min="11" max="11" width="5.28515625" customWidth="1"/>
    <col min="12" max="12" width="4.28515625" customWidth="1"/>
    <col min="13" max="13" width="3.28515625" customWidth="1"/>
    <col min="14" max="14" width="3.7109375" customWidth="1"/>
    <col min="15" max="15" width="4.28515625" customWidth="1"/>
    <col min="16" max="16" width="5.140625" customWidth="1"/>
    <col min="17" max="17" width="4.28515625" customWidth="1"/>
    <col min="18" max="18" width="5.28515625" customWidth="1"/>
    <col min="19" max="19" width="4.28515625" customWidth="1"/>
    <col min="20" max="20" width="3.28515625" customWidth="1"/>
    <col min="21" max="21" width="3.7109375" customWidth="1"/>
    <col min="22" max="22" width="4.28515625" customWidth="1"/>
    <col min="23" max="23" width="5.140625" customWidth="1"/>
    <col min="24" max="24" width="4.28515625" customWidth="1"/>
    <col min="25" max="25" width="5.28515625" customWidth="1"/>
    <col min="26" max="26" width="4.28515625" customWidth="1"/>
    <col min="27" max="27" width="3.28515625" customWidth="1"/>
    <col min="28" max="28" width="3.7109375" customWidth="1"/>
    <col min="29" max="29" width="4.28515625" customWidth="1"/>
    <col min="30" max="30" width="5.140625" customWidth="1"/>
    <col min="31" max="31" width="4.28515625" customWidth="1"/>
    <col min="32" max="32" width="5.28515625" customWidth="1"/>
    <col min="33" max="33" width="4.28515625" customWidth="1"/>
    <col min="34" max="34" width="6.5703125" customWidth="1"/>
    <col min="35" max="35" width="12.42578125" customWidth="1"/>
    <col min="36" max="36" width="10.7109375" customWidth="1"/>
    <col min="41" max="41" width="15.28515625" bestFit="1" customWidth="1"/>
    <col min="42" max="42" width="11.28515625" customWidth="1"/>
  </cols>
  <sheetData>
    <row r="1" spans="1:42">
      <c r="A1" s="27"/>
      <c r="C1" s="8" t="str">
        <f>TEXT(C2,"DDD")</f>
        <v>Fri</v>
      </c>
      <c r="D1" s="8" t="str">
        <f t="shared" ref="D1:AG1" si="0">TEXT(D2,"DDD")</f>
        <v>Sat</v>
      </c>
      <c r="E1" s="8" t="str">
        <f t="shared" si="0"/>
        <v>Sun</v>
      </c>
      <c r="F1" s="8" t="str">
        <f t="shared" si="0"/>
        <v>Mon</v>
      </c>
      <c r="G1" s="8" t="str">
        <f t="shared" si="0"/>
        <v>Tue</v>
      </c>
      <c r="H1" s="8" t="str">
        <f t="shared" si="0"/>
        <v>Wed</v>
      </c>
      <c r="I1" s="8" t="str">
        <f t="shared" si="0"/>
        <v>Thu</v>
      </c>
      <c r="J1" s="8" t="str">
        <f t="shared" si="0"/>
        <v>Fri</v>
      </c>
      <c r="K1" s="8" t="str">
        <f t="shared" si="0"/>
        <v>Sat</v>
      </c>
      <c r="L1" s="8" t="str">
        <f t="shared" si="0"/>
        <v>Sun</v>
      </c>
      <c r="M1" s="8" t="str">
        <f t="shared" si="0"/>
        <v>Mon</v>
      </c>
      <c r="N1" s="8" t="str">
        <f t="shared" si="0"/>
        <v>Tue</v>
      </c>
      <c r="O1" s="8" t="str">
        <f t="shared" si="0"/>
        <v>Wed</v>
      </c>
      <c r="P1" s="8" t="str">
        <f t="shared" si="0"/>
        <v>Thu</v>
      </c>
      <c r="Q1" s="8" t="str">
        <f t="shared" si="0"/>
        <v>Fri</v>
      </c>
      <c r="R1" s="8" t="str">
        <f t="shared" si="0"/>
        <v>Sat</v>
      </c>
      <c r="S1" s="8" t="str">
        <f t="shared" si="0"/>
        <v>Sun</v>
      </c>
      <c r="T1" s="8" t="str">
        <f t="shared" si="0"/>
        <v>Mon</v>
      </c>
      <c r="U1" s="8" t="str">
        <f t="shared" si="0"/>
        <v>Tue</v>
      </c>
      <c r="V1" s="8" t="str">
        <f t="shared" si="0"/>
        <v>Wed</v>
      </c>
      <c r="W1" s="8" t="str">
        <f t="shared" si="0"/>
        <v>Thu</v>
      </c>
      <c r="X1" s="8" t="str">
        <f t="shared" si="0"/>
        <v>Fri</v>
      </c>
      <c r="Y1" s="8" t="str">
        <f t="shared" si="0"/>
        <v>Sat</v>
      </c>
      <c r="Z1" s="8" t="str">
        <f t="shared" si="0"/>
        <v>Sun</v>
      </c>
      <c r="AA1" s="8" t="str">
        <f t="shared" si="0"/>
        <v>Mon</v>
      </c>
      <c r="AB1" s="8" t="str">
        <f t="shared" si="0"/>
        <v>Tue</v>
      </c>
      <c r="AC1" s="8" t="str">
        <f t="shared" si="0"/>
        <v>Wed</v>
      </c>
      <c r="AD1" s="8" t="str">
        <f t="shared" si="0"/>
        <v>Thu</v>
      </c>
      <c r="AE1" s="8" t="str">
        <f t="shared" si="0"/>
        <v>Fri</v>
      </c>
      <c r="AF1" s="8" t="str">
        <f t="shared" si="0"/>
        <v>Sat</v>
      </c>
      <c r="AG1" s="8" t="str">
        <f t="shared" si="0"/>
        <v/>
      </c>
      <c r="AH1" s="28" t="s">
        <v>75</v>
      </c>
      <c r="AI1" s="28" t="s">
        <v>76</v>
      </c>
      <c r="AJ1" s="30" t="s">
        <v>77</v>
      </c>
      <c r="AK1" s="28" t="s">
        <v>78</v>
      </c>
      <c r="AL1" s="29" t="s">
        <v>79</v>
      </c>
      <c r="AM1" s="29" t="s">
        <v>80</v>
      </c>
      <c r="AO1" s="5" t="s">
        <v>81</v>
      </c>
      <c r="AP1" s="10" t="s">
        <v>104</v>
      </c>
    </row>
    <row r="2" spans="1:42">
      <c r="A2" s="27"/>
      <c r="B2" s="1" t="s">
        <v>0</v>
      </c>
      <c r="C2" s="9">
        <f>IF(COLUMNS($C$2:C2)&gt;DAY($AP$4),"",$AP$3+COLUMNS($C$2:C2)-1)</f>
        <v>45597</v>
      </c>
      <c r="D2" s="9">
        <f>IF(COLUMNS($C$2:D2)&gt;DAY($AP$4),"",$AP$3+COLUMNS($C$2:D2)-1)</f>
        <v>45598</v>
      </c>
      <c r="E2" s="9">
        <f>IF(COLUMNS($C$2:E2)&gt;DAY($AP$4),"",$AP$3+COLUMNS($C$2:E2)-1)</f>
        <v>45599</v>
      </c>
      <c r="F2" s="9">
        <f>IF(COLUMNS($C$2:F2)&gt;DAY($AP$4),"",$AP$3+COLUMNS($C$2:F2)-1)</f>
        <v>45600</v>
      </c>
      <c r="G2" s="9">
        <f>IF(COLUMNS($C$2:G2)&gt;DAY($AP$4),"",$AP$3+COLUMNS($C$2:G2)-1)</f>
        <v>45601</v>
      </c>
      <c r="H2" s="9">
        <f>IF(COLUMNS($C$2:H2)&gt;DAY($AP$4),"",$AP$3+COLUMNS($C$2:H2)-1)</f>
        <v>45602</v>
      </c>
      <c r="I2" s="9">
        <f>IF(COLUMNS($C$2:I2)&gt;DAY($AP$4),"",$AP$3+COLUMNS($C$2:I2)-1)</f>
        <v>45603</v>
      </c>
      <c r="J2" s="9">
        <f>IF(COLUMNS($C$2:J2)&gt;DAY($AP$4),"",$AP$3+COLUMNS($C$2:J2)-1)</f>
        <v>45604</v>
      </c>
      <c r="K2" s="9">
        <f>IF(COLUMNS($C$2:K2)&gt;DAY($AP$4),"",$AP$3+COLUMNS($C$2:K2)-1)</f>
        <v>45605</v>
      </c>
      <c r="L2" s="9">
        <f>IF(COLUMNS($C$2:L2)&gt;DAY($AP$4),"",$AP$3+COLUMNS($C$2:L2)-1)</f>
        <v>45606</v>
      </c>
      <c r="M2" s="9">
        <f>IF(COLUMNS($C$2:M2)&gt;DAY($AP$4),"",$AP$3+COLUMNS($C$2:M2)-1)</f>
        <v>45607</v>
      </c>
      <c r="N2" s="9">
        <f>IF(COLUMNS($C$2:N2)&gt;DAY($AP$4),"",$AP$3+COLUMNS($C$2:N2)-1)</f>
        <v>45608</v>
      </c>
      <c r="O2" s="9">
        <f>IF(COLUMNS($C$2:O2)&gt;DAY($AP$4),"",$AP$3+COLUMNS($C$2:O2)-1)</f>
        <v>45609</v>
      </c>
      <c r="P2" s="9">
        <f>IF(COLUMNS($C$2:P2)&gt;DAY($AP$4),"",$AP$3+COLUMNS($C$2:P2)-1)</f>
        <v>45610</v>
      </c>
      <c r="Q2" s="9">
        <f>IF(COLUMNS($C$2:Q2)&gt;DAY($AP$4),"",$AP$3+COLUMNS($C$2:Q2)-1)</f>
        <v>45611</v>
      </c>
      <c r="R2" s="9">
        <f>IF(COLUMNS($C$2:R2)&gt;DAY($AP$4),"",$AP$3+COLUMNS($C$2:R2)-1)</f>
        <v>45612</v>
      </c>
      <c r="S2" s="9">
        <f>IF(COLUMNS($C$2:S2)&gt;DAY($AP$4),"",$AP$3+COLUMNS($C$2:S2)-1)</f>
        <v>45613</v>
      </c>
      <c r="T2" s="9">
        <f>IF(COLUMNS($C$2:T2)&gt;DAY($AP$4),"",$AP$3+COLUMNS($C$2:T2)-1)</f>
        <v>45614</v>
      </c>
      <c r="U2" s="9">
        <f>IF(COLUMNS($C$2:U2)&gt;DAY($AP$4),"",$AP$3+COLUMNS($C$2:U2)-1)</f>
        <v>45615</v>
      </c>
      <c r="V2" s="9">
        <f>IF(COLUMNS($C$2:V2)&gt;DAY($AP$4),"",$AP$3+COLUMNS($C$2:V2)-1)</f>
        <v>45616</v>
      </c>
      <c r="W2" s="9">
        <f>IF(COLUMNS($C$2:W2)&gt;DAY($AP$4),"",$AP$3+COLUMNS($C$2:W2)-1)</f>
        <v>45617</v>
      </c>
      <c r="X2" s="9">
        <f>IF(COLUMNS($C$2:X2)&gt;DAY($AP$4),"",$AP$3+COLUMNS($C$2:X2)-1)</f>
        <v>45618</v>
      </c>
      <c r="Y2" s="9">
        <f>IF(COLUMNS($C$2:Y2)&gt;DAY($AP$4),"",$AP$3+COLUMNS($C$2:Y2)-1)</f>
        <v>45619</v>
      </c>
      <c r="Z2" s="9">
        <f>IF(COLUMNS($C$2:Z2)&gt;DAY($AP$4),"",$AP$3+COLUMNS($C$2:Z2)-1)</f>
        <v>45620</v>
      </c>
      <c r="AA2" s="9">
        <f>IF(COLUMNS($C$2:AA2)&gt;DAY($AP$4),"",$AP$3+COLUMNS($C$2:AA2)-1)</f>
        <v>45621</v>
      </c>
      <c r="AB2" s="9">
        <f>IF(COLUMNS($C$2:AB2)&gt;DAY($AP$4),"",$AP$3+COLUMNS($C$2:AB2)-1)</f>
        <v>45622</v>
      </c>
      <c r="AC2" s="9">
        <f>IF(COLUMNS($C$2:AC2)&gt;DAY($AP$4),"",$AP$3+COLUMNS($C$2:AC2)-1)</f>
        <v>45623</v>
      </c>
      <c r="AD2" s="9">
        <f>IF(COLUMNS($C$2:AD2)&gt;DAY($AP$4),"",$AP$3+COLUMNS($C$2:AD2)-1)</f>
        <v>45624</v>
      </c>
      <c r="AE2" s="9">
        <f>IF(COLUMNS($C$2:AE2)&gt;DAY($AP$4),"",$AP$3+COLUMNS($C$2:AE2)-1)</f>
        <v>45625</v>
      </c>
      <c r="AF2" s="9">
        <f>IF(COLUMNS($C$2:AF2)&gt;DAY($AP$4),"",$AP$3+COLUMNS($C$2:AF2)-1)</f>
        <v>45626</v>
      </c>
      <c r="AG2" s="9" t="str">
        <f>IF(COLUMNS($C$2:AG2)&gt;DAY($AP$4),"",$AP$3+COLUMNS($C$2:AG2)-1)</f>
        <v/>
      </c>
      <c r="AH2" s="28"/>
      <c r="AI2" s="28"/>
      <c r="AJ2" s="30"/>
      <c r="AK2" s="28"/>
      <c r="AL2" s="29"/>
      <c r="AM2" s="29"/>
      <c r="AO2" s="6" t="s">
        <v>83</v>
      </c>
      <c r="AP2" s="11">
        <v>2024</v>
      </c>
    </row>
    <row r="3" spans="1:42">
      <c r="A3" s="27"/>
      <c r="B3" t="s">
        <v>18</v>
      </c>
      <c r="C3">
        <v>2</v>
      </c>
      <c r="D3">
        <v>5</v>
      </c>
      <c r="E3">
        <v>7</v>
      </c>
      <c r="F3">
        <v>8</v>
      </c>
      <c r="G3">
        <v>6</v>
      </c>
      <c r="H3">
        <v>4</v>
      </c>
      <c r="I3">
        <v>9</v>
      </c>
      <c r="J3">
        <v>7</v>
      </c>
      <c r="K3">
        <v>5</v>
      </c>
      <c r="L3">
        <v>7</v>
      </c>
      <c r="M3">
        <v>9</v>
      </c>
      <c r="N3">
        <v>4</v>
      </c>
      <c r="O3">
        <v>3</v>
      </c>
      <c r="P3">
        <v>7</v>
      </c>
      <c r="AH3" s="25">
        <f>IF(SUM($C3:$AG3)&gt;0,SUM($C3:$AG3),"")</f>
        <v>83</v>
      </c>
      <c r="AI3">
        <v>40</v>
      </c>
      <c r="AJ3">
        <v>80</v>
      </c>
      <c r="AK3">
        <f>AJ3-AI3</f>
        <v>40</v>
      </c>
      <c r="AL3" s="15">
        <f>AJ3*AH3</f>
        <v>6640</v>
      </c>
      <c r="AM3" s="15">
        <f>IFERROR(AK3*AH3,"")</f>
        <v>3320</v>
      </c>
      <c r="AO3" s="7" t="s">
        <v>84</v>
      </c>
      <c r="AP3" s="4">
        <f>DATE(AP2,MONTH(AP1&amp;1),1)</f>
        <v>45597</v>
      </c>
    </row>
    <row r="4" spans="1:42">
      <c r="A4" s="27"/>
      <c r="B4" t="s">
        <v>20</v>
      </c>
      <c r="AH4" s="25" t="str">
        <f>IF(SUM($C4:$AG4)&gt;0,SUM($C4:$AG4),"")</f>
        <v/>
      </c>
      <c r="AI4">
        <v>7</v>
      </c>
      <c r="AJ4">
        <v>15</v>
      </c>
      <c r="AK4">
        <f t="shared" ref="AK4:AK57" si="1">AJ4-AI4</f>
        <v>8</v>
      </c>
      <c r="AL4" s="15" t="e">
        <f t="shared" ref="AL4:AL57" si="2">AJ4*AH4</f>
        <v>#VALUE!</v>
      </c>
      <c r="AM4" s="15" t="str">
        <f t="shared" ref="AM4:AM57" si="3">IFERROR(AK4*AH4,"")</f>
        <v/>
      </c>
      <c r="AO4" s="7" t="s">
        <v>85</v>
      </c>
      <c r="AP4" s="4">
        <f>EOMONTH(AP3,0)</f>
        <v>45626</v>
      </c>
    </row>
    <row r="5" spans="1:42">
      <c r="A5" s="27"/>
      <c r="B5" t="s">
        <v>21</v>
      </c>
      <c r="AH5" s="25" t="str">
        <f t="shared" ref="AH5:AH57" si="4">IF(SUM($C5:$AG5)&gt;0,SUM($C5:$AG5),"")</f>
        <v/>
      </c>
      <c r="AI5">
        <v>5</v>
      </c>
      <c r="AJ5">
        <v>10</v>
      </c>
      <c r="AK5">
        <f t="shared" si="1"/>
        <v>5</v>
      </c>
      <c r="AL5" s="15" t="e">
        <f t="shared" si="2"/>
        <v>#VALUE!</v>
      </c>
      <c r="AM5" s="15" t="str">
        <f t="shared" si="3"/>
        <v/>
      </c>
    </row>
    <row r="6" spans="1:42">
      <c r="A6" s="27"/>
      <c r="B6" t="s">
        <v>23</v>
      </c>
      <c r="AH6" s="25" t="str">
        <f t="shared" si="4"/>
        <v/>
      </c>
      <c r="AI6">
        <v>45</v>
      </c>
      <c r="AJ6">
        <v>80</v>
      </c>
      <c r="AK6">
        <f t="shared" si="1"/>
        <v>35</v>
      </c>
      <c r="AL6" s="15" t="e">
        <f t="shared" si="2"/>
        <v>#VALUE!</v>
      </c>
      <c r="AM6" s="15" t="str">
        <f t="shared" si="3"/>
        <v/>
      </c>
    </row>
    <row r="7" spans="1:42">
      <c r="A7" s="27"/>
      <c r="B7" t="s">
        <v>24</v>
      </c>
      <c r="AH7" s="25" t="str">
        <f t="shared" si="4"/>
        <v/>
      </c>
      <c r="AI7">
        <v>392</v>
      </c>
      <c r="AJ7">
        <v>420</v>
      </c>
      <c r="AK7">
        <f t="shared" si="1"/>
        <v>28</v>
      </c>
      <c r="AL7" s="15" t="e">
        <f t="shared" si="2"/>
        <v>#VALUE!</v>
      </c>
      <c r="AM7" s="15" t="str">
        <f t="shared" si="3"/>
        <v/>
      </c>
      <c r="AO7" s="1" t="s">
        <v>86</v>
      </c>
    </row>
    <row r="8" spans="1:42">
      <c r="A8" s="27"/>
      <c r="B8" t="s">
        <v>25</v>
      </c>
      <c r="AH8" s="25" t="str">
        <f t="shared" si="4"/>
        <v/>
      </c>
      <c r="AI8">
        <v>86</v>
      </c>
      <c r="AJ8">
        <v>100</v>
      </c>
      <c r="AK8">
        <f t="shared" si="1"/>
        <v>14</v>
      </c>
      <c r="AL8" s="15" t="e">
        <f t="shared" si="2"/>
        <v>#VALUE!</v>
      </c>
      <c r="AM8" s="15" t="str">
        <f t="shared" si="3"/>
        <v/>
      </c>
      <c r="AO8" t="s">
        <v>87</v>
      </c>
    </row>
    <row r="9" spans="1:42">
      <c r="A9" s="27"/>
      <c r="B9" t="s">
        <v>26</v>
      </c>
      <c r="AH9" s="25" t="str">
        <f t="shared" si="4"/>
        <v/>
      </c>
      <c r="AI9">
        <v>271</v>
      </c>
      <c r="AJ9">
        <v>300</v>
      </c>
      <c r="AK9">
        <f t="shared" si="1"/>
        <v>29</v>
      </c>
      <c r="AL9" s="15" t="e">
        <f t="shared" si="2"/>
        <v>#VALUE!</v>
      </c>
      <c r="AM9" s="15" t="str">
        <f t="shared" si="3"/>
        <v/>
      </c>
      <c r="AO9" t="s">
        <v>88</v>
      </c>
      <c r="AP9" s="13">
        <f>'Attendence (Nov)'!AL3</f>
        <v>0</v>
      </c>
    </row>
    <row r="10" spans="1:42">
      <c r="A10" s="27"/>
      <c r="B10" t="s">
        <v>27</v>
      </c>
      <c r="AH10" s="25" t="str">
        <f t="shared" si="4"/>
        <v/>
      </c>
      <c r="AI10">
        <v>226</v>
      </c>
      <c r="AJ10">
        <v>250</v>
      </c>
      <c r="AK10">
        <f t="shared" si="1"/>
        <v>24</v>
      </c>
      <c r="AL10" s="15" t="e">
        <f t="shared" si="2"/>
        <v>#VALUE!</v>
      </c>
      <c r="AM10" s="15" t="str">
        <f t="shared" si="3"/>
        <v/>
      </c>
      <c r="AO10" t="s">
        <v>89</v>
      </c>
      <c r="AP10" s="13">
        <f>'Attendence (Nov)'!AL4</f>
        <v>0</v>
      </c>
    </row>
    <row r="11" spans="1:42">
      <c r="A11" s="27"/>
      <c r="B11" t="s">
        <v>28</v>
      </c>
      <c r="AH11" s="25" t="str">
        <f t="shared" si="4"/>
        <v/>
      </c>
      <c r="AI11">
        <v>390</v>
      </c>
      <c r="AJ11">
        <v>450</v>
      </c>
      <c r="AK11">
        <f t="shared" si="1"/>
        <v>60</v>
      </c>
      <c r="AL11" s="15" t="e">
        <f t="shared" si="2"/>
        <v>#VALUE!</v>
      </c>
      <c r="AM11" s="15" t="str">
        <f t="shared" si="3"/>
        <v/>
      </c>
      <c r="AO11" t="s">
        <v>90</v>
      </c>
      <c r="AP11" s="13">
        <f>'Attendence (Nov)'!AL5</f>
        <v>0</v>
      </c>
    </row>
    <row r="12" spans="1:42">
      <c r="A12" s="27"/>
      <c r="B12" t="s">
        <v>29</v>
      </c>
      <c r="AH12" s="25" t="str">
        <f t="shared" si="4"/>
        <v/>
      </c>
      <c r="AI12">
        <v>379</v>
      </c>
      <c r="AJ12">
        <v>430</v>
      </c>
      <c r="AK12">
        <f t="shared" si="1"/>
        <v>51</v>
      </c>
      <c r="AL12" s="15" t="e">
        <f t="shared" si="2"/>
        <v>#VALUE!</v>
      </c>
      <c r="AM12" s="15" t="str">
        <f t="shared" si="3"/>
        <v/>
      </c>
      <c r="AO12" t="s">
        <v>91</v>
      </c>
      <c r="AP12" s="13">
        <f>'Attendence (Nov)'!AL6</f>
        <v>0</v>
      </c>
    </row>
    <row r="13" spans="1:42">
      <c r="A13" s="27"/>
      <c r="B13" t="s">
        <v>30</v>
      </c>
      <c r="AH13" s="25" t="str">
        <f t="shared" si="4"/>
        <v/>
      </c>
      <c r="AI13">
        <v>368</v>
      </c>
      <c r="AJ13">
        <v>435</v>
      </c>
      <c r="AK13">
        <f t="shared" si="1"/>
        <v>67</v>
      </c>
      <c r="AL13" s="15" t="e">
        <f t="shared" si="2"/>
        <v>#VALUE!</v>
      </c>
      <c r="AM13" s="15" t="str">
        <f t="shared" si="3"/>
        <v/>
      </c>
      <c r="AO13" t="s">
        <v>92</v>
      </c>
      <c r="AP13" s="13">
        <v>10000</v>
      </c>
    </row>
    <row r="14" spans="1:42">
      <c r="A14" s="27"/>
      <c r="B14" t="s">
        <v>31</v>
      </c>
      <c r="AH14" s="25" t="str">
        <f t="shared" si="4"/>
        <v/>
      </c>
      <c r="AI14">
        <v>88</v>
      </c>
      <c r="AJ14">
        <v>99</v>
      </c>
      <c r="AK14">
        <f t="shared" si="1"/>
        <v>11</v>
      </c>
      <c r="AL14" s="15" t="e">
        <f t="shared" si="2"/>
        <v>#VALUE!</v>
      </c>
      <c r="AM14" s="15" t="str">
        <f t="shared" si="3"/>
        <v/>
      </c>
      <c r="AO14" t="s">
        <v>93</v>
      </c>
      <c r="AP14" s="13">
        <v>2000</v>
      </c>
    </row>
    <row r="15" spans="1:42">
      <c r="A15" s="27"/>
      <c r="B15" t="s">
        <v>32</v>
      </c>
      <c r="AH15" s="25" t="str">
        <f t="shared" si="4"/>
        <v/>
      </c>
      <c r="AI15">
        <v>391</v>
      </c>
      <c r="AJ15">
        <v>500</v>
      </c>
      <c r="AK15">
        <f t="shared" si="1"/>
        <v>109</v>
      </c>
      <c r="AL15" s="15" t="e">
        <f t="shared" si="2"/>
        <v>#VALUE!</v>
      </c>
      <c r="AM15" s="15" t="str">
        <f t="shared" si="3"/>
        <v/>
      </c>
      <c r="AO15" t="s">
        <v>80</v>
      </c>
      <c r="AP15" s="13">
        <f>SUM(AM3:AM57)</f>
        <v>3320</v>
      </c>
    </row>
    <row r="16" spans="1:42">
      <c r="A16" s="27"/>
      <c r="B16" t="s">
        <v>33</v>
      </c>
      <c r="AH16" s="25" t="str">
        <f t="shared" si="4"/>
        <v/>
      </c>
      <c r="AI16">
        <v>261</v>
      </c>
      <c r="AJ16">
        <v>300</v>
      </c>
      <c r="AK16">
        <f t="shared" si="1"/>
        <v>39</v>
      </c>
      <c r="AL16" s="15" t="e">
        <f t="shared" si="2"/>
        <v>#VALUE!</v>
      </c>
      <c r="AM16" s="15" t="str">
        <f t="shared" si="3"/>
        <v/>
      </c>
      <c r="AO16" s="1" t="s">
        <v>94</v>
      </c>
      <c r="AP16" s="14">
        <f>AP15-(AP9+AP10+AP11+AP12+AP13+AP14)</f>
        <v>-8680</v>
      </c>
    </row>
    <row r="17" spans="1:39">
      <c r="A17" s="27"/>
      <c r="B17" t="s">
        <v>34</v>
      </c>
      <c r="AH17" s="25" t="str">
        <f t="shared" si="4"/>
        <v/>
      </c>
      <c r="AI17">
        <v>67</v>
      </c>
      <c r="AJ17">
        <v>99</v>
      </c>
      <c r="AK17">
        <f t="shared" si="1"/>
        <v>32</v>
      </c>
      <c r="AL17" s="15" t="e">
        <f t="shared" si="2"/>
        <v>#VALUE!</v>
      </c>
      <c r="AM17" s="15" t="str">
        <f t="shared" si="3"/>
        <v/>
      </c>
    </row>
    <row r="18" spans="1:39">
      <c r="A18" s="27"/>
      <c r="B18" t="s">
        <v>35</v>
      </c>
      <c r="AH18" s="25" t="str">
        <f t="shared" si="4"/>
        <v/>
      </c>
      <c r="AI18">
        <v>138</v>
      </c>
      <c r="AJ18">
        <v>150</v>
      </c>
      <c r="AK18">
        <f t="shared" si="1"/>
        <v>12</v>
      </c>
      <c r="AL18" s="15" t="e">
        <f t="shared" si="2"/>
        <v>#VALUE!</v>
      </c>
      <c r="AM18" s="15" t="str">
        <f t="shared" si="3"/>
        <v/>
      </c>
    </row>
    <row r="19" spans="1:39">
      <c r="A19" s="27"/>
      <c r="B19" t="s">
        <v>36</v>
      </c>
      <c r="AH19" s="25" t="str">
        <f t="shared" si="4"/>
        <v/>
      </c>
      <c r="AI19">
        <v>60</v>
      </c>
      <c r="AJ19">
        <v>80</v>
      </c>
      <c r="AK19">
        <f t="shared" si="1"/>
        <v>20</v>
      </c>
      <c r="AL19" s="15" t="e">
        <f t="shared" si="2"/>
        <v>#VALUE!</v>
      </c>
      <c r="AM19" s="15" t="str">
        <f t="shared" si="3"/>
        <v/>
      </c>
    </row>
    <row r="20" spans="1:39">
      <c r="A20" s="27"/>
      <c r="B20" t="s">
        <v>37</v>
      </c>
      <c r="AH20" s="25" t="str">
        <f t="shared" si="4"/>
        <v/>
      </c>
      <c r="AI20">
        <v>44</v>
      </c>
      <c r="AJ20">
        <v>50</v>
      </c>
      <c r="AK20">
        <f t="shared" si="1"/>
        <v>6</v>
      </c>
      <c r="AL20" s="15" t="e">
        <f t="shared" si="2"/>
        <v>#VALUE!</v>
      </c>
      <c r="AM20" s="15" t="str">
        <f t="shared" si="3"/>
        <v/>
      </c>
    </row>
    <row r="21" spans="1:39">
      <c r="A21" s="27"/>
      <c r="B21" t="s">
        <v>38</v>
      </c>
      <c r="AH21" s="25" t="str">
        <f t="shared" si="4"/>
        <v/>
      </c>
      <c r="AI21">
        <v>308</v>
      </c>
      <c r="AJ21">
        <v>320</v>
      </c>
      <c r="AK21">
        <f t="shared" si="1"/>
        <v>12</v>
      </c>
      <c r="AL21" s="15" t="e">
        <f t="shared" si="2"/>
        <v>#VALUE!</v>
      </c>
      <c r="AM21" s="15" t="str">
        <f t="shared" si="3"/>
        <v/>
      </c>
    </row>
    <row r="22" spans="1:39">
      <c r="A22" s="27"/>
      <c r="B22" t="s">
        <v>39</v>
      </c>
      <c r="AH22" s="25" t="str">
        <f t="shared" si="4"/>
        <v/>
      </c>
      <c r="AI22">
        <v>234</v>
      </c>
      <c r="AJ22">
        <v>250</v>
      </c>
      <c r="AK22">
        <f t="shared" si="1"/>
        <v>16</v>
      </c>
      <c r="AL22" s="15" t="e">
        <f t="shared" si="2"/>
        <v>#VALUE!</v>
      </c>
      <c r="AM22" s="15" t="str">
        <f t="shared" si="3"/>
        <v/>
      </c>
    </row>
    <row r="23" spans="1:39">
      <c r="A23" s="27"/>
      <c r="B23" t="s">
        <v>40</v>
      </c>
      <c r="AH23" s="25" t="str">
        <f t="shared" si="4"/>
        <v/>
      </c>
      <c r="AI23">
        <v>121</v>
      </c>
      <c r="AJ23">
        <v>140</v>
      </c>
      <c r="AK23">
        <f t="shared" si="1"/>
        <v>19</v>
      </c>
      <c r="AL23" s="15" t="e">
        <f t="shared" si="2"/>
        <v>#VALUE!</v>
      </c>
      <c r="AM23" s="15" t="str">
        <f t="shared" si="3"/>
        <v/>
      </c>
    </row>
    <row r="24" spans="1:39">
      <c r="A24" s="27"/>
      <c r="B24" t="s">
        <v>41</v>
      </c>
      <c r="AH24" s="25" t="str">
        <f t="shared" si="4"/>
        <v/>
      </c>
      <c r="AI24">
        <v>350</v>
      </c>
      <c r="AJ24">
        <v>390</v>
      </c>
      <c r="AK24">
        <f t="shared" si="1"/>
        <v>40</v>
      </c>
      <c r="AL24" s="15" t="e">
        <f t="shared" si="2"/>
        <v>#VALUE!</v>
      </c>
      <c r="AM24" s="15" t="str">
        <f t="shared" si="3"/>
        <v/>
      </c>
    </row>
    <row r="25" spans="1:39">
      <c r="A25" s="27"/>
      <c r="B25" t="s">
        <v>42</v>
      </c>
      <c r="AH25" s="25" t="str">
        <f t="shared" si="4"/>
        <v/>
      </c>
      <c r="AI25">
        <v>211</v>
      </c>
      <c r="AJ25">
        <v>240</v>
      </c>
      <c r="AK25">
        <f t="shared" si="1"/>
        <v>29</v>
      </c>
      <c r="AL25" s="15" t="e">
        <f t="shared" si="2"/>
        <v>#VALUE!</v>
      </c>
      <c r="AM25" s="15" t="str">
        <f t="shared" si="3"/>
        <v/>
      </c>
    </row>
    <row r="26" spans="1:39">
      <c r="A26" s="27"/>
      <c r="B26" t="s">
        <v>43</v>
      </c>
      <c r="AH26" s="25" t="str">
        <f t="shared" si="4"/>
        <v/>
      </c>
      <c r="AI26">
        <v>247</v>
      </c>
      <c r="AJ26">
        <v>280</v>
      </c>
      <c r="AK26">
        <f t="shared" si="1"/>
        <v>33</v>
      </c>
      <c r="AL26" s="15" t="e">
        <f t="shared" si="2"/>
        <v>#VALUE!</v>
      </c>
      <c r="AM26" s="15" t="str">
        <f t="shared" si="3"/>
        <v/>
      </c>
    </row>
    <row r="27" spans="1:39">
      <c r="A27" s="27"/>
      <c r="B27" t="s">
        <v>44</v>
      </c>
      <c r="AH27" s="25" t="str">
        <f t="shared" si="4"/>
        <v/>
      </c>
      <c r="AI27">
        <v>286</v>
      </c>
      <c r="AJ27">
        <v>320</v>
      </c>
      <c r="AK27">
        <f t="shared" si="1"/>
        <v>34</v>
      </c>
      <c r="AL27" s="15" t="e">
        <f t="shared" si="2"/>
        <v>#VALUE!</v>
      </c>
      <c r="AM27" s="15" t="str">
        <f t="shared" si="3"/>
        <v/>
      </c>
    </row>
    <row r="28" spans="1:39">
      <c r="A28" s="27"/>
      <c r="B28" t="s">
        <v>45</v>
      </c>
      <c r="AH28" s="25" t="str">
        <f t="shared" si="4"/>
        <v/>
      </c>
      <c r="AI28">
        <v>67</v>
      </c>
      <c r="AJ28">
        <v>80</v>
      </c>
      <c r="AK28">
        <f t="shared" si="1"/>
        <v>13</v>
      </c>
      <c r="AL28" s="15" t="e">
        <f t="shared" si="2"/>
        <v>#VALUE!</v>
      </c>
      <c r="AM28" s="15" t="str">
        <f t="shared" si="3"/>
        <v/>
      </c>
    </row>
    <row r="29" spans="1:39">
      <c r="A29" s="27"/>
      <c r="B29" t="s">
        <v>46</v>
      </c>
      <c r="AH29" s="25" t="str">
        <f t="shared" si="4"/>
        <v/>
      </c>
      <c r="AI29">
        <v>335</v>
      </c>
      <c r="AJ29">
        <v>350</v>
      </c>
      <c r="AK29">
        <f t="shared" si="1"/>
        <v>15</v>
      </c>
      <c r="AL29" s="15" t="e">
        <f t="shared" si="2"/>
        <v>#VALUE!</v>
      </c>
      <c r="AM29" s="15" t="str">
        <f t="shared" si="3"/>
        <v/>
      </c>
    </row>
    <row r="30" spans="1:39">
      <c r="A30" s="27"/>
      <c r="B30" t="s">
        <v>47</v>
      </c>
      <c r="AH30" s="25" t="str">
        <f t="shared" si="4"/>
        <v/>
      </c>
      <c r="AI30">
        <v>366</v>
      </c>
      <c r="AJ30">
        <v>400</v>
      </c>
      <c r="AK30">
        <f t="shared" si="1"/>
        <v>34</v>
      </c>
      <c r="AL30" s="15" t="e">
        <f t="shared" si="2"/>
        <v>#VALUE!</v>
      </c>
      <c r="AM30" s="15" t="str">
        <f t="shared" si="3"/>
        <v/>
      </c>
    </row>
    <row r="31" spans="1:39">
      <c r="A31" s="27"/>
      <c r="B31" t="s">
        <v>48</v>
      </c>
      <c r="AH31" s="25" t="str">
        <f t="shared" si="4"/>
        <v/>
      </c>
      <c r="AI31">
        <v>167</v>
      </c>
      <c r="AJ31">
        <v>200</v>
      </c>
      <c r="AK31">
        <f t="shared" si="1"/>
        <v>33</v>
      </c>
      <c r="AL31" s="15" t="e">
        <f t="shared" si="2"/>
        <v>#VALUE!</v>
      </c>
      <c r="AM31" s="15" t="str">
        <f t="shared" si="3"/>
        <v/>
      </c>
    </row>
    <row r="32" spans="1:39">
      <c r="A32" s="27"/>
      <c r="B32" t="s">
        <v>49</v>
      </c>
      <c r="AH32" s="25" t="str">
        <f t="shared" si="4"/>
        <v/>
      </c>
      <c r="AI32">
        <v>73</v>
      </c>
      <c r="AJ32">
        <v>100</v>
      </c>
      <c r="AK32">
        <f t="shared" si="1"/>
        <v>27</v>
      </c>
      <c r="AL32" s="15" t="e">
        <f t="shared" si="2"/>
        <v>#VALUE!</v>
      </c>
      <c r="AM32" s="15" t="str">
        <f t="shared" si="3"/>
        <v/>
      </c>
    </row>
    <row r="33" spans="1:39">
      <c r="A33" s="27"/>
      <c r="B33" t="s">
        <v>50</v>
      </c>
      <c r="AH33" s="25" t="str">
        <f t="shared" si="4"/>
        <v/>
      </c>
      <c r="AI33">
        <v>367</v>
      </c>
      <c r="AJ33">
        <v>450</v>
      </c>
      <c r="AK33">
        <f t="shared" si="1"/>
        <v>83</v>
      </c>
      <c r="AL33" s="15" t="e">
        <f t="shared" si="2"/>
        <v>#VALUE!</v>
      </c>
      <c r="AM33" s="15" t="str">
        <f t="shared" si="3"/>
        <v/>
      </c>
    </row>
    <row r="34" spans="1:39">
      <c r="A34" s="27"/>
      <c r="B34" t="s">
        <v>51</v>
      </c>
      <c r="AH34" s="25" t="str">
        <f t="shared" si="4"/>
        <v/>
      </c>
      <c r="AI34">
        <v>342</v>
      </c>
      <c r="AJ34">
        <v>390</v>
      </c>
      <c r="AK34">
        <f t="shared" si="1"/>
        <v>48</v>
      </c>
      <c r="AL34" s="15" t="e">
        <f t="shared" si="2"/>
        <v>#VALUE!</v>
      </c>
      <c r="AM34" s="15" t="str">
        <f t="shared" si="3"/>
        <v/>
      </c>
    </row>
    <row r="35" spans="1:39">
      <c r="A35" s="27"/>
      <c r="B35" t="s">
        <v>52</v>
      </c>
      <c r="AH35" s="25" t="str">
        <f t="shared" si="4"/>
        <v/>
      </c>
      <c r="AI35">
        <v>363</v>
      </c>
      <c r="AJ35">
        <v>420</v>
      </c>
      <c r="AK35">
        <f t="shared" si="1"/>
        <v>57</v>
      </c>
      <c r="AL35" s="15" t="e">
        <f t="shared" si="2"/>
        <v>#VALUE!</v>
      </c>
      <c r="AM35" s="15" t="str">
        <f t="shared" si="3"/>
        <v/>
      </c>
    </row>
    <row r="36" spans="1:39">
      <c r="A36" s="27"/>
      <c r="B36" t="s">
        <v>53</v>
      </c>
      <c r="AH36" s="25" t="str">
        <f t="shared" si="4"/>
        <v/>
      </c>
      <c r="AI36">
        <v>263</v>
      </c>
      <c r="AJ36">
        <v>300</v>
      </c>
      <c r="AK36">
        <f t="shared" si="1"/>
        <v>37</v>
      </c>
      <c r="AL36" s="15" t="e">
        <f t="shared" si="2"/>
        <v>#VALUE!</v>
      </c>
      <c r="AM36" s="15" t="str">
        <f t="shared" si="3"/>
        <v/>
      </c>
    </row>
    <row r="37" spans="1:39">
      <c r="A37" s="27"/>
      <c r="B37" t="s">
        <v>54</v>
      </c>
      <c r="AH37" s="25" t="str">
        <f t="shared" si="4"/>
        <v/>
      </c>
      <c r="AI37">
        <v>96</v>
      </c>
      <c r="AJ37">
        <v>120</v>
      </c>
      <c r="AK37">
        <f t="shared" si="1"/>
        <v>24</v>
      </c>
      <c r="AL37" s="15" t="e">
        <f t="shared" si="2"/>
        <v>#VALUE!</v>
      </c>
      <c r="AM37" s="15" t="str">
        <f t="shared" si="3"/>
        <v/>
      </c>
    </row>
    <row r="38" spans="1:39">
      <c r="A38" s="27"/>
      <c r="B38" t="s">
        <v>55</v>
      </c>
      <c r="AH38" s="25" t="str">
        <f t="shared" si="4"/>
        <v/>
      </c>
      <c r="AI38">
        <v>196</v>
      </c>
      <c r="AJ38">
        <v>230</v>
      </c>
      <c r="AK38">
        <f t="shared" si="1"/>
        <v>34</v>
      </c>
      <c r="AL38" s="15" t="e">
        <f t="shared" si="2"/>
        <v>#VALUE!</v>
      </c>
      <c r="AM38" s="15" t="str">
        <f t="shared" si="3"/>
        <v/>
      </c>
    </row>
    <row r="39" spans="1:39">
      <c r="A39" s="27"/>
      <c r="B39" t="s">
        <v>56</v>
      </c>
      <c r="AH39" s="25" t="str">
        <f t="shared" si="4"/>
        <v/>
      </c>
      <c r="AI39">
        <v>98</v>
      </c>
      <c r="AJ39">
        <v>115</v>
      </c>
      <c r="AK39">
        <f t="shared" si="1"/>
        <v>17</v>
      </c>
      <c r="AL39" s="15" t="e">
        <f t="shared" si="2"/>
        <v>#VALUE!</v>
      </c>
      <c r="AM39" s="15" t="str">
        <f t="shared" si="3"/>
        <v/>
      </c>
    </row>
    <row r="40" spans="1:39">
      <c r="A40" s="27"/>
      <c r="B40" t="s">
        <v>57</v>
      </c>
      <c r="AH40" s="25" t="str">
        <f t="shared" si="4"/>
        <v/>
      </c>
      <c r="AI40">
        <v>75</v>
      </c>
      <c r="AJ40">
        <v>99</v>
      </c>
      <c r="AK40">
        <f t="shared" si="1"/>
        <v>24</v>
      </c>
      <c r="AL40" s="15" t="e">
        <f t="shared" si="2"/>
        <v>#VALUE!</v>
      </c>
      <c r="AM40" s="15" t="str">
        <f t="shared" si="3"/>
        <v/>
      </c>
    </row>
    <row r="41" spans="1:39">
      <c r="A41" s="27"/>
      <c r="B41" t="s">
        <v>58</v>
      </c>
      <c r="AH41" s="25" t="str">
        <f t="shared" si="4"/>
        <v/>
      </c>
      <c r="AI41">
        <v>105</v>
      </c>
      <c r="AJ41">
        <v>140</v>
      </c>
      <c r="AK41">
        <f t="shared" si="1"/>
        <v>35</v>
      </c>
      <c r="AL41" s="15" t="e">
        <f t="shared" si="2"/>
        <v>#VALUE!</v>
      </c>
      <c r="AM41" s="15" t="str">
        <f t="shared" si="3"/>
        <v/>
      </c>
    </row>
    <row r="42" spans="1:39">
      <c r="A42" s="27"/>
      <c r="B42" t="s">
        <v>59</v>
      </c>
      <c r="AH42" s="25" t="str">
        <f t="shared" si="4"/>
        <v/>
      </c>
      <c r="AI42">
        <v>37</v>
      </c>
      <c r="AJ42">
        <v>50</v>
      </c>
      <c r="AK42">
        <f t="shared" si="1"/>
        <v>13</v>
      </c>
      <c r="AL42" s="15" t="e">
        <f t="shared" si="2"/>
        <v>#VALUE!</v>
      </c>
      <c r="AM42" s="15" t="str">
        <f t="shared" si="3"/>
        <v/>
      </c>
    </row>
    <row r="43" spans="1:39">
      <c r="A43" s="27"/>
      <c r="B43" t="s">
        <v>60</v>
      </c>
      <c r="AH43" s="25" t="str">
        <f t="shared" si="4"/>
        <v/>
      </c>
      <c r="AI43">
        <v>221</v>
      </c>
      <c r="AJ43">
        <v>250</v>
      </c>
      <c r="AK43">
        <f t="shared" si="1"/>
        <v>29</v>
      </c>
      <c r="AL43" s="15" t="e">
        <f t="shared" si="2"/>
        <v>#VALUE!</v>
      </c>
      <c r="AM43" s="15" t="str">
        <f t="shared" si="3"/>
        <v/>
      </c>
    </row>
    <row r="44" spans="1:39">
      <c r="A44" s="27"/>
      <c r="B44" t="s">
        <v>61</v>
      </c>
      <c r="AH44" s="25" t="str">
        <f t="shared" si="4"/>
        <v/>
      </c>
      <c r="AI44">
        <v>140</v>
      </c>
      <c r="AJ44">
        <v>150</v>
      </c>
      <c r="AK44">
        <f t="shared" si="1"/>
        <v>10</v>
      </c>
      <c r="AL44" s="15" t="e">
        <f t="shared" si="2"/>
        <v>#VALUE!</v>
      </c>
      <c r="AM44" s="15" t="str">
        <f t="shared" si="3"/>
        <v/>
      </c>
    </row>
    <row r="45" spans="1:39">
      <c r="A45" s="27"/>
      <c r="B45" t="s">
        <v>62</v>
      </c>
      <c r="AH45" s="25" t="str">
        <f t="shared" si="4"/>
        <v/>
      </c>
      <c r="AI45">
        <v>154</v>
      </c>
      <c r="AJ45">
        <v>170</v>
      </c>
      <c r="AK45">
        <f t="shared" si="1"/>
        <v>16</v>
      </c>
      <c r="AL45" s="15" t="e">
        <f t="shared" si="2"/>
        <v>#VALUE!</v>
      </c>
      <c r="AM45" s="15" t="str">
        <f t="shared" si="3"/>
        <v/>
      </c>
    </row>
    <row r="46" spans="1:39">
      <c r="A46" s="27"/>
      <c r="B46" t="s">
        <v>63</v>
      </c>
      <c r="AH46" s="25" t="str">
        <f t="shared" si="4"/>
        <v/>
      </c>
      <c r="AI46">
        <v>322</v>
      </c>
      <c r="AJ46">
        <v>345</v>
      </c>
      <c r="AK46">
        <f t="shared" si="1"/>
        <v>23</v>
      </c>
      <c r="AL46" s="15" t="e">
        <f t="shared" si="2"/>
        <v>#VALUE!</v>
      </c>
      <c r="AM46" s="15" t="str">
        <f t="shared" si="3"/>
        <v/>
      </c>
    </row>
    <row r="47" spans="1:39">
      <c r="A47" s="27"/>
      <c r="B47" t="s">
        <v>64</v>
      </c>
      <c r="AH47" s="25" t="str">
        <f t="shared" si="4"/>
        <v/>
      </c>
      <c r="AI47">
        <v>380</v>
      </c>
      <c r="AJ47">
        <v>456</v>
      </c>
      <c r="AK47">
        <f t="shared" si="1"/>
        <v>76</v>
      </c>
      <c r="AL47" s="15" t="e">
        <f t="shared" si="2"/>
        <v>#VALUE!</v>
      </c>
      <c r="AM47" s="15" t="str">
        <f t="shared" si="3"/>
        <v/>
      </c>
    </row>
    <row r="48" spans="1:39">
      <c r="A48" s="27"/>
      <c r="B48" t="s">
        <v>65</v>
      </c>
      <c r="AH48" s="25" t="str">
        <f t="shared" si="4"/>
        <v/>
      </c>
      <c r="AI48">
        <v>133</v>
      </c>
      <c r="AJ48">
        <v>158</v>
      </c>
      <c r="AK48">
        <f t="shared" si="1"/>
        <v>25</v>
      </c>
      <c r="AL48" s="15" t="e">
        <f t="shared" si="2"/>
        <v>#VALUE!</v>
      </c>
      <c r="AM48" s="15" t="str">
        <f t="shared" si="3"/>
        <v/>
      </c>
    </row>
    <row r="49" spans="1:39">
      <c r="A49" s="27"/>
      <c r="B49" t="s">
        <v>66</v>
      </c>
      <c r="AH49" s="25" t="str">
        <f t="shared" si="4"/>
        <v/>
      </c>
      <c r="AI49">
        <v>40</v>
      </c>
      <c r="AJ49">
        <v>65</v>
      </c>
      <c r="AK49">
        <f t="shared" si="1"/>
        <v>25</v>
      </c>
      <c r="AL49" s="15" t="e">
        <f t="shared" si="2"/>
        <v>#VALUE!</v>
      </c>
      <c r="AM49" s="15" t="str">
        <f t="shared" si="3"/>
        <v/>
      </c>
    </row>
    <row r="50" spans="1:39">
      <c r="A50" s="27"/>
      <c r="B50" t="s">
        <v>67</v>
      </c>
      <c r="AH50" s="25" t="str">
        <f t="shared" si="4"/>
        <v/>
      </c>
      <c r="AI50">
        <v>72</v>
      </c>
      <c r="AJ50">
        <v>89</v>
      </c>
      <c r="AK50">
        <f t="shared" si="1"/>
        <v>17</v>
      </c>
      <c r="AL50" s="15" t="e">
        <f t="shared" si="2"/>
        <v>#VALUE!</v>
      </c>
      <c r="AM50" s="15" t="str">
        <f t="shared" si="3"/>
        <v/>
      </c>
    </row>
    <row r="51" spans="1:39">
      <c r="A51" s="27"/>
      <c r="B51" t="s">
        <v>68</v>
      </c>
      <c r="AH51" s="25" t="str">
        <f t="shared" si="4"/>
        <v/>
      </c>
      <c r="AI51">
        <v>236</v>
      </c>
      <c r="AJ51">
        <v>268</v>
      </c>
      <c r="AK51">
        <f t="shared" si="1"/>
        <v>32</v>
      </c>
      <c r="AL51" s="15" t="e">
        <f t="shared" si="2"/>
        <v>#VALUE!</v>
      </c>
      <c r="AM51" s="15" t="str">
        <f t="shared" si="3"/>
        <v/>
      </c>
    </row>
    <row r="52" spans="1:39">
      <c r="A52" s="27"/>
      <c r="B52" t="s">
        <v>69</v>
      </c>
      <c r="AH52" s="25" t="str">
        <f t="shared" si="4"/>
        <v/>
      </c>
      <c r="AI52">
        <v>156</v>
      </c>
      <c r="AJ52">
        <v>178</v>
      </c>
      <c r="AK52">
        <f t="shared" si="1"/>
        <v>22</v>
      </c>
      <c r="AL52" s="15" t="e">
        <f t="shared" si="2"/>
        <v>#VALUE!</v>
      </c>
      <c r="AM52" s="15" t="str">
        <f t="shared" si="3"/>
        <v/>
      </c>
    </row>
    <row r="53" spans="1:39">
      <c r="A53" s="27"/>
      <c r="B53" t="s">
        <v>70</v>
      </c>
      <c r="AH53" s="25" t="str">
        <f t="shared" si="4"/>
        <v/>
      </c>
      <c r="AI53">
        <v>182</v>
      </c>
      <c r="AJ53">
        <v>225</v>
      </c>
      <c r="AK53">
        <f t="shared" si="1"/>
        <v>43</v>
      </c>
      <c r="AL53" s="15" t="e">
        <f t="shared" si="2"/>
        <v>#VALUE!</v>
      </c>
      <c r="AM53" s="15" t="str">
        <f t="shared" si="3"/>
        <v/>
      </c>
    </row>
    <row r="54" spans="1:39">
      <c r="A54" s="27"/>
      <c r="B54" t="s">
        <v>71</v>
      </c>
      <c r="AH54" s="25" t="str">
        <f t="shared" si="4"/>
        <v/>
      </c>
      <c r="AI54">
        <v>23</v>
      </c>
      <c r="AJ54">
        <v>35</v>
      </c>
      <c r="AK54">
        <f t="shared" si="1"/>
        <v>12</v>
      </c>
      <c r="AL54" s="15" t="e">
        <f t="shared" si="2"/>
        <v>#VALUE!</v>
      </c>
      <c r="AM54" s="15" t="str">
        <f t="shared" si="3"/>
        <v/>
      </c>
    </row>
    <row r="55" spans="1:39">
      <c r="A55" s="27"/>
      <c r="B55" t="s">
        <v>72</v>
      </c>
      <c r="AH55" s="25" t="str">
        <f t="shared" si="4"/>
        <v/>
      </c>
      <c r="AI55">
        <v>205</v>
      </c>
      <c r="AJ55">
        <v>260</v>
      </c>
      <c r="AK55">
        <f t="shared" si="1"/>
        <v>55</v>
      </c>
      <c r="AL55" s="15" t="e">
        <f t="shared" si="2"/>
        <v>#VALUE!</v>
      </c>
      <c r="AM55" s="15" t="str">
        <f t="shared" si="3"/>
        <v/>
      </c>
    </row>
    <row r="56" spans="1:39">
      <c r="A56" s="27"/>
      <c r="B56" t="s">
        <v>73</v>
      </c>
      <c r="AH56" s="25" t="str">
        <f t="shared" si="4"/>
        <v/>
      </c>
      <c r="AI56">
        <v>325</v>
      </c>
      <c r="AJ56">
        <v>358</v>
      </c>
      <c r="AK56">
        <f t="shared" si="1"/>
        <v>33</v>
      </c>
      <c r="AL56" s="15" t="e">
        <f t="shared" si="2"/>
        <v>#VALUE!</v>
      </c>
      <c r="AM56" s="15" t="str">
        <f t="shared" si="3"/>
        <v/>
      </c>
    </row>
    <row r="57" spans="1:39">
      <c r="A57" s="27"/>
      <c r="B57" t="s">
        <v>74</v>
      </c>
      <c r="AH57" s="25" t="str">
        <f t="shared" si="4"/>
        <v/>
      </c>
      <c r="AI57">
        <v>340</v>
      </c>
      <c r="AJ57">
        <v>380</v>
      </c>
      <c r="AK57">
        <f t="shared" si="1"/>
        <v>40</v>
      </c>
      <c r="AL57" s="15" t="e">
        <f t="shared" si="2"/>
        <v>#VALUE!</v>
      </c>
      <c r="AM57" s="15" t="str">
        <f t="shared" si="3"/>
        <v/>
      </c>
    </row>
    <row r="58" spans="1:39">
      <c r="A58" s="27"/>
    </row>
    <row r="59" spans="1:39">
      <c r="A59" s="27"/>
    </row>
    <row r="60" spans="1:39">
      <c r="A60" s="27"/>
    </row>
    <row r="61" spans="1:39">
      <c r="A61" s="27"/>
    </row>
    <row r="62" spans="1:39">
      <c r="A62" s="27"/>
    </row>
    <row r="63" spans="1:39">
      <c r="A63" s="27"/>
    </row>
    <row r="64" spans="1:39">
      <c r="A64" s="27"/>
    </row>
    <row r="65" spans="1:1">
      <c r="A65" s="27"/>
    </row>
    <row r="66" spans="1:1">
      <c r="A66" s="27"/>
    </row>
    <row r="67" spans="1:1">
      <c r="A67" s="27"/>
    </row>
    <row r="68" spans="1:1">
      <c r="A68" s="27"/>
    </row>
    <row r="69" spans="1:1">
      <c r="A69" s="27"/>
    </row>
    <row r="70" spans="1:1">
      <c r="A70" s="27"/>
    </row>
    <row r="71" spans="1:1">
      <c r="A71" s="27"/>
    </row>
    <row r="72" spans="1:1">
      <c r="A72" s="27"/>
    </row>
    <row r="73" spans="1:1">
      <c r="A73" s="27"/>
    </row>
    <row r="74" spans="1:1">
      <c r="A74" s="27"/>
    </row>
    <row r="75" spans="1:1">
      <c r="A75" s="27"/>
    </row>
    <row r="76" spans="1:1">
      <c r="A76" s="27"/>
    </row>
    <row r="77" spans="1:1">
      <c r="A77" s="27"/>
    </row>
    <row r="78" spans="1:1">
      <c r="A78" s="27"/>
    </row>
    <row r="79" spans="1:1">
      <c r="A79" s="27"/>
    </row>
    <row r="80" spans="1:1">
      <c r="A80" s="27"/>
    </row>
    <row r="81" spans="1:1">
      <c r="A81" s="27"/>
    </row>
    <row r="82" spans="1:1">
      <c r="A82" s="27"/>
    </row>
    <row r="83" spans="1:1">
      <c r="A83" s="27"/>
    </row>
    <row r="84" spans="1:1">
      <c r="A84" s="27"/>
    </row>
    <row r="85" spans="1:1">
      <c r="A85" s="27"/>
    </row>
    <row r="86" spans="1:1">
      <c r="A86" s="27"/>
    </row>
    <row r="87" spans="1:1">
      <c r="A87" s="27"/>
    </row>
  </sheetData>
  <mergeCells count="9">
    <mergeCell ref="AM1:AM2"/>
    <mergeCell ref="A30:A58"/>
    <mergeCell ref="A59:A87"/>
    <mergeCell ref="A1:A29"/>
    <mergeCell ref="AH1:AH2"/>
    <mergeCell ref="AI1:AI2"/>
    <mergeCell ref="AJ1:AJ2"/>
    <mergeCell ref="AK1:AK2"/>
    <mergeCell ref="AL1:AL2"/>
  </mergeCells>
  <dataValidations count="2">
    <dataValidation type="list" allowBlank="1" showInputMessage="1" showErrorMessage="1" sqref="AP1" xr:uid="{00000000-0002-0000-0C00-000000000000}">
      <formula1>"January,February,March,Aprail,May,June,July,August,September,October,November,December"</formula1>
    </dataValidation>
    <dataValidation type="list" allowBlank="1" showInputMessage="1" showErrorMessage="1" sqref="AP2" xr:uid="{00000000-0002-0000-0C00-000001000000}">
      <formula1>"2020,2021,2022,2023,2024,2025,2026,2027,2028,2029,2030"</formula1>
    </dataValidation>
  </dataValidation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P87"/>
  <sheetViews>
    <sheetView workbookViewId="0">
      <pane xSplit="1" topLeftCell="V1" activePane="topRight" state="frozenSplit"/>
      <selection pane="topRight" activeCell="AP16" sqref="AP16"/>
    </sheetView>
  </sheetViews>
  <sheetFormatPr defaultRowHeight="15"/>
  <cols>
    <col min="1" max="1" width="16.85546875" bestFit="1" customWidth="1"/>
    <col min="2" max="2" width="13.7109375" customWidth="1"/>
    <col min="3" max="3" width="4.28515625" customWidth="1"/>
    <col min="4" max="4" width="5.28515625" customWidth="1"/>
    <col min="5" max="5" width="4.28515625" customWidth="1"/>
    <col min="6" max="6" width="3.28515625" customWidth="1"/>
    <col min="7" max="7" width="3.7109375" customWidth="1"/>
    <col min="8" max="8" width="4.28515625" customWidth="1"/>
    <col min="9" max="9" width="5.140625" customWidth="1"/>
    <col min="10" max="10" width="4.28515625" customWidth="1"/>
    <col min="11" max="11" width="5.28515625" customWidth="1"/>
    <col min="12" max="12" width="4.28515625" customWidth="1"/>
    <col min="13" max="13" width="3.28515625" customWidth="1"/>
    <col min="14" max="14" width="3.7109375" customWidth="1"/>
    <col min="15" max="15" width="4.28515625" customWidth="1"/>
    <col min="16" max="16" width="5.140625" customWidth="1"/>
    <col min="17" max="17" width="4.28515625" customWidth="1"/>
    <col min="18" max="18" width="5.28515625" customWidth="1"/>
    <col min="19" max="19" width="4.28515625" customWidth="1"/>
    <col min="20" max="20" width="3.28515625" customWidth="1"/>
    <col min="21" max="21" width="3.7109375" customWidth="1"/>
    <col min="22" max="22" width="4.28515625" customWidth="1"/>
    <col min="23" max="23" width="5.140625" customWidth="1"/>
    <col min="24" max="24" width="4.28515625" customWidth="1"/>
    <col min="25" max="25" width="5.28515625" customWidth="1"/>
    <col min="26" max="26" width="4.28515625" customWidth="1"/>
    <col min="27" max="27" width="3.28515625" customWidth="1"/>
    <col min="28" max="28" width="3.7109375" customWidth="1"/>
    <col min="29" max="29" width="4.28515625" customWidth="1"/>
    <col min="30" max="30" width="5.140625" customWidth="1"/>
    <col min="31" max="31" width="4.28515625" customWidth="1"/>
    <col min="32" max="32" width="5.28515625" customWidth="1"/>
    <col min="33" max="33" width="4.28515625" customWidth="1"/>
    <col min="34" max="34" width="6.5703125" customWidth="1"/>
    <col min="35" max="35" width="12.42578125" customWidth="1"/>
    <col min="36" max="36" width="10.7109375" customWidth="1"/>
    <col min="41" max="41" width="15.28515625" bestFit="1" customWidth="1"/>
    <col min="42" max="42" width="12" customWidth="1"/>
  </cols>
  <sheetData>
    <row r="1" spans="1:42">
      <c r="A1" s="27"/>
      <c r="C1" s="8" t="str">
        <f>TEXT(C2,"DDD")</f>
        <v>Sun</v>
      </c>
      <c r="D1" s="8" t="str">
        <f t="shared" ref="D1:AG1" si="0">TEXT(D2,"DDD")</f>
        <v>Mon</v>
      </c>
      <c r="E1" s="8" t="str">
        <f t="shared" si="0"/>
        <v>Tue</v>
      </c>
      <c r="F1" s="8" t="str">
        <f t="shared" si="0"/>
        <v>Wed</v>
      </c>
      <c r="G1" s="8" t="str">
        <f t="shared" si="0"/>
        <v>Thu</v>
      </c>
      <c r="H1" s="8" t="str">
        <f t="shared" si="0"/>
        <v>Fri</v>
      </c>
      <c r="I1" s="8" t="str">
        <f t="shared" si="0"/>
        <v>Sat</v>
      </c>
      <c r="J1" s="8" t="str">
        <f t="shared" si="0"/>
        <v>Sun</v>
      </c>
      <c r="K1" s="8" t="str">
        <f t="shared" si="0"/>
        <v>Mon</v>
      </c>
      <c r="L1" s="8" t="str">
        <f t="shared" si="0"/>
        <v>Tue</v>
      </c>
      <c r="M1" s="8" t="str">
        <f t="shared" si="0"/>
        <v>Wed</v>
      </c>
      <c r="N1" s="8" t="str">
        <f t="shared" si="0"/>
        <v>Thu</v>
      </c>
      <c r="O1" s="8" t="str">
        <f t="shared" si="0"/>
        <v>Fri</v>
      </c>
      <c r="P1" s="8" t="str">
        <f t="shared" si="0"/>
        <v>Sat</v>
      </c>
      <c r="Q1" s="8" t="str">
        <f t="shared" si="0"/>
        <v>Sun</v>
      </c>
      <c r="R1" s="8" t="str">
        <f t="shared" si="0"/>
        <v>Mon</v>
      </c>
      <c r="S1" s="8" t="str">
        <f t="shared" si="0"/>
        <v>Tue</v>
      </c>
      <c r="T1" s="8" t="str">
        <f t="shared" si="0"/>
        <v>Wed</v>
      </c>
      <c r="U1" s="8" t="str">
        <f t="shared" si="0"/>
        <v>Thu</v>
      </c>
      <c r="V1" s="8" t="str">
        <f t="shared" si="0"/>
        <v>Fri</v>
      </c>
      <c r="W1" s="8" t="str">
        <f t="shared" si="0"/>
        <v>Sat</v>
      </c>
      <c r="X1" s="8" t="str">
        <f t="shared" si="0"/>
        <v>Sun</v>
      </c>
      <c r="Y1" s="8" t="str">
        <f t="shared" si="0"/>
        <v>Mon</v>
      </c>
      <c r="Z1" s="8" t="str">
        <f t="shared" si="0"/>
        <v>Tue</v>
      </c>
      <c r="AA1" s="8" t="str">
        <f t="shared" si="0"/>
        <v>Wed</v>
      </c>
      <c r="AB1" s="8" t="str">
        <f t="shared" si="0"/>
        <v>Thu</v>
      </c>
      <c r="AC1" s="8" t="str">
        <f t="shared" si="0"/>
        <v>Fri</v>
      </c>
      <c r="AD1" s="8" t="str">
        <f t="shared" si="0"/>
        <v>Sat</v>
      </c>
      <c r="AE1" s="8" t="str">
        <f t="shared" si="0"/>
        <v>Sun</v>
      </c>
      <c r="AF1" s="8" t="str">
        <f t="shared" si="0"/>
        <v>Mon</v>
      </c>
      <c r="AG1" s="8" t="str">
        <f t="shared" si="0"/>
        <v>Tue</v>
      </c>
      <c r="AH1" s="28" t="s">
        <v>75</v>
      </c>
      <c r="AI1" s="28" t="s">
        <v>76</v>
      </c>
      <c r="AJ1" s="30" t="s">
        <v>77</v>
      </c>
      <c r="AK1" s="28" t="s">
        <v>78</v>
      </c>
      <c r="AL1" s="29" t="s">
        <v>79</v>
      </c>
      <c r="AM1" s="29" t="s">
        <v>80</v>
      </c>
      <c r="AO1" s="5" t="s">
        <v>81</v>
      </c>
      <c r="AP1" s="10" t="s">
        <v>105</v>
      </c>
    </row>
    <row r="2" spans="1:42">
      <c r="A2" s="27"/>
      <c r="B2" s="1" t="s">
        <v>0</v>
      </c>
      <c r="C2" s="9">
        <f>IF(COLUMNS($C$2:C2)&gt;DAY($AP$4),"",$AP$3+COLUMNS($C$2:C2)-1)</f>
        <v>45627</v>
      </c>
      <c r="D2" s="9">
        <f>IF(COLUMNS($C$2:D2)&gt;DAY($AP$4),"",$AP$3+COLUMNS($C$2:D2)-1)</f>
        <v>45628</v>
      </c>
      <c r="E2" s="9">
        <f>IF(COLUMNS($C$2:E2)&gt;DAY($AP$4),"",$AP$3+COLUMNS($C$2:E2)-1)</f>
        <v>45629</v>
      </c>
      <c r="F2" s="9">
        <f>IF(COLUMNS($C$2:F2)&gt;DAY($AP$4),"",$AP$3+COLUMNS($C$2:F2)-1)</f>
        <v>45630</v>
      </c>
      <c r="G2" s="9">
        <f>IF(COLUMNS($C$2:G2)&gt;DAY($AP$4),"",$AP$3+COLUMNS($C$2:G2)-1)</f>
        <v>45631</v>
      </c>
      <c r="H2" s="9">
        <f>IF(COLUMNS($C$2:H2)&gt;DAY($AP$4),"",$AP$3+COLUMNS($C$2:H2)-1)</f>
        <v>45632</v>
      </c>
      <c r="I2" s="9">
        <f>IF(COLUMNS($C$2:I2)&gt;DAY($AP$4),"",$AP$3+COLUMNS($C$2:I2)-1)</f>
        <v>45633</v>
      </c>
      <c r="J2" s="9">
        <f>IF(COLUMNS($C$2:J2)&gt;DAY($AP$4),"",$AP$3+COLUMNS($C$2:J2)-1)</f>
        <v>45634</v>
      </c>
      <c r="K2" s="9">
        <f>IF(COLUMNS($C$2:K2)&gt;DAY($AP$4),"",$AP$3+COLUMNS($C$2:K2)-1)</f>
        <v>45635</v>
      </c>
      <c r="L2" s="9">
        <f>IF(COLUMNS($C$2:L2)&gt;DAY($AP$4),"",$AP$3+COLUMNS($C$2:L2)-1)</f>
        <v>45636</v>
      </c>
      <c r="M2" s="9">
        <f>IF(COLUMNS($C$2:M2)&gt;DAY($AP$4),"",$AP$3+COLUMNS($C$2:M2)-1)</f>
        <v>45637</v>
      </c>
      <c r="N2" s="9">
        <f>IF(COLUMNS($C$2:N2)&gt;DAY($AP$4),"",$AP$3+COLUMNS($C$2:N2)-1)</f>
        <v>45638</v>
      </c>
      <c r="O2" s="9">
        <f>IF(COLUMNS($C$2:O2)&gt;DAY($AP$4),"",$AP$3+COLUMNS($C$2:O2)-1)</f>
        <v>45639</v>
      </c>
      <c r="P2" s="9">
        <f>IF(COLUMNS($C$2:P2)&gt;DAY($AP$4),"",$AP$3+COLUMNS($C$2:P2)-1)</f>
        <v>45640</v>
      </c>
      <c r="Q2" s="9">
        <f>IF(COLUMNS($C$2:Q2)&gt;DAY($AP$4),"",$AP$3+COLUMNS($C$2:Q2)-1)</f>
        <v>45641</v>
      </c>
      <c r="R2" s="9">
        <f>IF(COLUMNS($C$2:R2)&gt;DAY($AP$4),"",$AP$3+COLUMNS($C$2:R2)-1)</f>
        <v>45642</v>
      </c>
      <c r="S2" s="9">
        <f>IF(COLUMNS($C$2:S2)&gt;DAY($AP$4),"",$AP$3+COLUMNS($C$2:S2)-1)</f>
        <v>45643</v>
      </c>
      <c r="T2" s="9">
        <f>IF(COLUMNS($C$2:T2)&gt;DAY($AP$4),"",$AP$3+COLUMNS($C$2:T2)-1)</f>
        <v>45644</v>
      </c>
      <c r="U2" s="9">
        <f>IF(COLUMNS($C$2:U2)&gt;DAY($AP$4),"",$AP$3+COLUMNS($C$2:U2)-1)</f>
        <v>45645</v>
      </c>
      <c r="V2" s="9">
        <f>IF(COLUMNS($C$2:V2)&gt;DAY($AP$4),"",$AP$3+COLUMNS($C$2:V2)-1)</f>
        <v>45646</v>
      </c>
      <c r="W2" s="9">
        <f>IF(COLUMNS($C$2:W2)&gt;DAY($AP$4),"",$AP$3+COLUMNS($C$2:W2)-1)</f>
        <v>45647</v>
      </c>
      <c r="X2" s="9">
        <f>IF(COLUMNS($C$2:X2)&gt;DAY($AP$4),"",$AP$3+COLUMNS($C$2:X2)-1)</f>
        <v>45648</v>
      </c>
      <c r="Y2" s="9">
        <f>IF(COLUMNS($C$2:Y2)&gt;DAY($AP$4),"",$AP$3+COLUMNS($C$2:Y2)-1)</f>
        <v>45649</v>
      </c>
      <c r="Z2" s="9">
        <f>IF(COLUMNS($C$2:Z2)&gt;DAY($AP$4),"",$AP$3+COLUMNS($C$2:Z2)-1)</f>
        <v>45650</v>
      </c>
      <c r="AA2" s="9">
        <f>IF(COLUMNS($C$2:AA2)&gt;DAY($AP$4),"",$AP$3+COLUMNS($C$2:AA2)-1)</f>
        <v>45651</v>
      </c>
      <c r="AB2" s="9">
        <f>IF(COLUMNS($C$2:AB2)&gt;DAY($AP$4),"",$AP$3+COLUMNS($C$2:AB2)-1)</f>
        <v>45652</v>
      </c>
      <c r="AC2" s="9">
        <f>IF(COLUMNS($C$2:AC2)&gt;DAY($AP$4),"",$AP$3+COLUMNS($C$2:AC2)-1)</f>
        <v>45653</v>
      </c>
      <c r="AD2" s="9">
        <f>IF(COLUMNS($C$2:AD2)&gt;DAY($AP$4),"",$AP$3+COLUMNS($C$2:AD2)-1)</f>
        <v>45654</v>
      </c>
      <c r="AE2" s="9">
        <f>IF(COLUMNS($C$2:AE2)&gt;DAY($AP$4),"",$AP$3+COLUMNS($C$2:AE2)-1)</f>
        <v>45655</v>
      </c>
      <c r="AF2" s="9">
        <f>IF(COLUMNS($C$2:AF2)&gt;DAY($AP$4),"",$AP$3+COLUMNS($C$2:AF2)-1)</f>
        <v>45656</v>
      </c>
      <c r="AG2" s="9">
        <f>IF(COLUMNS($C$2:AG2)&gt;DAY($AP$4),"",$AP$3+COLUMNS($C$2:AG2)-1)</f>
        <v>45657</v>
      </c>
      <c r="AH2" s="28"/>
      <c r="AI2" s="28"/>
      <c r="AJ2" s="30"/>
      <c r="AK2" s="28"/>
      <c r="AL2" s="29"/>
      <c r="AM2" s="29"/>
      <c r="AO2" s="6" t="s">
        <v>83</v>
      </c>
      <c r="AP2" s="11">
        <v>2024</v>
      </c>
    </row>
    <row r="3" spans="1:42">
      <c r="A3" s="27"/>
      <c r="B3" t="s">
        <v>18</v>
      </c>
      <c r="C3">
        <v>2</v>
      </c>
      <c r="D3">
        <v>5</v>
      </c>
      <c r="E3">
        <v>7</v>
      </c>
      <c r="F3">
        <v>8</v>
      </c>
      <c r="G3">
        <v>6</v>
      </c>
      <c r="H3">
        <v>4</v>
      </c>
      <c r="I3">
        <v>9</v>
      </c>
      <c r="J3">
        <v>7</v>
      </c>
      <c r="K3">
        <v>5</v>
      </c>
      <c r="L3">
        <v>7</v>
      </c>
      <c r="M3">
        <v>9</v>
      </c>
      <c r="N3">
        <v>4</v>
      </c>
      <c r="O3">
        <v>3</v>
      </c>
      <c r="P3">
        <v>7</v>
      </c>
      <c r="AH3" s="25">
        <f>IF(SUM($C3:$AG3)&gt;0,SUM($C3:$AG3),"")</f>
        <v>83</v>
      </c>
      <c r="AI3">
        <v>40</v>
      </c>
      <c r="AJ3">
        <v>80</v>
      </c>
      <c r="AK3">
        <f>AJ3-AI3</f>
        <v>40</v>
      </c>
      <c r="AL3" s="15">
        <f>AJ3*AH3</f>
        <v>6640</v>
      </c>
      <c r="AM3" s="15">
        <f>IFERROR(AK3*AH3,"")</f>
        <v>3320</v>
      </c>
      <c r="AO3" s="7" t="s">
        <v>84</v>
      </c>
      <c r="AP3" s="4">
        <f>DATE(AP2,MONTH(AP1&amp;1),1)</f>
        <v>45627</v>
      </c>
    </row>
    <row r="4" spans="1:42">
      <c r="A4" s="27"/>
      <c r="B4" t="s">
        <v>20</v>
      </c>
      <c r="AH4" s="25" t="str">
        <f>IF(SUM($C4:$AG4)&gt;0,SUM($C4:$AG4),"")</f>
        <v/>
      </c>
      <c r="AI4">
        <v>7</v>
      </c>
      <c r="AJ4">
        <v>15</v>
      </c>
      <c r="AK4">
        <f t="shared" ref="AK4:AK57" si="1">AJ4-AI4</f>
        <v>8</v>
      </c>
      <c r="AL4" s="15" t="e">
        <f t="shared" ref="AL4:AL57" si="2">AJ4*AH4</f>
        <v>#VALUE!</v>
      </c>
      <c r="AM4" s="15" t="str">
        <f t="shared" ref="AM4:AM57" si="3">IFERROR(AK4*AH4,"")</f>
        <v/>
      </c>
      <c r="AO4" s="7" t="s">
        <v>85</v>
      </c>
      <c r="AP4" s="4">
        <f>EOMONTH(AP3,0)</f>
        <v>45657</v>
      </c>
    </row>
    <row r="5" spans="1:42">
      <c r="A5" s="27"/>
      <c r="B5" t="s">
        <v>21</v>
      </c>
      <c r="AH5" s="25" t="str">
        <f t="shared" ref="AH5:AH57" si="4">IF(SUM($C5:$AG5)&gt;0,SUM($C5:$AG5),"")</f>
        <v/>
      </c>
      <c r="AI5">
        <v>5</v>
      </c>
      <c r="AJ5">
        <v>10</v>
      </c>
      <c r="AK5">
        <f t="shared" si="1"/>
        <v>5</v>
      </c>
      <c r="AL5" s="15" t="e">
        <f t="shared" si="2"/>
        <v>#VALUE!</v>
      </c>
      <c r="AM5" s="15" t="str">
        <f t="shared" si="3"/>
        <v/>
      </c>
    </row>
    <row r="6" spans="1:42">
      <c r="A6" s="27"/>
      <c r="B6" t="s">
        <v>23</v>
      </c>
      <c r="AH6" s="25" t="str">
        <f t="shared" si="4"/>
        <v/>
      </c>
      <c r="AI6">
        <v>45</v>
      </c>
      <c r="AJ6">
        <v>80</v>
      </c>
      <c r="AK6">
        <f t="shared" si="1"/>
        <v>35</v>
      </c>
      <c r="AL6" s="15" t="e">
        <f t="shared" si="2"/>
        <v>#VALUE!</v>
      </c>
      <c r="AM6" s="15" t="str">
        <f t="shared" si="3"/>
        <v/>
      </c>
    </row>
    <row r="7" spans="1:42">
      <c r="A7" s="27"/>
      <c r="B7" t="s">
        <v>24</v>
      </c>
      <c r="AH7" s="25" t="str">
        <f t="shared" si="4"/>
        <v/>
      </c>
      <c r="AI7">
        <v>392</v>
      </c>
      <c r="AJ7">
        <v>420</v>
      </c>
      <c r="AK7">
        <f t="shared" si="1"/>
        <v>28</v>
      </c>
      <c r="AL7" s="15" t="e">
        <f t="shared" si="2"/>
        <v>#VALUE!</v>
      </c>
      <c r="AM7" s="15" t="str">
        <f t="shared" si="3"/>
        <v/>
      </c>
      <c r="AO7" s="1" t="s">
        <v>86</v>
      </c>
    </row>
    <row r="8" spans="1:42">
      <c r="A8" s="27"/>
      <c r="B8" t="s">
        <v>25</v>
      </c>
      <c r="AH8" s="25" t="str">
        <f t="shared" si="4"/>
        <v/>
      </c>
      <c r="AI8">
        <v>86</v>
      </c>
      <c r="AJ8">
        <v>100</v>
      </c>
      <c r="AK8">
        <f t="shared" si="1"/>
        <v>14</v>
      </c>
      <c r="AL8" s="15" t="e">
        <f t="shared" si="2"/>
        <v>#VALUE!</v>
      </c>
      <c r="AM8" s="15" t="str">
        <f t="shared" si="3"/>
        <v/>
      </c>
      <c r="AO8" t="s">
        <v>87</v>
      </c>
    </row>
    <row r="9" spans="1:42">
      <c r="A9" s="27"/>
      <c r="B9" t="s">
        <v>26</v>
      </c>
      <c r="AH9" s="25" t="str">
        <f t="shared" si="4"/>
        <v/>
      </c>
      <c r="AI9">
        <v>271</v>
      </c>
      <c r="AJ9">
        <v>300</v>
      </c>
      <c r="AK9">
        <f t="shared" si="1"/>
        <v>29</v>
      </c>
      <c r="AL9" s="15" t="e">
        <f t="shared" si="2"/>
        <v>#VALUE!</v>
      </c>
      <c r="AM9" s="15" t="str">
        <f t="shared" si="3"/>
        <v/>
      </c>
      <c r="AO9" t="s">
        <v>88</v>
      </c>
      <c r="AP9" s="13">
        <f>'Attendence (Dec)'!AL3</f>
        <v>0</v>
      </c>
    </row>
    <row r="10" spans="1:42">
      <c r="A10" s="27"/>
      <c r="B10" t="s">
        <v>27</v>
      </c>
      <c r="AH10" s="25" t="str">
        <f t="shared" si="4"/>
        <v/>
      </c>
      <c r="AI10">
        <v>226</v>
      </c>
      <c r="AJ10">
        <v>250</v>
      </c>
      <c r="AK10">
        <f t="shared" si="1"/>
        <v>24</v>
      </c>
      <c r="AL10" s="15" t="e">
        <f t="shared" si="2"/>
        <v>#VALUE!</v>
      </c>
      <c r="AM10" s="15" t="str">
        <f t="shared" si="3"/>
        <v/>
      </c>
      <c r="AO10" t="s">
        <v>89</v>
      </c>
      <c r="AP10" s="13">
        <f>'Attendence (Dec)'!AL4</f>
        <v>0</v>
      </c>
    </row>
    <row r="11" spans="1:42">
      <c r="A11" s="27"/>
      <c r="B11" t="s">
        <v>28</v>
      </c>
      <c r="AH11" s="25" t="str">
        <f t="shared" si="4"/>
        <v/>
      </c>
      <c r="AI11">
        <v>390</v>
      </c>
      <c r="AJ11">
        <v>450</v>
      </c>
      <c r="AK11">
        <f t="shared" si="1"/>
        <v>60</v>
      </c>
      <c r="AL11" s="15" t="e">
        <f t="shared" si="2"/>
        <v>#VALUE!</v>
      </c>
      <c r="AM11" s="15" t="str">
        <f t="shared" si="3"/>
        <v/>
      </c>
      <c r="AO11" t="s">
        <v>90</v>
      </c>
      <c r="AP11" s="13">
        <f>'Attendence (Dec)'!AL5</f>
        <v>0</v>
      </c>
    </row>
    <row r="12" spans="1:42">
      <c r="A12" s="27"/>
      <c r="B12" t="s">
        <v>29</v>
      </c>
      <c r="AH12" s="25" t="str">
        <f t="shared" si="4"/>
        <v/>
      </c>
      <c r="AI12">
        <v>379</v>
      </c>
      <c r="AJ12">
        <v>430</v>
      </c>
      <c r="AK12">
        <f t="shared" si="1"/>
        <v>51</v>
      </c>
      <c r="AL12" s="15" t="e">
        <f t="shared" si="2"/>
        <v>#VALUE!</v>
      </c>
      <c r="AM12" s="15" t="str">
        <f t="shared" si="3"/>
        <v/>
      </c>
      <c r="AO12" t="s">
        <v>91</v>
      </c>
      <c r="AP12" s="13">
        <f>'Attendence (Dec)'!AL6</f>
        <v>0</v>
      </c>
    </row>
    <row r="13" spans="1:42">
      <c r="A13" s="27"/>
      <c r="B13" t="s">
        <v>30</v>
      </c>
      <c r="AH13" s="25" t="str">
        <f t="shared" si="4"/>
        <v/>
      </c>
      <c r="AI13">
        <v>368</v>
      </c>
      <c r="AJ13">
        <v>435</v>
      </c>
      <c r="AK13">
        <f t="shared" si="1"/>
        <v>67</v>
      </c>
      <c r="AL13" s="15" t="e">
        <f t="shared" si="2"/>
        <v>#VALUE!</v>
      </c>
      <c r="AM13" s="15" t="str">
        <f t="shared" si="3"/>
        <v/>
      </c>
      <c r="AO13" t="s">
        <v>92</v>
      </c>
      <c r="AP13" s="13">
        <v>10000</v>
      </c>
    </row>
    <row r="14" spans="1:42">
      <c r="A14" s="27"/>
      <c r="B14" t="s">
        <v>31</v>
      </c>
      <c r="AH14" s="25" t="str">
        <f t="shared" si="4"/>
        <v/>
      </c>
      <c r="AI14">
        <v>88</v>
      </c>
      <c r="AJ14">
        <v>99</v>
      </c>
      <c r="AK14">
        <f t="shared" si="1"/>
        <v>11</v>
      </c>
      <c r="AL14" s="15" t="e">
        <f t="shared" si="2"/>
        <v>#VALUE!</v>
      </c>
      <c r="AM14" s="15" t="str">
        <f t="shared" si="3"/>
        <v/>
      </c>
      <c r="AO14" t="s">
        <v>93</v>
      </c>
      <c r="AP14" s="13">
        <v>2000</v>
      </c>
    </row>
    <row r="15" spans="1:42">
      <c r="A15" s="27"/>
      <c r="B15" t="s">
        <v>32</v>
      </c>
      <c r="AH15" s="25" t="str">
        <f t="shared" si="4"/>
        <v/>
      </c>
      <c r="AI15">
        <v>391</v>
      </c>
      <c r="AJ15">
        <v>500</v>
      </c>
      <c r="AK15">
        <f t="shared" si="1"/>
        <v>109</v>
      </c>
      <c r="AL15" s="15" t="e">
        <f t="shared" si="2"/>
        <v>#VALUE!</v>
      </c>
      <c r="AM15" s="15" t="str">
        <f t="shared" si="3"/>
        <v/>
      </c>
      <c r="AO15" t="s">
        <v>80</v>
      </c>
      <c r="AP15" s="13">
        <f>SUM(AM3:AM57)</f>
        <v>3320</v>
      </c>
    </row>
    <row r="16" spans="1:42">
      <c r="A16" s="27"/>
      <c r="B16" t="s">
        <v>33</v>
      </c>
      <c r="AH16" s="25" t="str">
        <f t="shared" si="4"/>
        <v/>
      </c>
      <c r="AI16">
        <v>261</v>
      </c>
      <c r="AJ16">
        <v>300</v>
      </c>
      <c r="AK16">
        <f t="shared" si="1"/>
        <v>39</v>
      </c>
      <c r="AL16" s="15" t="e">
        <f t="shared" si="2"/>
        <v>#VALUE!</v>
      </c>
      <c r="AM16" s="15" t="str">
        <f t="shared" si="3"/>
        <v/>
      </c>
      <c r="AO16" s="1" t="s">
        <v>94</v>
      </c>
      <c r="AP16" s="14">
        <f>AP15-(AP9+AP10+AP11+AP12+AP13+AP14)</f>
        <v>-8680</v>
      </c>
    </row>
    <row r="17" spans="1:39">
      <c r="A17" s="27"/>
      <c r="B17" t="s">
        <v>34</v>
      </c>
      <c r="AH17" s="25" t="str">
        <f t="shared" si="4"/>
        <v/>
      </c>
      <c r="AI17">
        <v>67</v>
      </c>
      <c r="AJ17">
        <v>99</v>
      </c>
      <c r="AK17">
        <f t="shared" si="1"/>
        <v>32</v>
      </c>
      <c r="AL17" s="15" t="e">
        <f t="shared" si="2"/>
        <v>#VALUE!</v>
      </c>
      <c r="AM17" s="15" t="str">
        <f t="shared" si="3"/>
        <v/>
      </c>
    </row>
    <row r="18" spans="1:39">
      <c r="A18" s="27"/>
      <c r="B18" t="s">
        <v>35</v>
      </c>
      <c r="AH18" s="25" t="str">
        <f t="shared" si="4"/>
        <v/>
      </c>
      <c r="AI18">
        <v>138</v>
      </c>
      <c r="AJ18">
        <v>150</v>
      </c>
      <c r="AK18">
        <f t="shared" si="1"/>
        <v>12</v>
      </c>
      <c r="AL18" s="15" t="e">
        <f t="shared" si="2"/>
        <v>#VALUE!</v>
      </c>
      <c r="AM18" s="15" t="str">
        <f t="shared" si="3"/>
        <v/>
      </c>
    </row>
    <row r="19" spans="1:39">
      <c r="A19" s="27"/>
      <c r="B19" t="s">
        <v>36</v>
      </c>
      <c r="AH19" s="25" t="str">
        <f t="shared" si="4"/>
        <v/>
      </c>
      <c r="AI19">
        <v>60</v>
      </c>
      <c r="AJ19">
        <v>80</v>
      </c>
      <c r="AK19">
        <f t="shared" si="1"/>
        <v>20</v>
      </c>
      <c r="AL19" s="15" t="e">
        <f t="shared" si="2"/>
        <v>#VALUE!</v>
      </c>
      <c r="AM19" s="15" t="str">
        <f t="shared" si="3"/>
        <v/>
      </c>
    </row>
    <row r="20" spans="1:39">
      <c r="A20" s="27"/>
      <c r="B20" t="s">
        <v>37</v>
      </c>
      <c r="AH20" s="25" t="str">
        <f t="shared" si="4"/>
        <v/>
      </c>
      <c r="AI20">
        <v>44</v>
      </c>
      <c r="AJ20">
        <v>50</v>
      </c>
      <c r="AK20">
        <f t="shared" si="1"/>
        <v>6</v>
      </c>
      <c r="AL20" s="15" t="e">
        <f t="shared" si="2"/>
        <v>#VALUE!</v>
      </c>
      <c r="AM20" s="15" t="str">
        <f t="shared" si="3"/>
        <v/>
      </c>
    </row>
    <row r="21" spans="1:39">
      <c r="A21" s="27"/>
      <c r="B21" t="s">
        <v>38</v>
      </c>
      <c r="AH21" s="25" t="str">
        <f t="shared" si="4"/>
        <v/>
      </c>
      <c r="AI21">
        <v>308</v>
      </c>
      <c r="AJ21">
        <v>320</v>
      </c>
      <c r="AK21">
        <f t="shared" si="1"/>
        <v>12</v>
      </c>
      <c r="AL21" s="15" t="e">
        <f t="shared" si="2"/>
        <v>#VALUE!</v>
      </c>
      <c r="AM21" s="15" t="str">
        <f t="shared" si="3"/>
        <v/>
      </c>
    </row>
    <row r="22" spans="1:39">
      <c r="A22" s="27"/>
      <c r="B22" t="s">
        <v>39</v>
      </c>
      <c r="AH22" s="25" t="str">
        <f t="shared" si="4"/>
        <v/>
      </c>
      <c r="AI22">
        <v>234</v>
      </c>
      <c r="AJ22">
        <v>250</v>
      </c>
      <c r="AK22">
        <f t="shared" si="1"/>
        <v>16</v>
      </c>
      <c r="AL22" s="15" t="e">
        <f t="shared" si="2"/>
        <v>#VALUE!</v>
      </c>
      <c r="AM22" s="15" t="str">
        <f t="shared" si="3"/>
        <v/>
      </c>
    </row>
    <row r="23" spans="1:39">
      <c r="A23" s="27"/>
      <c r="B23" t="s">
        <v>40</v>
      </c>
      <c r="AH23" s="25" t="str">
        <f t="shared" si="4"/>
        <v/>
      </c>
      <c r="AI23">
        <v>121</v>
      </c>
      <c r="AJ23">
        <v>140</v>
      </c>
      <c r="AK23">
        <f t="shared" si="1"/>
        <v>19</v>
      </c>
      <c r="AL23" s="15" t="e">
        <f t="shared" si="2"/>
        <v>#VALUE!</v>
      </c>
      <c r="AM23" s="15" t="str">
        <f t="shared" si="3"/>
        <v/>
      </c>
    </row>
    <row r="24" spans="1:39">
      <c r="A24" s="27"/>
      <c r="B24" t="s">
        <v>41</v>
      </c>
      <c r="AH24" s="25" t="str">
        <f t="shared" si="4"/>
        <v/>
      </c>
      <c r="AI24">
        <v>350</v>
      </c>
      <c r="AJ24">
        <v>390</v>
      </c>
      <c r="AK24">
        <f t="shared" si="1"/>
        <v>40</v>
      </c>
      <c r="AL24" s="15" t="e">
        <f t="shared" si="2"/>
        <v>#VALUE!</v>
      </c>
      <c r="AM24" s="15" t="str">
        <f t="shared" si="3"/>
        <v/>
      </c>
    </row>
    <row r="25" spans="1:39">
      <c r="A25" s="27"/>
      <c r="B25" t="s">
        <v>42</v>
      </c>
      <c r="AH25" s="25" t="str">
        <f t="shared" si="4"/>
        <v/>
      </c>
      <c r="AI25">
        <v>211</v>
      </c>
      <c r="AJ25">
        <v>240</v>
      </c>
      <c r="AK25">
        <f t="shared" si="1"/>
        <v>29</v>
      </c>
      <c r="AL25" s="15" t="e">
        <f t="shared" si="2"/>
        <v>#VALUE!</v>
      </c>
      <c r="AM25" s="15" t="str">
        <f t="shared" si="3"/>
        <v/>
      </c>
    </row>
    <row r="26" spans="1:39">
      <c r="A26" s="27"/>
      <c r="B26" t="s">
        <v>43</v>
      </c>
      <c r="AH26" s="25" t="str">
        <f t="shared" si="4"/>
        <v/>
      </c>
      <c r="AI26">
        <v>247</v>
      </c>
      <c r="AJ26">
        <v>280</v>
      </c>
      <c r="AK26">
        <f t="shared" si="1"/>
        <v>33</v>
      </c>
      <c r="AL26" s="15" t="e">
        <f t="shared" si="2"/>
        <v>#VALUE!</v>
      </c>
      <c r="AM26" s="15" t="str">
        <f t="shared" si="3"/>
        <v/>
      </c>
    </row>
    <row r="27" spans="1:39">
      <c r="A27" s="27"/>
      <c r="B27" t="s">
        <v>44</v>
      </c>
      <c r="AH27" s="25" t="str">
        <f t="shared" si="4"/>
        <v/>
      </c>
      <c r="AI27">
        <v>286</v>
      </c>
      <c r="AJ27">
        <v>320</v>
      </c>
      <c r="AK27">
        <f t="shared" si="1"/>
        <v>34</v>
      </c>
      <c r="AL27" s="15" t="e">
        <f t="shared" si="2"/>
        <v>#VALUE!</v>
      </c>
      <c r="AM27" s="15" t="str">
        <f t="shared" si="3"/>
        <v/>
      </c>
    </row>
    <row r="28" spans="1:39">
      <c r="A28" s="27"/>
      <c r="B28" t="s">
        <v>45</v>
      </c>
      <c r="AH28" s="25" t="str">
        <f t="shared" si="4"/>
        <v/>
      </c>
      <c r="AI28">
        <v>67</v>
      </c>
      <c r="AJ28">
        <v>80</v>
      </c>
      <c r="AK28">
        <f t="shared" si="1"/>
        <v>13</v>
      </c>
      <c r="AL28" s="15" t="e">
        <f t="shared" si="2"/>
        <v>#VALUE!</v>
      </c>
      <c r="AM28" s="15" t="str">
        <f t="shared" si="3"/>
        <v/>
      </c>
    </row>
    <row r="29" spans="1:39">
      <c r="A29" s="27"/>
      <c r="B29" t="s">
        <v>46</v>
      </c>
      <c r="AH29" s="25" t="str">
        <f t="shared" si="4"/>
        <v/>
      </c>
      <c r="AI29">
        <v>335</v>
      </c>
      <c r="AJ29">
        <v>350</v>
      </c>
      <c r="AK29">
        <f t="shared" si="1"/>
        <v>15</v>
      </c>
      <c r="AL29" s="15" t="e">
        <f t="shared" si="2"/>
        <v>#VALUE!</v>
      </c>
      <c r="AM29" s="15" t="str">
        <f t="shared" si="3"/>
        <v/>
      </c>
    </row>
    <row r="30" spans="1:39">
      <c r="A30" s="27"/>
      <c r="B30" t="s">
        <v>47</v>
      </c>
      <c r="AH30" s="25" t="str">
        <f t="shared" si="4"/>
        <v/>
      </c>
      <c r="AI30">
        <v>366</v>
      </c>
      <c r="AJ30">
        <v>400</v>
      </c>
      <c r="AK30">
        <f t="shared" si="1"/>
        <v>34</v>
      </c>
      <c r="AL30" s="15" t="e">
        <f t="shared" si="2"/>
        <v>#VALUE!</v>
      </c>
      <c r="AM30" s="15" t="str">
        <f t="shared" si="3"/>
        <v/>
      </c>
    </row>
    <row r="31" spans="1:39">
      <c r="A31" s="27"/>
      <c r="B31" t="s">
        <v>48</v>
      </c>
      <c r="AH31" s="25" t="str">
        <f t="shared" si="4"/>
        <v/>
      </c>
      <c r="AI31">
        <v>167</v>
      </c>
      <c r="AJ31">
        <v>200</v>
      </c>
      <c r="AK31">
        <f t="shared" si="1"/>
        <v>33</v>
      </c>
      <c r="AL31" s="15" t="e">
        <f t="shared" si="2"/>
        <v>#VALUE!</v>
      </c>
      <c r="AM31" s="15" t="str">
        <f t="shared" si="3"/>
        <v/>
      </c>
    </row>
    <row r="32" spans="1:39">
      <c r="A32" s="27"/>
      <c r="B32" t="s">
        <v>49</v>
      </c>
      <c r="AH32" s="25" t="str">
        <f t="shared" si="4"/>
        <v/>
      </c>
      <c r="AI32">
        <v>73</v>
      </c>
      <c r="AJ32">
        <v>100</v>
      </c>
      <c r="AK32">
        <f t="shared" si="1"/>
        <v>27</v>
      </c>
      <c r="AL32" s="15" t="e">
        <f t="shared" si="2"/>
        <v>#VALUE!</v>
      </c>
      <c r="AM32" s="15" t="str">
        <f t="shared" si="3"/>
        <v/>
      </c>
    </row>
    <row r="33" spans="1:39">
      <c r="A33" s="27"/>
      <c r="B33" t="s">
        <v>50</v>
      </c>
      <c r="AH33" s="25" t="str">
        <f t="shared" si="4"/>
        <v/>
      </c>
      <c r="AI33">
        <v>367</v>
      </c>
      <c r="AJ33">
        <v>450</v>
      </c>
      <c r="AK33">
        <f t="shared" si="1"/>
        <v>83</v>
      </c>
      <c r="AL33" s="15" t="e">
        <f t="shared" si="2"/>
        <v>#VALUE!</v>
      </c>
      <c r="AM33" s="15" t="str">
        <f t="shared" si="3"/>
        <v/>
      </c>
    </row>
    <row r="34" spans="1:39">
      <c r="A34" s="27"/>
      <c r="B34" t="s">
        <v>51</v>
      </c>
      <c r="AH34" s="25" t="str">
        <f t="shared" si="4"/>
        <v/>
      </c>
      <c r="AI34">
        <v>342</v>
      </c>
      <c r="AJ34">
        <v>390</v>
      </c>
      <c r="AK34">
        <f t="shared" si="1"/>
        <v>48</v>
      </c>
      <c r="AL34" s="15" t="e">
        <f t="shared" si="2"/>
        <v>#VALUE!</v>
      </c>
      <c r="AM34" s="15" t="str">
        <f t="shared" si="3"/>
        <v/>
      </c>
    </row>
    <row r="35" spans="1:39">
      <c r="A35" s="27"/>
      <c r="B35" t="s">
        <v>52</v>
      </c>
      <c r="AH35" s="25" t="str">
        <f t="shared" si="4"/>
        <v/>
      </c>
      <c r="AI35">
        <v>363</v>
      </c>
      <c r="AJ35">
        <v>420</v>
      </c>
      <c r="AK35">
        <f t="shared" si="1"/>
        <v>57</v>
      </c>
      <c r="AL35" s="15" t="e">
        <f t="shared" si="2"/>
        <v>#VALUE!</v>
      </c>
      <c r="AM35" s="15" t="str">
        <f t="shared" si="3"/>
        <v/>
      </c>
    </row>
    <row r="36" spans="1:39">
      <c r="A36" s="27"/>
      <c r="B36" t="s">
        <v>53</v>
      </c>
      <c r="AH36" s="25" t="str">
        <f t="shared" si="4"/>
        <v/>
      </c>
      <c r="AI36">
        <v>263</v>
      </c>
      <c r="AJ36">
        <v>300</v>
      </c>
      <c r="AK36">
        <f t="shared" si="1"/>
        <v>37</v>
      </c>
      <c r="AL36" s="15" t="e">
        <f t="shared" si="2"/>
        <v>#VALUE!</v>
      </c>
      <c r="AM36" s="15" t="str">
        <f t="shared" si="3"/>
        <v/>
      </c>
    </row>
    <row r="37" spans="1:39">
      <c r="A37" s="27"/>
      <c r="B37" t="s">
        <v>54</v>
      </c>
      <c r="AH37" s="25" t="str">
        <f t="shared" si="4"/>
        <v/>
      </c>
      <c r="AI37">
        <v>96</v>
      </c>
      <c r="AJ37">
        <v>120</v>
      </c>
      <c r="AK37">
        <f t="shared" si="1"/>
        <v>24</v>
      </c>
      <c r="AL37" s="15" t="e">
        <f t="shared" si="2"/>
        <v>#VALUE!</v>
      </c>
      <c r="AM37" s="15" t="str">
        <f t="shared" si="3"/>
        <v/>
      </c>
    </row>
    <row r="38" spans="1:39">
      <c r="A38" s="27"/>
      <c r="B38" t="s">
        <v>55</v>
      </c>
      <c r="AH38" s="25" t="str">
        <f t="shared" si="4"/>
        <v/>
      </c>
      <c r="AI38">
        <v>196</v>
      </c>
      <c r="AJ38">
        <v>230</v>
      </c>
      <c r="AK38">
        <f t="shared" si="1"/>
        <v>34</v>
      </c>
      <c r="AL38" s="15" t="e">
        <f t="shared" si="2"/>
        <v>#VALUE!</v>
      </c>
      <c r="AM38" s="15" t="str">
        <f t="shared" si="3"/>
        <v/>
      </c>
    </row>
    <row r="39" spans="1:39">
      <c r="A39" s="27"/>
      <c r="B39" t="s">
        <v>56</v>
      </c>
      <c r="AH39" s="25" t="str">
        <f t="shared" si="4"/>
        <v/>
      </c>
      <c r="AI39">
        <v>98</v>
      </c>
      <c r="AJ39">
        <v>115</v>
      </c>
      <c r="AK39">
        <f t="shared" si="1"/>
        <v>17</v>
      </c>
      <c r="AL39" s="15" t="e">
        <f t="shared" si="2"/>
        <v>#VALUE!</v>
      </c>
      <c r="AM39" s="15" t="str">
        <f t="shared" si="3"/>
        <v/>
      </c>
    </row>
    <row r="40" spans="1:39">
      <c r="A40" s="27"/>
      <c r="B40" t="s">
        <v>57</v>
      </c>
      <c r="AH40" s="25" t="str">
        <f t="shared" si="4"/>
        <v/>
      </c>
      <c r="AI40">
        <v>75</v>
      </c>
      <c r="AJ40">
        <v>99</v>
      </c>
      <c r="AK40">
        <f t="shared" si="1"/>
        <v>24</v>
      </c>
      <c r="AL40" s="15" t="e">
        <f t="shared" si="2"/>
        <v>#VALUE!</v>
      </c>
      <c r="AM40" s="15" t="str">
        <f t="shared" si="3"/>
        <v/>
      </c>
    </row>
    <row r="41" spans="1:39">
      <c r="A41" s="27"/>
      <c r="B41" t="s">
        <v>58</v>
      </c>
      <c r="AH41" s="25" t="str">
        <f t="shared" si="4"/>
        <v/>
      </c>
      <c r="AI41">
        <v>105</v>
      </c>
      <c r="AJ41">
        <v>140</v>
      </c>
      <c r="AK41">
        <f t="shared" si="1"/>
        <v>35</v>
      </c>
      <c r="AL41" s="15" t="e">
        <f t="shared" si="2"/>
        <v>#VALUE!</v>
      </c>
      <c r="AM41" s="15" t="str">
        <f t="shared" si="3"/>
        <v/>
      </c>
    </row>
    <row r="42" spans="1:39">
      <c r="A42" s="27"/>
      <c r="B42" t="s">
        <v>59</v>
      </c>
      <c r="AH42" s="25" t="str">
        <f t="shared" si="4"/>
        <v/>
      </c>
      <c r="AI42">
        <v>37</v>
      </c>
      <c r="AJ42">
        <v>50</v>
      </c>
      <c r="AK42">
        <f t="shared" si="1"/>
        <v>13</v>
      </c>
      <c r="AL42" s="15" t="e">
        <f t="shared" si="2"/>
        <v>#VALUE!</v>
      </c>
      <c r="AM42" s="15" t="str">
        <f t="shared" si="3"/>
        <v/>
      </c>
    </row>
    <row r="43" spans="1:39">
      <c r="A43" s="27"/>
      <c r="B43" t="s">
        <v>60</v>
      </c>
      <c r="AH43" s="25" t="str">
        <f t="shared" si="4"/>
        <v/>
      </c>
      <c r="AI43">
        <v>221</v>
      </c>
      <c r="AJ43">
        <v>250</v>
      </c>
      <c r="AK43">
        <f t="shared" si="1"/>
        <v>29</v>
      </c>
      <c r="AL43" s="15" t="e">
        <f t="shared" si="2"/>
        <v>#VALUE!</v>
      </c>
      <c r="AM43" s="15" t="str">
        <f t="shared" si="3"/>
        <v/>
      </c>
    </row>
    <row r="44" spans="1:39">
      <c r="A44" s="27"/>
      <c r="B44" t="s">
        <v>61</v>
      </c>
      <c r="AH44" s="25" t="str">
        <f t="shared" si="4"/>
        <v/>
      </c>
      <c r="AI44">
        <v>140</v>
      </c>
      <c r="AJ44">
        <v>150</v>
      </c>
      <c r="AK44">
        <f t="shared" si="1"/>
        <v>10</v>
      </c>
      <c r="AL44" s="15" t="e">
        <f t="shared" si="2"/>
        <v>#VALUE!</v>
      </c>
      <c r="AM44" s="15" t="str">
        <f t="shared" si="3"/>
        <v/>
      </c>
    </row>
    <row r="45" spans="1:39">
      <c r="A45" s="27"/>
      <c r="B45" t="s">
        <v>62</v>
      </c>
      <c r="AH45" s="25" t="str">
        <f t="shared" si="4"/>
        <v/>
      </c>
      <c r="AI45">
        <v>154</v>
      </c>
      <c r="AJ45">
        <v>170</v>
      </c>
      <c r="AK45">
        <f t="shared" si="1"/>
        <v>16</v>
      </c>
      <c r="AL45" s="15" t="e">
        <f t="shared" si="2"/>
        <v>#VALUE!</v>
      </c>
      <c r="AM45" s="15" t="str">
        <f t="shared" si="3"/>
        <v/>
      </c>
    </row>
    <row r="46" spans="1:39">
      <c r="A46" s="27"/>
      <c r="B46" t="s">
        <v>63</v>
      </c>
      <c r="AH46" s="25" t="str">
        <f t="shared" si="4"/>
        <v/>
      </c>
      <c r="AI46">
        <v>322</v>
      </c>
      <c r="AJ46">
        <v>345</v>
      </c>
      <c r="AK46">
        <f t="shared" si="1"/>
        <v>23</v>
      </c>
      <c r="AL46" s="15" t="e">
        <f t="shared" si="2"/>
        <v>#VALUE!</v>
      </c>
      <c r="AM46" s="15" t="str">
        <f t="shared" si="3"/>
        <v/>
      </c>
    </row>
    <row r="47" spans="1:39">
      <c r="A47" s="27"/>
      <c r="B47" t="s">
        <v>64</v>
      </c>
      <c r="AH47" s="25" t="str">
        <f t="shared" si="4"/>
        <v/>
      </c>
      <c r="AI47">
        <v>380</v>
      </c>
      <c r="AJ47">
        <v>456</v>
      </c>
      <c r="AK47">
        <f t="shared" si="1"/>
        <v>76</v>
      </c>
      <c r="AL47" s="15" t="e">
        <f t="shared" si="2"/>
        <v>#VALUE!</v>
      </c>
      <c r="AM47" s="15" t="str">
        <f t="shared" si="3"/>
        <v/>
      </c>
    </row>
    <row r="48" spans="1:39">
      <c r="A48" s="27"/>
      <c r="B48" t="s">
        <v>65</v>
      </c>
      <c r="AH48" s="25" t="str">
        <f t="shared" si="4"/>
        <v/>
      </c>
      <c r="AI48">
        <v>133</v>
      </c>
      <c r="AJ48">
        <v>158</v>
      </c>
      <c r="AK48">
        <f t="shared" si="1"/>
        <v>25</v>
      </c>
      <c r="AL48" s="15" t="e">
        <f t="shared" si="2"/>
        <v>#VALUE!</v>
      </c>
      <c r="AM48" s="15" t="str">
        <f t="shared" si="3"/>
        <v/>
      </c>
    </row>
    <row r="49" spans="1:39">
      <c r="A49" s="27"/>
      <c r="B49" t="s">
        <v>66</v>
      </c>
      <c r="AH49" s="25" t="str">
        <f t="shared" si="4"/>
        <v/>
      </c>
      <c r="AI49">
        <v>40</v>
      </c>
      <c r="AJ49">
        <v>65</v>
      </c>
      <c r="AK49">
        <f t="shared" si="1"/>
        <v>25</v>
      </c>
      <c r="AL49" s="15" t="e">
        <f t="shared" si="2"/>
        <v>#VALUE!</v>
      </c>
      <c r="AM49" s="15" t="str">
        <f t="shared" si="3"/>
        <v/>
      </c>
    </row>
    <row r="50" spans="1:39">
      <c r="A50" s="27"/>
      <c r="B50" t="s">
        <v>67</v>
      </c>
      <c r="AH50" s="25" t="str">
        <f t="shared" si="4"/>
        <v/>
      </c>
      <c r="AI50">
        <v>72</v>
      </c>
      <c r="AJ50">
        <v>89</v>
      </c>
      <c r="AK50">
        <f t="shared" si="1"/>
        <v>17</v>
      </c>
      <c r="AL50" s="15" t="e">
        <f t="shared" si="2"/>
        <v>#VALUE!</v>
      </c>
      <c r="AM50" s="15" t="str">
        <f t="shared" si="3"/>
        <v/>
      </c>
    </row>
    <row r="51" spans="1:39">
      <c r="A51" s="27"/>
      <c r="B51" t="s">
        <v>68</v>
      </c>
      <c r="AH51" s="25" t="str">
        <f t="shared" si="4"/>
        <v/>
      </c>
      <c r="AI51">
        <v>236</v>
      </c>
      <c r="AJ51">
        <v>268</v>
      </c>
      <c r="AK51">
        <f t="shared" si="1"/>
        <v>32</v>
      </c>
      <c r="AL51" s="15" t="e">
        <f t="shared" si="2"/>
        <v>#VALUE!</v>
      </c>
      <c r="AM51" s="15" t="str">
        <f t="shared" si="3"/>
        <v/>
      </c>
    </row>
    <row r="52" spans="1:39">
      <c r="A52" s="27"/>
      <c r="B52" t="s">
        <v>69</v>
      </c>
      <c r="AH52" s="25" t="str">
        <f t="shared" si="4"/>
        <v/>
      </c>
      <c r="AI52">
        <v>156</v>
      </c>
      <c r="AJ52">
        <v>178</v>
      </c>
      <c r="AK52">
        <f t="shared" si="1"/>
        <v>22</v>
      </c>
      <c r="AL52" s="15" t="e">
        <f t="shared" si="2"/>
        <v>#VALUE!</v>
      </c>
      <c r="AM52" s="15" t="str">
        <f t="shared" si="3"/>
        <v/>
      </c>
    </row>
    <row r="53" spans="1:39">
      <c r="A53" s="27"/>
      <c r="B53" t="s">
        <v>70</v>
      </c>
      <c r="AH53" s="25" t="str">
        <f t="shared" si="4"/>
        <v/>
      </c>
      <c r="AI53">
        <v>182</v>
      </c>
      <c r="AJ53">
        <v>225</v>
      </c>
      <c r="AK53">
        <f t="shared" si="1"/>
        <v>43</v>
      </c>
      <c r="AL53" s="15" t="e">
        <f t="shared" si="2"/>
        <v>#VALUE!</v>
      </c>
      <c r="AM53" s="15" t="str">
        <f t="shared" si="3"/>
        <v/>
      </c>
    </row>
    <row r="54" spans="1:39">
      <c r="A54" s="27"/>
      <c r="B54" t="s">
        <v>71</v>
      </c>
      <c r="AH54" s="25" t="str">
        <f t="shared" si="4"/>
        <v/>
      </c>
      <c r="AI54">
        <v>23</v>
      </c>
      <c r="AJ54">
        <v>35</v>
      </c>
      <c r="AK54">
        <f t="shared" si="1"/>
        <v>12</v>
      </c>
      <c r="AL54" s="15" t="e">
        <f t="shared" si="2"/>
        <v>#VALUE!</v>
      </c>
      <c r="AM54" s="15" t="str">
        <f t="shared" si="3"/>
        <v/>
      </c>
    </row>
    <row r="55" spans="1:39">
      <c r="A55" s="27"/>
      <c r="B55" t="s">
        <v>72</v>
      </c>
      <c r="AH55" s="25" t="str">
        <f t="shared" si="4"/>
        <v/>
      </c>
      <c r="AI55">
        <v>205</v>
      </c>
      <c r="AJ55">
        <v>260</v>
      </c>
      <c r="AK55">
        <f t="shared" si="1"/>
        <v>55</v>
      </c>
      <c r="AL55" s="15" t="e">
        <f t="shared" si="2"/>
        <v>#VALUE!</v>
      </c>
      <c r="AM55" s="15" t="str">
        <f t="shared" si="3"/>
        <v/>
      </c>
    </row>
    <row r="56" spans="1:39">
      <c r="A56" s="27"/>
      <c r="B56" t="s">
        <v>73</v>
      </c>
      <c r="AH56" s="25" t="str">
        <f t="shared" si="4"/>
        <v/>
      </c>
      <c r="AI56">
        <v>325</v>
      </c>
      <c r="AJ56">
        <v>358</v>
      </c>
      <c r="AK56">
        <f t="shared" si="1"/>
        <v>33</v>
      </c>
      <c r="AL56" s="15" t="e">
        <f t="shared" si="2"/>
        <v>#VALUE!</v>
      </c>
      <c r="AM56" s="15" t="str">
        <f t="shared" si="3"/>
        <v/>
      </c>
    </row>
    <row r="57" spans="1:39">
      <c r="A57" s="27"/>
      <c r="B57" t="s">
        <v>74</v>
      </c>
      <c r="AH57" s="25" t="str">
        <f t="shared" si="4"/>
        <v/>
      </c>
      <c r="AI57">
        <v>340</v>
      </c>
      <c r="AJ57">
        <v>380</v>
      </c>
      <c r="AK57">
        <f t="shared" si="1"/>
        <v>40</v>
      </c>
      <c r="AL57" s="15" t="e">
        <f t="shared" si="2"/>
        <v>#VALUE!</v>
      </c>
      <c r="AM57" s="15" t="str">
        <f t="shared" si="3"/>
        <v/>
      </c>
    </row>
    <row r="58" spans="1:39">
      <c r="A58" s="27"/>
    </row>
    <row r="59" spans="1:39">
      <c r="A59" s="27"/>
    </row>
    <row r="60" spans="1:39">
      <c r="A60" s="27"/>
    </row>
    <row r="61" spans="1:39">
      <c r="A61" s="27"/>
    </row>
    <row r="62" spans="1:39">
      <c r="A62" s="27"/>
    </row>
    <row r="63" spans="1:39">
      <c r="A63" s="27"/>
    </row>
    <row r="64" spans="1:39">
      <c r="A64" s="27"/>
    </row>
    <row r="65" spans="1:1">
      <c r="A65" s="27"/>
    </row>
    <row r="66" spans="1:1">
      <c r="A66" s="27"/>
    </row>
    <row r="67" spans="1:1">
      <c r="A67" s="27"/>
    </row>
    <row r="68" spans="1:1">
      <c r="A68" s="27"/>
    </row>
    <row r="69" spans="1:1">
      <c r="A69" s="27"/>
    </row>
    <row r="70" spans="1:1">
      <c r="A70" s="27"/>
    </row>
    <row r="71" spans="1:1">
      <c r="A71" s="27"/>
    </row>
    <row r="72" spans="1:1">
      <c r="A72" s="27"/>
    </row>
    <row r="73" spans="1:1">
      <c r="A73" s="27"/>
    </row>
    <row r="74" spans="1:1">
      <c r="A74" s="27"/>
    </row>
    <row r="75" spans="1:1">
      <c r="A75" s="27"/>
    </row>
    <row r="76" spans="1:1">
      <c r="A76" s="27"/>
    </row>
    <row r="77" spans="1:1">
      <c r="A77" s="27"/>
    </row>
    <row r="78" spans="1:1">
      <c r="A78" s="27"/>
    </row>
    <row r="79" spans="1:1">
      <c r="A79" s="27"/>
    </row>
    <row r="80" spans="1:1">
      <c r="A80" s="27"/>
    </row>
    <row r="81" spans="1:1">
      <c r="A81" s="27"/>
    </row>
    <row r="82" spans="1:1">
      <c r="A82" s="27"/>
    </row>
    <row r="83" spans="1:1">
      <c r="A83" s="27"/>
    </row>
    <row r="84" spans="1:1">
      <c r="A84" s="27"/>
    </row>
    <row r="85" spans="1:1">
      <c r="A85" s="27"/>
    </row>
    <row r="86" spans="1:1">
      <c r="A86" s="27"/>
    </row>
    <row r="87" spans="1:1">
      <c r="A87" s="27"/>
    </row>
  </sheetData>
  <mergeCells count="9">
    <mergeCell ref="AM1:AM2"/>
    <mergeCell ref="A30:A58"/>
    <mergeCell ref="A59:A87"/>
    <mergeCell ref="A1:A29"/>
    <mergeCell ref="AH1:AH2"/>
    <mergeCell ref="AI1:AI2"/>
    <mergeCell ref="AJ1:AJ2"/>
    <mergeCell ref="AK1:AK2"/>
    <mergeCell ref="AL1:AL2"/>
  </mergeCells>
  <dataValidations count="2">
    <dataValidation type="list" allowBlank="1" showInputMessage="1" showErrorMessage="1" sqref="AP1" xr:uid="{00000000-0002-0000-0D00-000000000000}">
      <formula1>"January,February,March,Aprail,May,June,July,August,September,October,November,December"</formula1>
    </dataValidation>
    <dataValidation type="list" allowBlank="1" showInputMessage="1" showErrorMessage="1" sqref="AP2" xr:uid="{00000000-0002-0000-0D00-000001000000}">
      <formula1>"2020,2021,2022,2023,2024,2025,2026,2027,2028,2029,2030"</formula1>
    </dataValidation>
  </dataValidation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A1:AN87"/>
  <sheetViews>
    <sheetView zoomScaleNormal="100" workbookViewId="0">
      <pane xSplit="1" topLeftCell="B1" activePane="topRight" state="frozenSplit"/>
      <selection pane="topRight" activeCell="AK9" sqref="AK9"/>
    </sheetView>
  </sheetViews>
  <sheetFormatPr defaultRowHeight="15"/>
  <cols>
    <col min="1" max="1" width="16.85546875" bestFit="1" customWidth="1"/>
    <col min="2" max="2" width="16.5703125" customWidth="1"/>
    <col min="3" max="3" width="4.28515625" customWidth="1"/>
    <col min="4" max="4" width="5.140625" customWidth="1"/>
    <col min="5" max="5" width="4.28515625" customWidth="1"/>
    <col min="6" max="6" width="5.28515625" customWidth="1"/>
    <col min="7" max="7" width="4.28515625" customWidth="1"/>
    <col min="8" max="8" width="3.28515625" customWidth="1"/>
    <col min="9" max="9" width="3.7109375" customWidth="1"/>
    <col min="10" max="10" width="4.28515625" customWidth="1"/>
    <col min="11" max="11" width="5.140625" customWidth="1"/>
    <col min="12" max="12" width="4.28515625" customWidth="1"/>
    <col min="13" max="13" width="5.28515625" customWidth="1"/>
    <col min="14" max="14" width="4.28515625" customWidth="1"/>
    <col min="15" max="15" width="3.28515625" customWidth="1"/>
    <col min="16" max="16" width="3.7109375" customWidth="1"/>
    <col min="17" max="17" width="4.28515625" customWidth="1"/>
    <col min="18" max="18" width="5.140625" customWidth="1"/>
    <col min="19" max="19" width="4.28515625" customWidth="1"/>
    <col min="20" max="20" width="5.28515625" customWidth="1"/>
    <col min="21" max="21" width="4.28515625" customWidth="1"/>
    <col min="22" max="22" width="3.28515625" customWidth="1"/>
    <col min="23" max="23" width="3.7109375" customWidth="1"/>
    <col min="24" max="24" width="4.28515625" customWidth="1"/>
    <col min="25" max="25" width="5.140625" customWidth="1"/>
    <col min="26" max="26" width="4.28515625" customWidth="1"/>
    <col min="27" max="27" width="5.28515625" customWidth="1"/>
    <col min="28" max="28" width="4.28515625" customWidth="1"/>
    <col min="29" max="29" width="3.28515625" customWidth="1"/>
    <col min="30" max="30" width="3.7109375" customWidth="1"/>
    <col min="31" max="31" width="4.28515625" customWidth="1"/>
    <col min="32" max="32" width="5.140625" customWidth="1"/>
    <col min="33" max="33" width="4.28515625" customWidth="1"/>
    <col min="34" max="34" width="11.42578125" style="12" customWidth="1"/>
    <col min="38" max="38" width="10" customWidth="1"/>
    <col min="39" max="39" width="12.42578125" customWidth="1"/>
    <col min="40" max="40" width="10.28515625" customWidth="1"/>
  </cols>
  <sheetData>
    <row r="1" spans="1:40" ht="15" customHeight="1">
      <c r="A1" s="27"/>
      <c r="C1" s="8" t="str">
        <f>TEXT(C2,"DDD")</f>
        <v>Mon</v>
      </c>
      <c r="D1" s="8" t="str">
        <f t="shared" ref="D1:AG1" si="0">TEXT(D2,"DDD")</f>
        <v>Tue</v>
      </c>
      <c r="E1" s="8" t="str">
        <f t="shared" si="0"/>
        <v>Wed</v>
      </c>
      <c r="F1" s="8" t="str">
        <f t="shared" si="0"/>
        <v>Thu</v>
      </c>
      <c r="G1" s="8" t="str">
        <f t="shared" si="0"/>
        <v>Fri</v>
      </c>
      <c r="H1" s="8" t="str">
        <f t="shared" si="0"/>
        <v>Sat</v>
      </c>
      <c r="I1" s="8" t="str">
        <f t="shared" si="0"/>
        <v>Sun</v>
      </c>
      <c r="J1" s="8" t="str">
        <f t="shared" si="0"/>
        <v>Mon</v>
      </c>
      <c r="K1" s="8" t="str">
        <f t="shared" si="0"/>
        <v>Tue</v>
      </c>
      <c r="L1" s="8" t="str">
        <f t="shared" si="0"/>
        <v>Wed</v>
      </c>
      <c r="M1" s="8" t="str">
        <f t="shared" si="0"/>
        <v>Thu</v>
      </c>
      <c r="N1" s="8" t="str">
        <f t="shared" si="0"/>
        <v>Fri</v>
      </c>
      <c r="O1" s="8" t="str">
        <f t="shared" si="0"/>
        <v>Sat</v>
      </c>
      <c r="P1" s="8" t="str">
        <f t="shared" si="0"/>
        <v>Sun</v>
      </c>
      <c r="Q1" s="8" t="str">
        <f t="shared" si="0"/>
        <v>Mon</v>
      </c>
      <c r="R1" s="8" t="str">
        <f t="shared" si="0"/>
        <v>Tue</v>
      </c>
      <c r="S1" s="8" t="str">
        <f t="shared" si="0"/>
        <v>Wed</v>
      </c>
      <c r="T1" s="8" t="str">
        <f t="shared" si="0"/>
        <v>Thu</v>
      </c>
      <c r="U1" s="8" t="str">
        <f t="shared" si="0"/>
        <v>Fri</v>
      </c>
      <c r="V1" s="8" t="str">
        <f t="shared" si="0"/>
        <v>Sat</v>
      </c>
      <c r="W1" s="8" t="str">
        <f t="shared" si="0"/>
        <v>Sun</v>
      </c>
      <c r="X1" s="8" t="str">
        <f t="shared" si="0"/>
        <v>Mon</v>
      </c>
      <c r="Y1" s="8" t="str">
        <f t="shared" si="0"/>
        <v>Tue</v>
      </c>
      <c r="Z1" s="8" t="str">
        <f t="shared" si="0"/>
        <v>Wed</v>
      </c>
      <c r="AA1" s="8" t="str">
        <f t="shared" si="0"/>
        <v>Thu</v>
      </c>
      <c r="AB1" s="8" t="str">
        <f t="shared" si="0"/>
        <v>Fri</v>
      </c>
      <c r="AC1" s="8" t="str">
        <f t="shared" si="0"/>
        <v>Sat</v>
      </c>
      <c r="AD1" s="8" t="str">
        <f t="shared" si="0"/>
        <v>Sun</v>
      </c>
      <c r="AE1" s="8" t="str">
        <f t="shared" si="0"/>
        <v>Mon</v>
      </c>
      <c r="AF1" s="8" t="str">
        <f t="shared" si="0"/>
        <v>Tue</v>
      </c>
      <c r="AG1" s="8" t="str">
        <f t="shared" si="0"/>
        <v>Wed</v>
      </c>
      <c r="AH1" s="33" t="s">
        <v>106</v>
      </c>
      <c r="AI1" s="31" t="s">
        <v>107</v>
      </c>
      <c r="AJ1" s="31" t="s">
        <v>108</v>
      </c>
      <c r="AK1" s="31" t="s">
        <v>109</v>
      </c>
      <c r="AL1" s="31" t="s">
        <v>110</v>
      </c>
      <c r="AM1" s="5" t="s">
        <v>81</v>
      </c>
      <c r="AN1" s="10" t="s">
        <v>82</v>
      </c>
    </row>
    <row r="2" spans="1:40">
      <c r="A2" s="27"/>
      <c r="B2" t="s">
        <v>111</v>
      </c>
      <c r="C2" s="9">
        <f>IF(COLUMNS($C$2:C2)&gt;DAY($AN$4),"",$AN$3+COLUMNS($C$2:C2)-1)</f>
        <v>45292</v>
      </c>
      <c r="D2" s="9">
        <f>IF(COLUMNS($C$2:D2)&gt;DAY($AN$4),"",$AN$3+COLUMNS($C$2:D2)-1)</f>
        <v>45293</v>
      </c>
      <c r="E2" s="9">
        <f>IF(COLUMNS($C$2:E2)&gt;DAY($AN$4),"",$AN$3+COLUMNS($C$2:E2)-1)</f>
        <v>45294</v>
      </c>
      <c r="F2" s="9">
        <f>IF(COLUMNS($C$2:F2)&gt;DAY($AN$4),"",$AN$3+COLUMNS($C$2:F2)-1)</f>
        <v>45295</v>
      </c>
      <c r="G2" s="9">
        <f>IF(COLUMNS($C$2:G2)&gt;DAY($AN$4),"",$AN$3+COLUMNS($C$2:G2)-1)</f>
        <v>45296</v>
      </c>
      <c r="H2" s="9">
        <f>IF(COLUMNS($C$2:H2)&gt;DAY($AN$4),"",$AN$3+COLUMNS($C$2:H2)-1)</f>
        <v>45297</v>
      </c>
      <c r="I2" s="9">
        <f>IF(COLUMNS($C$2:I2)&gt;DAY($AN$4),"",$AN$3+COLUMNS($C$2:I2)-1)</f>
        <v>45298</v>
      </c>
      <c r="J2" s="9">
        <f>IF(COLUMNS($C$2:J2)&gt;DAY($AN$4),"",$AN$3+COLUMNS($C$2:J2)-1)</f>
        <v>45299</v>
      </c>
      <c r="K2" s="9">
        <f>IF(COLUMNS($C$2:K2)&gt;DAY($AN$4),"",$AN$3+COLUMNS($C$2:K2)-1)</f>
        <v>45300</v>
      </c>
      <c r="L2" s="9">
        <f>IF(COLUMNS($C$2:L2)&gt;DAY($AN$4),"",$AN$3+COLUMNS($C$2:L2)-1)</f>
        <v>45301</v>
      </c>
      <c r="M2" s="9">
        <f>IF(COLUMNS($C$2:M2)&gt;DAY($AN$4),"",$AN$3+COLUMNS($C$2:M2)-1)</f>
        <v>45302</v>
      </c>
      <c r="N2" s="9">
        <f>IF(COLUMNS($C$2:N2)&gt;DAY($AN$4),"",$AN$3+COLUMNS($C$2:N2)-1)</f>
        <v>45303</v>
      </c>
      <c r="O2" s="9">
        <f>IF(COLUMNS($C$2:O2)&gt;DAY($AN$4),"",$AN$3+COLUMNS($C$2:O2)-1)</f>
        <v>45304</v>
      </c>
      <c r="P2" s="9">
        <f>IF(COLUMNS($C$2:P2)&gt;DAY($AN$4),"",$AN$3+COLUMNS($C$2:P2)-1)</f>
        <v>45305</v>
      </c>
      <c r="Q2" s="9">
        <f>IF(COLUMNS($C$2:Q2)&gt;DAY($AN$4),"",$AN$3+COLUMNS($C$2:Q2)-1)</f>
        <v>45306</v>
      </c>
      <c r="R2" s="9">
        <f>IF(COLUMNS($C$2:R2)&gt;DAY($AN$4),"",$AN$3+COLUMNS($C$2:R2)-1)</f>
        <v>45307</v>
      </c>
      <c r="S2" s="9">
        <f>IF(COLUMNS($C$2:S2)&gt;DAY($AN$4),"",$AN$3+COLUMNS($C$2:S2)-1)</f>
        <v>45308</v>
      </c>
      <c r="T2" s="9">
        <f>IF(COLUMNS($C$2:T2)&gt;DAY($AN$4),"",$AN$3+COLUMNS($C$2:T2)-1)</f>
        <v>45309</v>
      </c>
      <c r="U2" s="9">
        <f>IF(COLUMNS($C$2:U2)&gt;DAY($AN$4),"",$AN$3+COLUMNS($C$2:U2)-1)</f>
        <v>45310</v>
      </c>
      <c r="V2" s="9">
        <f>IF(COLUMNS($C$2:V2)&gt;DAY($AN$4),"",$AN$3+COLUMNS($C$2:V2)-1)</f>
        <v>45311</v>
      </c>
      <c r="W2" s="9">
        <f>IF(COLUMNS($C$2:W2)&gt;DAY($AN$4),"",$AN$3+COLUMNS($C$2:W2)-1)</f>
        <v>45312</v>
      </c>
      <c r="X2" s="9">
        <f>IF(COLUMNS($C$2:X2)&gt;DAY($AN$4),"",$AN$3+COLUMNS($C$2:X2)-1)</f>
        <v>45313</v>
      </c>
      <c r="Y2" s="9">
        <f>IF(COLUMNS($C$2:Y2)&gt;DAY($AN$4),"",$AN$3+COLUMNS($C$2:Y2)-1)</f>
        <v>45314</v>
      </c>
      <c r="Z2" s="9">
        <f>IF(COLUMNS($C$2:Z2)&gt;DAY($AN$4),"",$AN$3+COLUMNS($C$2:Z2)-1)</f>
        <v>45315</v>
      </c>
      <c r="AA2" s="9">
        <f>IF(COLUMNS($C$2:AA2)&gt;DAY($AN$4),"",$AN$3+COLUMNS($C$2:AA2)-1)</f>
        <v>45316</v>
      </c>
      <c r="AB2" s="9">
        <f>IF(COLUMNS($C$2:AB2)&gt;DAY($AN$4),"",$AN$3+COLUMNS($C$2:AB2)-1)</f>
        <v>45317</v>
      </c>
      <c r="AC2" s="9">
        <f>IF(COLUMNS($C$2:AC2)&gt;DAY($AN$4),"",$AN$3+COLUMNS($C$2:AC2)-1)</f>
        <v>45318</v>
      </c>
      <c r="AD2" s="9">
        <f>IF(COLUMNS($C$2:AD2)&gt;DAY($AN$4),"",$AN$3+COLUMNS($C$2:AD2)-1)</f>
        <v>45319</v>
      </c>
      <c r="AE2" s="9">
        <f>IF(COLUMNS($C$2:AE2)&gt;DAY($AN$4),"",$AN$3+COLUMNS($C$2:AE2)-1)</f>
        <v>45320</v>
      </c>
      <c r="AF2" s="9">
        <f>IF(COLUMNS($C$2:AF2)&gt;DAY($AN$4),"",$AN$3+COLUMNS($C$2:AF2)-1)</f>
        <v>45321</v>
      </c>
      <c r="AG2" s="9">
        <f>IF(COLUMNS($C$2:AG2)&gt;DAY($AN$4),"",$AN$3+COLUMNS($C$2:AG2)-1)</f>
        <v>45322</v>
      </c>
      <c r="AH2" s="34"/>
      <c r="AI2" s="32"/>
      <c r="AJ2" s="32"/>
      <c r="AK2" s="32"/>
      <c r="AL2" s="32"/>
      <c r="AM2" s="6" t="s">
        <v>83</v>
      </c>
      <c r="AN2" s="11">
        <v>2024</v>
      </c>
    </row>
    <row r="3" spans="1:40">
      <c r="A3" s="27"/>
      <c r="B3" t="s">
        <v>88</v>
      </c>
      <c r="C3" t="s">
        <v>112</v>
      </c>
      <c r="D3" t="s">
        <v>112</v>
      </c>
      <c r="E3" t="s">
        <v>112</v>
      </c>
      <c r="F3" t="s">
        <v>112</v>
      </c>
      <c r="G3" t="s">
        <v>112</v>
      </c>
      <c r="H3" t="s">
        <v>112</v>
      </c>
      <c r="I3" t="s">
        <v>112</v>
      </c>
      <c r="J3" t="s">
        <v>112</v>
      </c>
      <c r="K3" t="s">
        <v>112</v>
      </c>
      <c r="L3" t="s">
        <v>113</v>
      </c>
      <c r="M3" t="s">
        <v>112</v>
      </c>
      <c r="N3" t="s">
        <v>112</v>
      </c>
      <c r="O3" t="s">
        <v>112</v>
      </c>
      <c r="P3" t="s">
        <v>112</v>
      </c>
      <c r="Q3" t="s">
        <v>112</v>
      </c>
      <c r="R3" t="s">
        <v>112</v>
      </c>
      <c r="S3" t="s">
        <v>112</v>
      </c>
      <c r="T3" t="s">
        <v>112</v>
      </c>
      <c r="U3" t="s">
        <v>112</v>
      </c>
      <c r="V3" t="s">
        <v>112</v>
      </c>
      <c r="W3" t="s">
        <v>112</v>
      </c>
      <c r="X3" t="s">
        <v>112</v>
      </c>
      <c r="Y3" t="s">
        <v>112</v>
      </c>
      <c r="Z3" t="s">
        <v>112</v>
      </c>
      <c r="AA3" t="s">
        <v>114</v>
      </c>
      <c r="AB3" t="s">
        <v>112</v>
      </c>
      <c r="AC3" t="s">
        <v>112</v>
      </c>
      <c r="AD3" t="s">
        <v>112</v>
      </c>
      <c r="AE3" t="s">
        <v>112</v>
      </c>
      <c r="AF3" t="s">
        <v>112</v>
      </c>
      <c r="AG3" t="s">
        <v>112</v>
      </c>
      <c r="AH3" s="16">
        <v>50000</v>
      </c>
      <c r="AI3" s="16">
        <f>COUNTIF($C3:$AG3,"P")</f>
        <v>29</v>
      </c>
      <c r="AJ3" s="16">
        <f>COUNTIF($C3:$AG3,"Ab")</f>
        <v>1</v>
      </c>
      <c r="AK3" s="16">
        <f>COUNTIF($C3:$AG3,"L")</f>
        <v>1</v>
      </c>
      <c r="AL3" s="16">
        <f>AH3/30*(AI3+AK3)</f>
        <v>50000</v>
      </c>
      <c r="AM3" s="7" t="s">
        <v>84</v>
      </c>
      <c r="AN3" s="4">
        <f>DATE(AN2,MONTH(AN1&amp;1),1)</f>
        <v>45292</v>
      </c>
    </row>
    <row r="4" spans="1:40">
      <c r="A4" s="27"/>
      <c r="B4" t="s">
        <v>89</v>
      </c>
      <c r="C4" t="s">
        <v>112</v>
      </c>
      <c r="D4" t="s">
        <v>112</v>
      </c>
      <c r="E4" t="s">
        <v>112</v>
      </c>
      <c r="F4" t="s">
        <v>112</v>
      </c>
      <c r="G4" t="s">
        <v>112</v>
      </c>
      <c r="H4" t="s">
        <v>112</v>
      </c>
      <c r="I4" t="s">
        <v>112</v>
      </c>
      <c r="J4" t="s">
        <v>112</v>
      </c>
      <c r="K4" t="s">
        <v>112</v>
      </c>
      <c r="L4" t="s">
        <v>112</v>
      </c>
      <c r="M4" t="s">
        <v>112</v>
      </c>
      <c r="N4" t="s">
        <v>112</v>
      </c>
      <c r="O4" t="s">
        <v>112</v>
      </c>
      <c r="P4" t="s">
        <v>112</v>
      </c>
      <c r="Q4" t="s">
        <v>112</v>
      </c>
      <c r="R4" t="s">
        <v>113</v>
      </c>
      <c r="S4" t="s">
        <v>112</v>
      </c>
      <c r="T4" t="s">
        <v>112</v>
      </c>
      <c r="U4" t="s">
        <v>112</v>
      </c>
      <c r="V4" t="s">
        <v>113</v>
      </c>
      <c r="W4" t="s">
        <v>112</v>
      </c>
      <c r="X4" t="s">
        <v>112</v>
      </c>
      <c r="Y4" t="s">
        <v>112</v>
      </c>
      <c r="Z4" t="s">
        <v>112</v>
      </c>
      <c r="AA4" t="s">
        <v>112</v>
      </c>
      <c r="AB4" t="s">
        <v>112</v>
      </c>
      <c r="AC4" t="s">
        <v>112</v>
      </c>
      <c r="AD4" t="s">
        <v>112</v>
      </c>
      <c r="AE4" t="s">
        <v>112</v>
      </c>
      <c r="AF4" t="s">
        <v>112</v>
      </c>
      <c r="AG4" t="s">
        <v>112</v>
      </c>
      <c r="AH4" s="25">
        <v>15000</v>
      </c>
      <c r="AI4" s="16">
        <f t="shared" ref="AI4:AI6" si="1">COUNTIF($C4:$AG4,"P")</f>
        <v>29</v>
      </c>
      <c r="AJ4" s="16">
        <f t="shared" ref="AJ4:AJ6" si="2">COUNTIF($C4:$AG4,"Ab")</f>
        <v>2</v>
      </c>
      <c r="AK4" s="16">
        <f t="shared" ref="AK4:AK6" si="3">COUNTIF($C4:$AG4,"L")</f>
        <v>0</v>
      </c>
      <c r="AL4" s="16">
        <f t="shared" ref="AL4:AL6" si="4">AH4/30*(AI4+AK4)</f>
        <v>14500</v>
      </c>
      <c r="AM4" s="7" t="s">
        <v>85</v>
      </c>
      <c r="AN4" s="4">
        <f>EOMONTH(AN3,0)</f>
        <v>45322</v>
      </c>
    </row>
    <row r="5" spans="1:40">
      <c r="A5" s="27"/>
      <c r="B5" t="s">
        <v>90</v>
      </c>
      <c r="C5" t="s">
        <v>112</v>
      </c>
      <c r="D5" t="s">
        <v>112</v>
      </c>
      <c r="E5" t="s">
        <v>112</v>
      </c>
      <c r="F5" t="s">
        <v>113</v>
      </c>
      <c r="G5" t="s">
        <v>112</v>
      </c>
      <c r="H5" t="s">
        <v>112</v>
      </c>
      <c r="I5" t="s">
        <v>112</v>
      </c>
      <c r="J5" t="s">
        <v>112</v>
      </c>
      <c r="K5" t="s">
        <v>112</v>
      </c>
      <c r="L5" t="s">
        <v>112</v>
      </c>
      <c r="M5" t="s">
        <v>112</v>
      </c>
      <c r="N5" t="s">
        <v>112</v>
      </c>
      <c r="O5" t="s">
        <v>112</v>
      </c>
      <c r="P5" t="s">
        <v>112</v>
      </c>
      <c r="Q5" t="s">
        <v>112</v>
      </c>
      <c r="R5" t="s">
        <v>112</v>
      </c>
      <c r="S5" t="s">
        <v>112</v>
      </c>
      <c r="T5" t="s">
        <v>112</v>
      </c>
      <c r="U5" t="s">
        <v>112</v>
      </c>
      <c r="V5" t="s">
        <v>112</v>
      </c>
      <c r="W5" t="s">
        <v>112</v>
      </c>
      <c r="X5" t="s">
        <v>113</v>
      </c>
      <c r="Y5" t="s">
        <v>112</v>
      </c>
      <c r="Z5" t="s">
        <v>112</v>
      </c>
      <c r="AA5" t="s">
        <v>112</v>
      </c>
      <c r="AB5" t="s">
        <v>112</v>
      </c>
      <c r="AC5" t="s">
        <v>112</v>
      </c>
      <c r="AD5" t="s">
        <v>112</v>
      </c>
      <c r="AE5" t="s">
        <v>112</v>
      </c>
      <c r="AF5" t="s">
        <v>112</v>
      </c>
      <c r="AG5" t="s">
        <v>112</v>
      </c>
      <c r="AH5" s="25">
        <v>18000</v>
      </c>
      <c r="AI5" s="16">
        <f t="shared" si="1"/>
        <v>29</v>
      </c>
      <c r="AJ5" s="16">
        <f t="shared" si="2"/>
        <v>2</v>
      </c>
      <c r="AK5" s="16">
        <f t="shared" si="3"/>
        <v>0</v>
      </c>
      <c r="AL5" s="16">
        <f t="shared" si="4"/>
        <v>17400</v>
      </c>
    </row>
    <row r="6" spans="1:40">
      <c r="A6" s="27"/>
      <c r="B6" t="s">
        <v>91</v>
      </c>
      <c r="C6" s="24" t="s">
        <v>112</v>
      </c>
      <c r="D6" s="24" t="s">
        <v>112</v>
      </c>
      <c r="E6" s="24" t="s">
        <v>112</v>
      </c>
      <c r="F6" s="24" t="s">
        <v>112</v>
      </c>
      <c r="G6" s="24" t="s">
        <v>112</v>
      </c>
      <c r="H6" s="24" t="s">
        <v>112</v>
      </c>
      <c r="I6" s="24" t="s">
        <v>112</v>
      </c>
      <c r="J6" s="24" t="s">
        <v>112</v>
      </c>
      <c r="K6" s="24" t="s">
        <v>112</v>
      </c>
      <c r="L6" s="24" t="s">
        <v>112</v>
      </c>
      <c r="M6" s="24" t="s">
        <v>112</v>
      </c>
      <c r="N6" s="24" t="s">
        <v>112</v>
      </c>
      <c r="O6" s="24" t="s">
        <v>113</v>
      </c>
      <c r="P6" s="24" t="s">
        <v>112</v>
      </c>
      <c r="Q6" s="24" t="s">
        <v>112</v>
      </c>
      <c r="R6" s="24" t="s">
        <v>112</v>
      </c>
      <c r="S6" s="24" t="s">
        <v>112</v>
      </c>
      <c r="T6" s="24" t="s">
        <v>112</v>
      </c>
      <c r="U6" s="24" t="s">
        <v>112</v>
      </c>
      <c r="V6" s="24" t="s">
        <v>112</v>
      </c>
      <c r="W6" s="24" t="s">
        <v>112</v>
      </c>
      <c r="X6" s="24" t="s">
        <v>112</v>
      </c>
      <c r="Y6" s="24" t="s">
        <v>112</v>
      </c>
      <c r="Z6" s="24" t="s">
        <v>112</v>
      </c>
      <c r="AA6" s="24" t="s">
        <v>112</v>
      </c>
      <c r="AB6" s="24" t="s">
        <v>112</v>
      </c>
      <c r="AC6" s="24" t="s">
        <v>113</v>
      </c>
      <c r="AD6" s="24" t="s">
        <v>112</v>
      </c>
      <c r="AE6" s="24" t="s">
        <v>112</v>
      </c>
      <c r="AF6" s="24" t="s">
        <v>112</v>
      </c>
      <c r="AG6" s="24" t="s">
        <v>112</v>
      </c>
      <c r="AH6" s="25">
        <v>10000</v>
      </c>
      <c r="AI6" s="16">
        <f t="shared" si="1"/>
        <v>29</v>
      </c>
      <c r="AJ6" s="16">
        <f t="shared" si="2"/>
        <v>2</v>
      </c>
      <c r="AK6" s="16">
        <f t="shared" si="3"/>
        <v>0</v>
      </c>
      <c r="AL6" s="16">
        <f t="shared" si="4"/>
        <v>9666.6666666666661</v>
      </c>
    </row>
    <row r="7" spans="1:40">
      <c r="A7" s="27"/>
      <c r="AH7" s="25"/>
    </row>
    <row r="8" spans="1:40">
      <c r="A8" s="27"/>
      <c r="AH8" s="25"/>
    </row>
    <row r="9" spans="1:40">
      <c r="A9" s="27"/>
      <c r="AH9" s="25"/>
    </row>
    <row r="10" spans="1:40">
      <c r="A10" s="27"/>
      <c r="AH10" s="25"/>
    </row>
    <row r="11" spans="1:40">
      <c r="A11" s="27"/>
      <c r="AH11" s="25"/>
    </row>
    <row r="12" spans="1:40">
      <c r="A12" s="27"/>
      <c r="AH12" s="25"/>
    </row>
    <row r="13" spans="1:40">
      <c r="A13" s="27"/>
      <c r="AH13" s="25"/>
    </row>
    <row r="14" spans="1:40">
      <c r="A14" s="27"/>
      <c r="AH14" s="25"/>
    </row>
    <row r="15" spans="1:40">
      <c r="A15" s="27"/>
      <c r="AH15" s="25"/>
    </row>
    <row r="16" spans="1:40">
      <c r="A16" s="27"/>
      <c r="AH16" s="25"/>
    </row>
    <row r="17" spans="1:1">
      <c r="A17" s="27"/>
    </row>
    <row r="18" spans="1:1">
      <c r="A18" s="27"/>
    </row>
    <row r="19" spans="1:1">
      <c r="A19" s="27"/>
    </row>
    <row r="20" spans="1:1">
      <c r="A20" s="27"/>
    </row>
    <row r="21" spans="1:1">
      <c r="A21" s="27"/>
    </row>
    <row r="22" spans="1:1">
      <c r="A22" s="27"/>
    </row>
    <row r="23" spans="1:1">
      <c r="A23" s="27"/>
    </row>
    <row r="24" spans="1:1">
      <c r="A24" s="27"/>
    </row>
    <row r="25" spans="1:1">
      <c r="A25" s="27"/>
    </row>
    <row r="26" spans="1:1">
      <c r="A26" s="27"/>
    </row>
    <row r="27" spans="1:1">
      <c r="A27" s="27"/>
    </row>
    <row r="28" spans="1:1">
      <c r="A28" s="27"/>
    </row>
    <row r="29" spans="1:1">
      <c r="A29" s="27"/>
    </row>
    <row r="30" spans="1:1">
      <c r="A30" s="27"/>
    </row>
    <row r="31" spans="1:1">
      <c r="A31" s="27"/>
    </row>
    <row r="32" spans="1:1">
      <c r="A32" s="27"/>
    </row>
    <row r="33" spans="1:1">
      <c r="A33" s="27"/>
    </row>
    <row r="34" spans="1:1">
      <c r="A34" s="27"/>
    </row>
    <row r="35" spans="1:1">
      <c r="A35" s="27"/>
    </row>
    <row r="36" spans="1:1">
      <c r="A36" s="27"/>
    </row>
    <row r="37" spans="1:1">
      <c r="A37" s="27"/>
    </row>
    <row r="38" spans="1:1">
      <c r="A38" s="27"/>
    </row>
    <row r="39" spans="1:1">
      <c r="A39" s="27"/>
    </row>
    <row r="40" spans="1:1">
      <c r="A40" s="27"/>
    </row>
    <row r="41" spans="1:1">
      <c r="A41" s="27"/>
    </row>
    <row r="42" spans="1:1">
      <c r="A42" s="27"/>
    </row>
    <row r="43" spans="1:1">
      <c r="A43" s="27"/>
    </row>
    <row r="44" spans="1:1">
      <c r="A44" s="27"/>
    </row>
    <row r="45" spans="1:1">
      <c r="A45" s="27"/>
    </row>
    <row r="46" spans="1:1">
      <c r="A46" s="27"/>
    </row>
    <row r="47" spans="1:1">
      <c r="A47" s="27"/>
    </row>
    <row r="48" spans="1:1">
      <c r="A48" s="27"/>
    </row>
    <row r="49" spans="1:1">
      <c r="A49" s="27"/>
    </row>
    <row r="50" spans="1:1">
      <c r="A50" s="27"/>
    </row>
    <row r="51" spans="1:1">
      <c r="A51" s="27"/>
    </row>
    <row r="52" spans="1:1">
      <c r="A52" s="27"/>
    </row>
    <row r="53" spans="1:1">
      <c r="A53" s="27"/>
    </row>
    <row r="54" spans="1:1">
      <c r="A54" s="27"/>
    </row>
    <row r="55" spans="1:1">
      <c r="A55" s="27"/>
    </row>
    <row r="56" spans="1:1">
      <c r="A56" s="27"/>
    </row>
    <row r="57" spans="1:1">
      <c r="A57" s="27"/>
    </row>
    <row r="58" spans="1:1">
      <c r="A58" s="27"/>
    </row>
    <row r="59" spans="1:1">
      <c r="A59" s="27"/>
    </row>
    <row r="60" spans="1:1">
      <c r="A60" s="27"/>
    </row>
    <row r="61" spans="1:1">
      <c r="A61" s="27"/>
    </row>
    <row r="62" spans="1:1">
      <c r="A62" s="27"/>
    </row>
    <row r="63" spans="1:1">
      <c r="A63" s="27"/>
    </row>
    <row r="64" spans="1:1">
      <c r="A64" s="27"/>
    </row>
    <row r="65" spans="1:1">
      <c r="A65" s="27"/>
    </row>
    <row r="66" spans="1:1">
      <c r="A66" s="27"/>
    </row>
    <row r="67" spans="1:1">
      <c r="A67" s="27"/>
    </row>
    <row r="68" spans="1:1">
      <c r="A68" s="27"/>
    </row>
    <row r="69" spans="1:1">
      <c r="A69" s="27"/>
    </row>
    <row r="70" spans="1:1">
      <c r="A70" s="27"/>
    </row>
    <row r="71" spans="1:1">
      <c r="A71" s="27"/>
    </row>
    <row r="72" spans="1:1">
      <c r="A72" s="27"/>
    </row>
    <row r="73" spans="1:1">
      <c r="A73" s="27"/>
    </row>
    <row r="74" spans="1:1">
      <c r="A74" s="27"/>
    </row>
    <row r="75" spans="1:1">
      <c r="A75" s="27"/>
    </row>
    <row r="76" spans="1:1">
      <c r="A76" s="27"/>
    </row>
    <row r="77" spans="1:1">
      <c r="A77" s="27"/>
    </row>
    <row r="78" spans="1:1">
      <c r="A78" s="27"/>
    </row>
    <row r="79" spans="1:1">
      <c r="A79" s="27"/>
    </row>
    <row r="80" spans="1:1">
      <c r="A80" s="27"/>
    </row>
    <row r="81" spans="1:1">
      <c r="A81" s="27"/>
    </row>
    <row r="82" spans="1:1">
      <c r="A82" s="27"/>
    </row>
    <row r="83" spans="1:1">
      <c r="A83" s="27"/>
    </row>
    <row r="84" spans="1:1">
      <c r="A84" s="27"/>
    </row>
    <row r="85" spans="1:1">
      <c r="A85" s="27"/>
    </row>
    <row r="86" spans="1:1">
      <c r="A86" s="27"/>
    </row>
    <row r="87" spans="1:1">
      <c r="A87" s="27"/>
    </row>
  </sheetData>
  <mergeCells count="8">
    <mergeCell ref="AL1:AL2"/>
    <mergeCell ref="A1:A29"/>
    <mergeCell ref="A30:A58"/>
    <mergeCell ref="A59:A87"/>
    <mergeCell ref="AH1:AH2"/>
    <mergeCell ref="AI1:AI2"/>
    <mergeCell ref="AJ1:AJ2"/>
    <mergeCell ref="AK1:AK2"/>
  </mergeCells>
  <conditionalFormatting sqref="C3:AG9">
    <cfRule type="containsText" dxfId="36" priority="1" operator="containsText" text="l">
      <formula>NOT(ISERROR(SEARCH("l",C3)))</formula>
    </cfRule>
    <cfRule type="containsText" dxfId="35" priority="2" operator="containsText" text="ab">
      <formula>NOT(ISERROR(SEARCH("ab",C3)))</formula>
    </cfRule>
    <cfRule type="containsText" dxfId="34" priority="3" operator="containsText" text="p">
      <formula>NOT(ISERROR(SEARCH("p",C3)))</formula>
    </cfRule>
  </conditionalFormatting>
  <dataValidations count="3">
    <dataValidation type="list" allowBlank="1" showInputMessage="1" showErrorMessage="1" sqref="AN1" xr:uid="{00000000-0002-0000-0E00-000000000000}">
      <formula1>"January,February,March,Aprail,May,June,July,August,September,October,November,December"</formula1>
    </dataValidation>
    <dataValidation type="list" allowBlank="1" showInputMessage="1" showErrorMessage="1" sqref="AN2" xr:uid="{00000000-0002-0000-0E00-000001000000}">
      <formula1>"2020,2021,2022,2023,2024,2025,2026,2027,2028,2029,2030"</formula1>
    </dataValidation>
    <dataValidation type="list" allowBlank="1" showInputMessage="1" showErrorMessage="1" sqref="C3:AG9" xr:uid="{00000000-0002-0000-0E00-000002000000}">
      <formula1>"p,ab,l"</formula1>
    </dataValidation>
  </dataValidation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AN87"/>
  <sheetViews>
    <sheetView zoomScaleNormal="100" workbookViewId="0">
      <pane xSplit="1" topLeftCell="J1" activePane="topRight" state="frozenSplit"/>
      <selection pane="topRight" activeCell="AN6" sqref="AN6"/>
    </sheetView>
  </sheetViews>
  <sheetFormatPr defaultRowHeight="15"/>
  <cols>
    <col min="1" max="1" width="16.85546875" customWidth="1"/>
    <col min="2" max="2" width="5.140625" customWidth="1"/>
    <col min="3" max="3" width="4.28515625" customWidth="1"/>
    <col min="4" max="4" width="5.28515625" customWidth="1"/>
    <col min="5" max="5" width="4.28515625" customWidth="1"/>
    <col min="6" max="6" width="3.42578125" customWidth="1"/>
    <col min="7" max="7" width="3.7109375" customWidth="1"/>
    <col min="8" max="8" width="4.28515625" customWidth="1"/>
    <col min="9" max="9" width="5.140625" customWidth="1"/>
    <col min="10" max="10" width="4.28515625" customWidth="1"/>
    <col min="11" max="11" width="5.28515625" customWidth="1"/>
    <col min="12" max="12" width="4.28515625" customWidth="1"/>
    <col min="13" max="13" width="3.28515625" customWidth="1"/>
    <col min="14" max="14" width="3.7109375" customWidth="1"/>
    <col min="15" max="15" width="4.28515625" customWidth="1"/>
    <col min="16" max="16" width="5.140625" customWidth="1"/>
    <col min="17" max="17" width="4.28515625" customWidth="1"/>
    <col min="18" max="18" width="5.28515625" customWidth="1"/>
    <col min="19" max="19" width="4.28515625" customWidth="1"/>
    <col min="20" max="20" width="3.28515625" customWidth="1"/>
    <col min="21" max="21" width="3.7109375" customWidth="1"/>
    <col min="22" max="22" width="4.28515625" customWidth="1"/>
    <col min="23" max="23" width="5.140625" customWidth="1"/>
    <col min="24" max="24" width="4.28515625" customWidth="1"/>
    <col min="25" max="25" width="5.28515625" customWidth="1"/>
    <col min="26" max="26" width="4.28515625" customWidth="1"/>
    <col min="27" max="27" width="3.42578125" customWidth="1"/>
    <col min="28" max="28" width="3.7109375" customWidth="1"/>
    <col min="29" max="29" width="4.28515625" customWidth="1"/>
    <col min="30" max="30" width="5.140625" customWidth="1"/>
    <col min="31" max="31" width="4.28515625" customWidth="1"/>
    <col min="32" max="32" width="5.28515625" customWidth="1"/>
    <col min="33" max="33" width="6.85546875" customWidth="1"/>
    <col min="34" max="34" width="7.85546875" customWidth="1"/>
    <col min="35" max="35" width="7.28515625" customWidth="1"/>
    <col min="36" max="36" width="6.140625" customWidth="1"/>
    <col min="37" max="37" width="10" customWidth="1"/>
    <col min="38" max="38" width="12.42578125" customWidth="1"/>
    <col min="39" max="39" width="9.7109375" customWidth="1"/>
    <col min="40" max="40" width="9.7109375" bestFit="1" customWidth="1"/>
  </cols>
  <sheetData>
    <row r="1" spans="1:40">
      <c r="A1" s="27"/>
      <c r="C1" s="8" t="str">
        <f>TEXT(C2,"DDD")</f>
        <v>Thu</v>
      </c>
      <c r="D1" s="8" t="str">
        <f t="shared" ref="D1:AG1" si="0">TEXT(D2,"DDD")</f>
        <v>Fri</v>
      </c>
      <c r="E1" s="8" t="str">
        <f t="shared" si="0"/>
        <v>Sat</v>
      </c>
      <c r="F1" s="8" t="str">
        <f t="shared" si="0"/>
        <v>Sun</v>
      </c>
      <c r="G1" s="8" t="str">
        <f t="shared" si="0"/>
        <v>Mon</v>
      </c>
      <c r="H1" s="8" t="str">
        <f t="shared" si="0"/>
        <v>Tue</v>
      </c>
      <c r="I1" s="8" t="str">
        <f t="shared" si="0"/>
        <v>Wed</v>
      </c>
      <c r="J1" s="8" t="str">
        <f t="shared" si="0"/>
        <v>Thu</v>
      </c>
      <c r="K1" s="8" t="str">
        <f t="shared" si="0"/>
        <v>Fri</v>
      </c>
      <c r="L1" s="8" t="str">
        <f t="shared" si="0"/>
        <v>Sat</v>
      </c>
      <c r="M1" s="8" t="str">
        <f t="shared" si="0"/>
        <v>Sun</v>
      </c>
      <c r="N1" s="8" t="str">
        <f t="shared" si="0"/>
        <v>Mon</v>
      </c>
      <c r="O1" s="8" t="str">
        <f t="shared" si="0"/>
        <v>Tue</v>
      </c>
      <c r="P1" s="8" t="str">
        <f t="shared" si="0"/>
        <v>Wed</v>
      </c>
      <c r="Q1" s="8" t="str">
        <f t="shared" si="0"/>
        <v>Thu</v>
      </c>
      <c r="R1" s="8" t="str">
        <f t="shared" si="0"/>
        <v>Fri</v>
      </c>
      <c r="S1" s="8" t="str">
        <f t="shared" si="0"/>
        <v>Sat</v>
      </c>
      <c r="T1" s="8" t="str">
        <f t="shared" si="0"/>
        <v>Sun</v>
      </c>
      <c r="U1" s="8" t="str">
        <f t="shared" si="0"/>
        <v>Mon</v>
      </c>
      <c r="V1" s="8" t="str">
        <f t="shared" si="0"/>
        <v>Tue</v>
      </c>
      <c r="W1" s="8" t="str">
        <f t="shared" si="0"/>
        <v>Wed</v>
      </c>
      <c r="X1" s="8" t="str">
        <f t="shared" si="0"/>
        <v>Thu</v>
      </c>
      <c r="Y1" s="8" t="str">
        <f t="shared" si="0"/>
        <v>Fri</v>
      </c>
      <c r="Z1" s="8" t="str">
        <f t="shared" si="0"/>
        <v>Sat</v>
      </c>
      <c r="AA1" s="8" t="str">
        <f t="shared" si="0"/>
        <v>Sun</v>
      </c>
      <c r="AB1" s="8" t="str">
        <f t="shared" si="0"/>
        <v>Mon</v>
      </c>
      <c r="AC1" s="8" t="str">
        <f t="shared" si="0"/>
        <v>Tue</v>
      </c>
      <c r="AD1" s="8" t="str">
        <f t="shared" si="0"/>
        <v>Wed</v>
      </c>
      <c r="AE1" s="8" t="str">
        <f t="shared" si="0"/>
        <v>Thu</v>
      </c>
      <c r="AF1" s="8" t="str">
        <f t="shared" si="0"/>
        <v/>
      </c>
      <c r="AG1" s="8" t="str">
        <f t="shared" si="0"/>
        <v/>
      </c>
      <c r="AH1" s="33" t="s">
        <v>106</v>
      </c>
      <c r="AI1" s="31" t="s">
        <v>107</v>
      </c>
      <c r="AJ1" s="31" t="s">
        <v>108</v>
      </c>
      <c r="AK1" s="31" t="s">
        <v>109</v>
      </c>
      <c r="AL1" s="31" t="s">
        <v>110</v>
      </c>
      <c r="AM1" s="5" t="s">
        <v>81</v>
      </c>
      <c r="AN1" s="10" t="s">
        <v>95</v>
      </c>
    </row>
    <row r="2" spans="1:40">
      <c r="A2" s="27"/>
      <c r="B2" t="s">
        <v>111</v>
      </c>
      <c r="C2" s="9">
        <f>IF(COLUMNS($C$2:C2)&gt;DAY($AN$4),"",$AN$3+COLUMNS($C$2:C2)-1)</f>
        <v>45323</v>
      </c>
      <c r="D2" s="9">
        <f>IF(COLUMNS($C$2:D2)&gt;DAY($AN$4),"",$AN$3+COLUMNS($C$2:D2)-1)</f>
        <v>45324</v>
      </c>
      <c r="E2" s="9">
        <f>IF(COLUMNS($C$2:E2)&gt;DAY($AN$4),"",$AN$3+COLUMNS($C$2:E2)-1)</f>
        <v>45325</v>
      </c>
      <c r="F2" s="9">
        <f>IF(COLUMNS($C$2:F2)&gt;DAY($AN$4),"",$AN$3+COLUMNS($C$2:F2)-1)</f>
        <v>45326</v>
      </c>
      <c r="G2" s="9">
        <f>IF(COLUMNS($C$2:G2)&gt;DAY($AN$4),"",$AN$3+COLUMNS($C$2:G2)-1)</f>
        <v>45327</v>
      </c>
      <c r="H2" s="9">
        <f>IF(COLUMNS($C$2:H2)&gt;DAY($AN$4),"",$AN$3+COLUMNS($C$2:H2)-1)</f>
        <v>45328</v>
      </c>
      <c r="I2" s="9">
        <f>IF(COLUMNS($C$2:I2)&gt;DAY($AN$4),"",$AN$3+COLUMNS($C$2:I2)-1)</f>
        <v>45329</v>
      </c>
      <c r="J2" s="9">
        <f>IF(COLUMNS($C$2:J2)&gt;DAY($AN$4),"",$AN$3+COLUMNS($C$2:J2)-1)</f>
        <v>45330</v>
      </c>
      <c r="K2" s="9">
        <f>IF(COLUMNS($C$2:K2)&gt;DAY($AN$4),"",$AN$3+COLUMNS($C$2:K2)-1)</f>
        <v>45331</v>
      </c>
      <c r="L2" s="9">
        <f>IF(COLUMNS($C$2:L2)&gt;DAY($AN$4),"",$AN$3+COLUMNS($C$2:L2)-1)</f>
        <v>45332</v>
      </c>
      <c r="M2" s="9">
        <f>IF(COLUMNS($C$2:M2)&gt;DAY($AN$4),"",$AN$3+COLUMNS($C$2:M2)-1)</f>
        <v>45333</v>
      </c>
      <c r="N2" s="9">
        <f>IF(COLUMNS($C$2:N2)&gt;DAY($AN$4),"",$AN$3+COLUMNS($C$2:N2)-1)</f>
        <v>45334</v>
      </c>
      <c r="O2" s="9">
        <f>IF(COLUMNS($C$2:O2)&gt;DAY($AN$4),"",$AN$3+COLUMNS($C$2:O2)-1)</f>
        <v>45335</v>
      </c>
      <c r="P2" s="9">
        <f>IF(COLUMNS($C$2:P2)&gt;DAY($AN$4),"",$AN$3+COLUMNS($C$2:P2)-1)</f>
        <v>45336</v>
      </c>
      <c r="Q2" s="9">
        <f>IF(COLUMNS($C$2:Q2)&gt;DAY($AN$4),"",$AN$3+COLUMNS($C$2:Q2)-1)</f>
        <v>45337</v>
      </c>
      <c r="R2" s="9">
        <f>IF(COLUMNS($C$2:R2)&gt;DAY($AN$4),"",$AN$3+COLUMNS($C$2:R2)-1)</f>
        <v>45338</v>
      </c>
      <c r="S2" s="9">
        <f>IF(COLUMNS($C$2:S2)&gt;DAY($AN$4),"",$AN$3+COLUMNS($C$2:S2)-1)</f>
        <v>45339</v>
      </c>
      <c r="T2" s="9">
        <f>IF(COLUMNS($C$2:T2)&gt;DAY($AN$4),"",$AN$3+COLUMNS($C$2:T2)-1)</f>
        <v>45340</v>
      </c>
      <c r="U2" s="9">
        <f>IF(COLUMNS($C$2:U2)&gt;DAY($AN$4),"",$AN$3+COLUMNS($C$2:U2)-1)</f>
        <v>45341</v>
      </c>
      <c r="V2" s="9">
        <f>IF(COLUMNS($C$2:V2)&gt;DAY($AN$4),"",$AN$3+COLUMNS($C$2:V2)-1)</f>
        <v>45342</v>
      </c>
      <c r="W2" s="9">
        <f>IF(COLUMNS($C$2:W2)&gt;DAY($AN$4),"",$AN$3+COLUMNS($C$2:W2)-1)</f>
        <v>45343</v>
      </c>
      <c r="X2" s="9">
        <f>IF(COLUMNS($C$2:X2)&gt;DAY($AN$4),"",$AN$3+COLUMNS($C$2:X2)-1)</f>
        <v>45344</v>
      </c>
      <c r="Y2" s="9">
        <f>IF(COLUMNS($C$2:Y2)&gt;DAY($AN$4),"",$AN$3+COLUMNS($C$2:Y2)-1)</f>
        <v>45345</v>
      </c>
      <c r="Z2" s="9">
        <f>IF(COLUMNS($C$2:Z2)&gt;DAY($AN$4),"",$AN$3+COLUMNS($C$2:Z2)-1)</f>
        <v>45346</v>
      </c>
      <c r="AA2" s="9">
        <f>IF(COLUMNS($C$2:AA2)&gt;DAY($AN$4),"",$AN$3+COLUMNS($C$2:AA2)-1)</f>
        <v>45347</v>
      </c>
      <c r="AB2" s="9">
        <f>IF(COLUMNS($C$2:AB2)&gt;DAY($AN$4),"",$AN$3+COLUMNS($C$2:AB2)-1)</f>
        <v>45348</v>
      </c>
      <c r="AC2" s="9">
        <f>IF(COLUMNS($C$2:AC2)&gt;DAY($AN$4),"",$AN$3+COLUMNS($C$2:AC2)-1)</f>
        <v>45349</v>
      </c>
      <c r="AD2" s="9">
        <f>IF(COLUMNS($C$2:AD2)&gt;DAY($AN$4),"",$AN$3+COLUMNS($C$2:AD2)-1)</f>
        <v>45350</v>
      </c>
      <c r="AE2" s="9">
        <f>IF(COLUMNS($C$2:AE2)&gt;DAY($AN$4),"",$AN$3+COLUMNS($C$2:AE2)-1)</f>
        <v>45351</v>
      </c>
      <c r="AF2" s="9" t="str">
        <f>IF(COLUMNS($C$2:AF2)&gt;DAY($AN$4),"",$AN$3+COLUMNS($C$2:AF2)-1)</f>
        <v/>
      </c>
      <c r="AG2" s="9" t="str">
        <f>IF(COLUMNS($C$2:AG2)&gt;DAY($AN$4),"",$AN$3+COLUMNS($C$2:AG2)-1)</f>
        <v/>
      </c>
      <c r="AH2" s="34"/>
      <c r="AI2" s="32"/>
      <c r="AJ2" s="32"/>
      <c r="AK2" s="32"/>
      <c r="AL2" s="32"/>
      <c r="AM2" s="6" t="s">
        <v>83</v>
      </c>
      <c r="AN2" s="11">
        <v>2024</v>
      </c>
    </row>
    <row r="3" spans="1:40">
      <c r="A3" s="27"/>
      <c r="B3" t="s">
        <v>88</v>
      </c>
      <c r="C3" t="s">
        <v>112</v>
      </c>
      <c r="D3" t="s">
        <v>112</v>
      </c>
      <c r="E3" t="s">
        <v>112</v>
      </c>
      <c r="F3" t="s">
        <v>112</v>
      </c>
      <c r="G3" t="s">
        <v>112</v>
      </c>
      <c r="H3" t="s">
        <v>112</v>
      </c>
      <c r="I3" t="s">
        <v>112</v>
      </c>
      <c r="J3" t="s">
        <v>112</v>
      </c>
      <c r="K3" t="s">
        <v>112</v>
      </c>
      <c r="L3" t="s">
        <v>112</v>
      </c>
      <c r="M3" t="s">
        <v>112</v>
      </c>
      <c r="N3" t="s">
        <v>112</v>
      </c>
      <c r="O3" t="s">
        <v>112</v>
      </c>
      <c r="P3" t="s">
        <v>113</v>
      </c>
      <c r="Q3" t="s">
        <v>112</v>
      </c>
      <c r="R3" t="s">
        <v>112</v>
      </c>
      <c r="S3" t="s">
        <v>112</v>
      </c>
      <c r="T3" t="s">
        <v>112</v>
      </c>
      <c r="U3" t="s">
        <v>112</v>
      </c>
      <c r="V3" t="s">
        <v>112</v>
      </c>
      <c r="W3" t="s">
        <v>112</v>
      </c>
      <c r="X3" t="s">
        <v>112</v>
      </c>
      <c r="Y3" t="s">
        <v>112</v>
      </c>
      <c r="Z3" t="s">
        <v>112</v>
      </c>
      <c r="AA3" t="s">
        <v>112</v>
      </c>
      <c r="AB3" t="s">
        <v>112</v>
      </c>
      <c r="AC3" t="s">
        <v>112</v>
      </c>
      <c r="AD3" t="s">
        <v>112</v>
      </c>
      <c r="AE3" t="s">
        <v>112</v>
      </c>
      <c r="AH3" s="16">
        <v>50000</v>
      </c>
      <c r="AI3" s="16">
        <f>COUNTIF($C3:$AG3,"P")</f>
        <v>28</v>
      </c>
      <c r="AJ3" s="16">
        <f>COUNTIF($C3:$AG3,"Ab")</f>
        <v>1</v>
      </c>
      <c r="AK3" s="16">
        <f>COUNTIF($C3:$AG3,"L")</f>
        <v>0</v>
      </c>
      <c r="AL3" s="16">
        <f>AH3/30*(AI3+AK3)</f>
        <v>46666.666666666672</v>
      </c>
      <c r="AM3" s="7" t="s">
        <v>84</v>
      </c>
      <c r="AN3" s="4">
        <f>DATE(AN2,MONTH(AN1&amp;1),1)</f>
        <v>45323</v>
      </c>
    </row>
    <row r="4" spans="1:40">
      <c r="A4" s="27"/>
      <c r="B4" t="s">
        <v>89</v>
      </c>
      <c r="C4" t="s">
        <v>112</v>
      </c>
      <c r="D4" t="s">
        <v>112</v>
      </c>
      <c r="E4" t="s">
        <v>112</v>
      </c>
      <c r="F4" t="s">
        <v>112</v>
      </c>
      <c r="G4" t="s">
        <v>112</v>
      </c>
      <c r="H4" t="s">
        <v>113</v>
      </c>
      <c r="I4" t="s">
        <v>113</v>
      </c>
      <c r="J4" t="s">
        <v>112</v>
      </c>
      <c r="K4" t="s">
        <v>112</v>
      </c>
      <c r="L4" t="s">
        <v>112</v>
      </c>
      <c r="M4" t="s">
        <v>112</v>
      </c>
      <c r="N4" t="s">
        <v>112</v>
      </c>
      <c r="O4" t="s">
        <v>112</v>
      </c>
      <c r="P4" t="s">
        <v>112</v>
      </c>
      <c r="Q4" t="s">
        <v>112</v>
      </c>
      <c r="R4" t="s">
        <v>112</v>
      </c>
      <c r="S4" t="s">
        <v>112</v>
      </c>
      <c r="T4" t="s">
        <v>112</v>
      </c>
      <c r="U4" t="s">
        <v>112</v>
      </c>
      <c r="V4" t="s">
        <v>112</v>
      </c>
      <c r="W4" t="s">
        <v>112</v>
      </c>
      <c r="X4" t="s">
        <v>112</v>
      </c>
      <c r="Y4" t="s">
        <v>112</v>
      </c>
      <c r="Z4" t="s">
        <v>112</v>
      </c>
      <c r="AA4" t="s">
        <v>112</v>
      </c>
      <c r="AB4" t="s">
        <v>112</v>
      </c>
      <c r="AC4" t="s">
        <v>112</v>
      </c>
      <c r="AD4" t="s">
        <v>112</v>
      </c>
      <c r="AE4" t="s">
        <v>112</v>
      </c>
      <c r="AH4" s="25">
        <v>15000</v>
      </c>
      <c r="AI4" s="16">
        <f t="shared" ref="AI4:AI6" si="1">COUNTIF($C4:$AG4,"P")</f>
        <v>27</v>
      </c>
      <c r="AJ4" s="16">
        <f t="shared" ref="AJ4:AJ6" si="2">COUNTIF($C4:$AG4,"Ab")</f>
        <v>2</v>
      </c>
      <c r="AK4" s="16">
        <f t="shared" ref="AK4:AK6" si="3">COUNTIF($C4:$AG4,"L")</f>
        <v>0</v>
      </c>
      <c r="AL4" s="16">
        <f t="shared" ref="AL4:AL6" si="4">AH4/30*(AI4+AK4)</f>
        <v>13500</v>
      </c>
      <c r="AM4" s="7" t="s">
        <v>85</v>
      </c>
      <c r="AN4" s="4">
        <f>EOMONTH(AN3,0)</f>
        <v>45351</v>
      </c>
    </row>
    <row r="5" spans="1:40">
      <c r="A5" s="27"/>
      <c r="B5" t="s">
        <v>90</v>
      </c>
      <c r="C5" t="s">
        <v>112</v>
      </c>
      <c r="D5" t="s">
        <v>112</v>
      </c>
      <c r="E5" t="s">
        <v>112</v>
      </c>
      <c r="F5" t="s">
        <v>112</v>
      </c>
      <c r="G5" t="s">
        <v>112</v>
      </c>
      <c r="H5" t="s">
        <v>112</v>
      </c>
      <c r="I5" t="s">
        <v>112</v>
      </c>
      <c r="J5" t="s">
        <v>112</v>
      </c>
      <c r="K5" t="s">
        <v>112</v>
      </c>
      <c r="L5" t="s">
        <v>113</v>
      </c>
      <c r="M5" t="s">
        <v>112</v>
      </c>
      <c r="N5" t="s">
        <v>112</v>
      </c>
      <c r="O5" t="s">
        <v>112</v>
      </c>
      <c r="P5" t="s">
        <v>112</v>
      </c>
      <c r="Q5" t="s">
        <v>112</v>
      </c>
      <c r="R5" t="s">
        <v>112</v>
      </c>
      <c r="S5" t="s">
        <v>112</v>
      </c>
      <c r="T5" t="s">
        <v>112</v>
      </c>
      <c r="U5" t="s">
        <v>112</v>
      </c>
      <c r="V5" t="s">
        <v>112</v>
      </c>
      <c r="W5" t="s">
        <v>112</v>
      </c>
      <c r="X5" t="s">
        <v>112</v>
      </c>
      <c r="Y5" t="s">
        <v>112</v>
      </c>
      <c r="Z5" t="s">
        <v>114</v>
      </c>
      <c r="AA5" t="s">
        <v>112</v>
      </c>
      <c r="AB5" t="s">
        <v>112</v>
      </c>
      <c r="AC5" t="s">
        <v>112</v>
      </c>
      <c r="AD5" t="s">
        <v>112</v>
      </c>
      <c r="AE5" t="s">
        <v>112</v>
      </c>
      <c r="AH5" s="25">
        <v>18000</v>
      </c>
      <c r="AI5" s="16">
        <f t="shared" si="1"/>
        <v>27</v>
      </c>
      <c r="AJ5" s="16">
        <f t="shared" si="2"/>
        <v>1</v>
      </c>
      <c r="AK5" s="16">
        <f t="shared" si="3"/>
        <v>1</v>
      </c>
      <c r="AL5" s="16">
        <f t="shared" si="4"/>
        <v>16800</v>
      </c>
    </row>
    <row r="6" spans="1:40">
      <c r="A6" s="27"/>
      <c r="B6" t="s">
        <v>91</v>
      </c>
      <c r="C6" t="s">
        <v>112</v>
      </c>
      <c r="D6" t="s">
        <v>112</v>
      </c>
      <c r="E6" t="s">
        <v>113</v>
      </c>
      <c r="F6" t="s">
        <v>112</v>
      </c>
      <c r="G6" t="s">
        <v>112</v>
      </c>
      <c r="H6" t="s">
        <v>112</v>
      </c>
      <c r="I6" t="s">
        <v>112</v>
      </c>
      <c r="J6" t="s">
        <v>112</v>
      </c>
      <c r="K6" t="s">
        <v>112</v>
      </c>
      <c r="L6" t="s">
        <v>112</v>
      </c>
      <c r="M6" t="s">
        <v>112</v>
      </c>
      <c r="N6" t="s">
        <v>112</v>
      </c>
      <c r="O6" t="s">
        <v>112</v>
      </c>
      <c r="P6" t="s">
        <v>112</v>
      </c>
      <c r="Q6" t="s">
        <v>112</v>
      </c>
      <c r="R6" t="s">
        <v>112</v>
      </c>
      <c r="S6" t="s">
        <v>112</v>
      </c>
      <c r="T6" t="s">
        <v>112</v>
      </c>
      <c r="U6" t="s">
        <v>113</v>
      </c>
      <c r="V6" t="s">
        <v>112</v>
      </c>
      <c r="W6" t="s">
        <v>112</v>
      </c>
      <c r="X6" t="s">
        <v>112</v>
      </c>
      <c r="Y6" t="s">
        <v>112</v>
      </c>
      <c r="Z6" t="s">
        <v>112</v>
      </c>
      <c r="AA6" t="s">
        <v>112</v>
      </c>
      <c r="AB6" t="s">
        <v>112</v>
      </c>
      <c r="AC6" t="s">
        <v>112</v>
      </c>
      <c r="AD6" t="s">
        <v>112</v>
      </c>
      <c r="AE6" t="s">
        <v>112</v>
      </c>
      <c r="AH6" s="25">
        <v>10000</v>
      </c>
      <c r="AI6" s="16">
        <f t="shared" si="1"/>
        <v>27</v>
      </c>
      <c r="AJ6" s="16">
        <f t="shared" si="2"/>
        <v>2</v>
      </c>
      <c r="AK6" s="16">
        <f t="shared" si="3"/>
        <v>0</v>
      </c>
      <c r="AL6" s="16">
        <f t="shared" si="4"/>
        <v>9000</v>
      </c>
    </row>
    <row r="7" spans="1:40">
      <c r="A7" s="27"/>
      <c r="AH7" s="25"/>
    </row>
    <row r="8" spans="1:40">
      <c r="A8" s="27"/>
    </row>
    <row r="9" spans="1:40">
      <c r="A9" s="27"/>
    </row>
    <row r="10" spans="1:40">
      <c r="A10" s="27"/>
    </row>
    <row r="11" spans="1:40">
      <c r="A11" s="27"/>
    </row>
    <row r="12" spans="1:40">
      <c r="A12" s="27"/>
    </row>
    <row r="13" spans="1:40">
      <c r="A13" s="27"/>
    </row>
    <row r="14" spans="1:40">
      <c r="A14" s="27"/>
    </row>
    <row r="15" spans="1:40">
      <c r="A15" s="27"/>
    </row>
    <row r="16" spans="1:40">
      <c r="A16" s="27"/>
    </row>
    <row r="17" spans="1:1">
      <c r="A17" s="27"/>
    </row>
    <row r="18" spans="1:1">
      <c r="A18" s="27"/>
    </row>
    <row r="19" spans="1:1">
      <c r="A19" s="27"/>
    </row>
    <row r="20" spans="1:1">
      <c r="A20" s="27"/>
    </row>
    <row r="21" spans="1:1">
      <c r="A21" s="27"/>
    </row>
    <row r="22" spans="1:1">
      <c r="A22" s="27"/>
    </row>
    <row r="23" spans="1:1">
      <c r="A23" s="27"/>
    </row>
    <row r="24" spans="1:1">
      <c r="A24" s="27"/>
    </row>
    <row r="25" spans="1:1">
      <c r="A25" s="27"/>
    </row>
    <row r="26" spans="1:1">
      <c r="A26" s="27"/>
    </row>
    <row r="27" spans="1:1">
      <c r="A27" s="27"/>
    </row>
    <row r="28" spans="1:1">
      <c r="A28" s="27"/>
    </row>
    <row r="29" spans="1:1">
      <c r="A29" s="27"/>
    </row>
    <row r="30" spans="1:1">
      <c r="A30" s="27"/>
    </row>
    <row r="31" spans="1:1">
      <c r="A31" s="27"/>
    </row>
    <row r="32" spans="1:1">
      <c r="A32" s="27"/>
    </row>
    <row r="33" spans="1:1">
      <c r="A33" s="27"/>
    </row>
    <row r="34" spans="1:1">
      <c r="A34" s="27"/>
    </row>
    <row r="35" spans="1:1">
      <c r="A35" s="27"/>
    </row>
    <row r="36" spans="1:1">
      <c r="A36" s="27"/>
    </row>
    <row r="37" spans="1:1">
      <c r="A37" s="27"/>
    </row>
    <row r="38" spans="1:1">
      <c r="A38" s="27"/>
    </row>
    <row r="39" spans="1:1">
      <c r="A39" s="27"/>
    </row>
    <row r="40" spans="1:1">
      <c r="A40" s="27"/>
    </row>
    <row r="41" spans="1:1">
      <c r="A41" s="27"/>
    </row>
    <row r="42" spans="1:1">
      <c r="A42" s="27"/>
    </row>
    <row r="43" spans="1:1">
      <c r="A43" s="27"/>
    </row>
    <row r="44" spans="1:1">
      <c r="A44" s="27"/>
    </row>
    <row r="45" spans="1:1">
      <c r="A45" s="27"/>
    </row>
    <row r="46" spans="1:1">
      <c r="A46" s="27"/>
    </row>
    <row r="47" spans="1:1">
      <c r="A47" s="27"/>
    </row>
    <row r="48" spans="1:1">
      <c r="A48" s="27"/>
    </row>
    <row r="49" spans="1:1">
      <c r="A49" s="27"/>
    </row>
    <row r="50" spans="1:1">
      <c r="A50" s="27"/>
    </row>
    <row r="51" spans="1:1">
      <c r="A51" s="27"/>
    </row>
    <row r="52" spans="1:1">
      <c r="A52" s="27"/>
    </row>
    <row r="53" spans="1:1">
      <c r="A53" s="27"/>
    </row>
    <row r="54" spans="1:1">
      <c r="A54" s="27"/>
    </row>
    <row r="55" spans="1:1">
      <c r="A55" s="27"/>
    </row>
    <row r="56" spans="1:1">
      <c r="A56" s="27"/>
    </row>
    <row r="57" spans="1:1">
      <c r="A57" s="27"/>
    </row>
    <row r="58" spans="1:1">
      <c r="A58" s="27"/>
    </row>
    <row r="59" spans="1:1">
      <c r="A59" s="27"/>
    </row>
    <row r="60" spans="1:1">
      <c r="A60" s="27"/>
    </row>
    <row r="61" spans="1:1">
      <c r="A61" s="27"/>
    </row>
    <row r="62" spans="1:1">
      <c r="A62" s="27"/>
    </row>
    <row r="63" spans="1:1">
      <c r="A63" s="27"/>
    </row>
    <row r="64" spans="1:1">
      <c r="A64" s="27"/>
    </row>
    <row r="65" spans="1:1">
      <c r="A65" s="27"/>
    </row>
    <row r="66" spans="1:1">
      <c r="A66" s="27"/>
    </row>
    <row r="67" spans="1:1">
      <c r="A67" s="27"/>
    </row>
    <row r="68" spans="1:1">
      <c r="A68" s="27"/>
    </row>
    <row r="69" spans="1:1">
      <c r="A69" s="27"/>
    </row>
    <row r="70" spans="1:1">
      <c r="A70" s="27"/>
    </row>
    <row r="71" spans="1:1">
      <c r="A71" s="27"/>
    </row>
    <row r="72" spans="1:1">
      <c r="A72" s="27"/>
    </row>
    <row r="73" spans="1:1">
      <c r="A73" s="27"/>
    </row>
    <row r="74" spans="1:1">
      <c r="A74" s="27"/>
    </row>
    <row r="75" spans="1:1">
      <c r="A75" s="27"/>
    </row>
    <row r="76" spans="1:1">
      <c r="A76" s="27"/>
    </row>
    <row r="77" spans="1:1">
      <c r="A77" s="27"/>
    </row>
    <row r="78" spans="1:1">
      <c r="A78" s="27"/>
    </row>
    <row r="79" spans="1:1">
      <c r="A79" s="27"/>
    </row>
    <row r="80" spans="1:1">
      <c r="A80" s="27"/>
    </row>
    <row r="81" spans="1:1">
      <c r="A81" s="27"/>
    </row>
    <row r="82" spans="1:1">
      <c r="A82" s="27"/>
    </row>
    <row r="83" spans="1:1">
      <c r="A83" s="27"/>
    </row>
    <row r="84" spans="1:1">
      <c r="A84" s="27"/>
    </row>
    <row r="85" spans="1:1">
      <c r="A85" s="27"/>
    </row>
    <row r="86" spans="1:1">
      <c r="A86" s="27"/>
    </row>
    <row r="87" spans="1:1">
      <c r="A87" s="27"/>
    </row>
  </sheetData>
  <mergeCells count="8">
    <mergeCell ref="AL1:AL2"/>
    <mergeCell ref="A1:A29"/>
    <mergeCell ref="A30:A58"/>
    <mergeCell ref="A59:A87"/>
    <mergeCell ref="AH1:AH2"/>
    <mergeCell ref="AI1:AI2"/>
    <mergeCell ref="AJ1:AJ2"/>
    <mergeCell ref="AK1:AK2"/>
  </mergeCells>
  <conditionalFormatting sqref="C3:AG9">
    <cfRule type="containsText" dxfId="33" priority="1" operator="containsText" text="l">
      <formula>NOT(ISERROR(SEARCH("l",C3)))</formula>
    </cfRule>
    <cfRule type="containsText" dxfId="32" priority="2" operator="containsText" text="ab">
      <formula>NOT(ISERROR(SEARCH("ab",C3)))</formula>
    </cfRule>
    <cfRule type="containsText" dxfId="31" priority="3" operator="containsText" text="p">
      <formula>NOT(ISERROR(SEARCH("p",C3)))</formula>
    </cfRule>
  </conditionalFormatting>
  <dataValidations count="3">
    <dataValidation type="list" allowBlank="1" showInputMessage="1" showErrorMessage="1" sqref="AN2" xr:uid="{00000000-0002-0000-0F00-000000000000}">
      <formula1>"2020,2021,2022,2023,2024,2025,2026,2027,2028,2029,2030"</formula1>
    </dataValidation>
    <dataValidation type="list" allowBlank="1" showInputMessage="1" showErrorMessage="1" sqref="AN1" xr:uid="{00000000-0002-0000-0F00-000001000000}">
      <formula1>"January,February,March,Aprail,May,June,July,August,September,October,November,December"</formula1>
    </dataValidation>
    <dataValidation type="list" allowBlank="1" showInputMessage="1" showErrorMessage="1" sqref="C3:AG9" xr:uid="{00000000-0002-0000-0F00-000002000000}">
      <formula1>"p,ab,l"</formula1>
    </dataValidation>
  </dataValidation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dimension ref="A1:AN87"/>
  <sheetViews>
    <sheetView zoomScaleNormal="100" workbookViewId="0">
      <pane xSplit="1" topLeftCell="B1" activePane="topRight" state="frozenSplit"/>
      <selection pane="topRight" activeCell="AH8" sqref="AH8"/>
    </sheetView>
  </sheetViews>
  <sheetFormatPr defaultRowHeight="15"/>
  <cols>
    <col min="1" max="1" width="16.85546875" bestFit="1" customWidth="1"/>
    <col min="2" max="2" width="15.7109375" customWidth="1"/>
    <col min="3" max="3" width="5.140625" style="12" customWidth="1"/>
    <col min="4" max="4" width="4.28515625" style="12" customWidth="1"/>
    <col min="5" max="5" width="5.28515625" style="12" customWidth="1"/>
    <col min="6" max="6" width="4.28515625" style="12" customWidth="1"/>
    <col min="7" max="7" width="3.42578125" style="12" customWidth="1"/>
    <col min="8" max="8" width="3.7109375" style="12" customWidth="1"/>
    <col min="9" max="9" width="4.28515625" style="12" customWidth="1"/>
    <col min="10" max="10" width="5.140625" style="12" customWidth="1"/>
    <col min="11" max="11" width="4.28515625" style="12" customWidth="1"/>
    <col min="12" max="12" width="5.28515625" style="12" customWidth="1"/>
    <col min="13" max="13" width="4.28515625" style="12" customWidth="1"/>
    <col min="14" max="14" width="3.28515625" style="12" customWidth="1"/>
    <col min="15" max="15" width="3.7109375" style="12" customWidth="1"/>
    <col min="16" max="16" width="4.28515625" style="12" customWidth="1"/>
    <col min="17" max="17" width="5.140625" style="12" customWidth="1"/>
    <col min="18" max="18" width="4.28515625" style="12" customWidth="1"/>
    <col min="19" max="19" width="5.28515625" style="12" customWidth="1"/>
    <col min="20" max="20" width="4.28515625" style="12" customWidth="1"/>
    <col min="21" max="21" width="3.28515625" style="12" customWidth="1"/>
    <col min="22" max="22" width="3.7109375" style="12" customWidth="1"/>
    <col min="23" max="23" width="4.28515625" style="12" customWidth="1"/>
    <col min="24" max="24" width="5.140625" style="12" customWidth="1"/>
    <col min="25" max="25" width="4.28515625" style="12" customWidth="1"/>
    <col min="26" max="26" width="5.28515625" style="12" customWidth="1"/>
    <col min="27" max="27" width="4.28515625" style="12" customWidth="1"/>
    <col min="28" max="28" width="3.42578125" style="12" customWidth="1"/>
    <col min="29" max="29" width="3.7109375" style="12" customWidth="1"/>
    <col min="30" max="30" width="4.28515625" style="12" customWidth="1"/>
    <col min="31" max="31" width="5.140625" style="12" customWidth="1"/>
    <col min="32" max="32" width="4.28515625" style="12" customWidth="1"/>
    <col min="33" max="33" width="5.28515625" style="12" customWidth="1"/>
    <col min="34" max="34" width="19" customWidth="1"/>
    <col min="35" max="35" width="7.85546875" customWidth="1"/>
    <col min="36" max="36" width="7.28515625" customWidth="1"/>
    <col min="37" max="37" width="6.140625" customWidth="1"/>
    <col min="38" max="38" width="10" customWidth="1"/>
    <col min="39" max="39" width="12.42578125" customWidth="1"/>
    <col min="40" max="40" width="9.7109375" customWidth="1"/>
  </cols>
  <sheetData>
    <row r="1" spans="1:40">
      <c r="A1" s="27"/>
      <c r="C1" s="17" t="str">
        <f>TEXT(C2,"DDD")</f>
        <v>Fri</v>
      </c>
      <c r="D1" s="17" t="str">
        <f t="shared" ref="D1:AG1" si="0">TEXT(D2,"DDD")</f>
        <v>Sat</v>
      </c>
      <c r="E1" s="17" t="str">
        <f t="shared" si="0"/>
        <v>Sun</v>
      </c>
      <c r="F1" s="17" t="str">
        <f t="shared" si="0"/>
        <v>Mon</v>
      </c>
      <c r="G1" s="17" t="str">
        <f t="shared" si="0"/>
        <v>Tue</v>
      </c>
      <c r="H1" s="17" t="str">
        <f t="shared" si="0"/>
        <v>Wed</v>
      </c>
      <c r="I1" s="17" t="str">
        <f t="shared" si="0"/>
        <v>Thu</v>
      </c>
      <c r="J1" s="17" t="str">
        <f t="shared" si="0"/>
        <v>Fri</v>
      </c>
      <c r="K1" s="17" t="str">
        <f t="shared" si="0"/>
        <v>Sat</v>
      </c>
      <c r="L1" s="17" t="str">
        <f t="shared" si="0"/>
        <v>Sun</v>
      </c>
      <c r="M1" s="17" t="str">
        <f t="shared" si="0"/>
        <v>Mon</v>
      </c>
      <c r="N1" s="17" t="str">
        <f t="shared" si="0"/>
        <v>Tue</v>
      </c>
      <c r="O1" s="17" t="str">
        <f t="shared" si="0"/>
        <v>Wed</v>
      </c>
      <c r="P1" s="17" t="str">
        <f t="shared" si="0"/>
        <v>Thu</v>
      </c>
      <c r="Q1" s="17" t="str">
        <f t="shared" si="0"/>
        <v>Fri</v>
      </c>
      <c r="R1" s="17" t="str">
        <f t="shared" si="0"/>
        <v>Sat</v>
      </c>
      <c r="S1" s="17" t="str">
        <f t="shared" si="0"/>
        <v>Sun</v>
      </c>
      <c r="T1" s="17" t="str">
        <f t="shared" si="0"/>
        <v>Mon</v>
      </c>
      <c r="U1" s="17" t="str">
        <f t="shared" si="0"/>
        <v>Tue</v>
      </c>
      <c r="V1" s="17" t="str">
        <f t="shared" si="0"/>
        <v>Wed</v>
      </c>
      <c r="W1" s="17" t="str">
        <f t="shared" si="0"/>
        <v>Thu</v>
      </c>
      <c r="X1" s="17" t="str">
        <f t="shared" si="0"/>
        <v>Fri</v>
      </c>
      <c r="Y1" s="17" t="str">
        <f t="shared" si="0"/>
        <v>Sat</v>
      </c>
      <c r="Z1" s="17" t="str">
        <f t="shared" si="0"/>
        <v>Sun</v>
      </c>
      <c r="AA1" s="17" t="str">
        <f t="shared" si="0"/>
        <v>Mon</v>
      </c>
      <c r="AB1" s="17" t="str">
        <f t="shared" si="0"/>
        <v>Tue</v>
      </c>
      <c r="AC1" s="17" t="str">
        <f t="shared" si="0"/>
        <v>Wed</v>
      </c>
      <c r="AD1" s="17" t="str">
        <f t="shared" si="0"/>
        <v>Thu</v>
      </c>
      <c r="AE1" s="17" t="str">
        <f t="shared" si="0"/>
        <v>Fri</v>
      </c>
      <c r="AF1" s="17" t="str">
        <f t="shared" si="0"/>
        <v>Sat</v>
      </c>
      <c r="AG1" s="17" t="str">
        <f t="shared" si="0"/>
        <v>Sun</v>
      </c>
      <c r="AH1" s="33" t="s">
        <v>106</v>
      </c>
      <c r="AI1" s="31" t="s">
        <v>107</v>
      </c>
      <c r="AJ1" s="31" t="s">
        <v>108</v>
      </c>
      <c r="AK1" s="31" t="s">
        <v>109</v>
      </c>
      <c r="AL1" s="31" t="s">
        <v>110</v>
      </c>
      <c r="AM1" s="5" t="s">
        <v>81</v>
      </c>
      <c r="AN1" s="10" t="s">
        <v>96</v>
      </c>
    </row>
    <row r="2" spans="1:40">
      <c r="A2" s="27"/>
      <c r="B2" t="s">
        <v>111</v>
      </c>
      <c r="C2" s="18">
        <f>IF(COLUMNS($C$2:C2)&gt;DAY($AN$4),"",$AN$3+COLUMNS($C$2:C2)-1)</f>
        <v>45352</v>
      </c>
      <c r="D2" s="18">
        <f>IF(COLUMNS($C$2:D2)&gt;DAY($AN$4),"",$AN$3+COLUMNS($C$2:D2)-1)</f>
        <v>45353</v>
      </c>
      <c r="E2" s="18">
        <f>IF(COLUMNS($C$2:E2)&gt;DAY($AN$4),"",$AN$3+COLUMNS($C$2:E2)-1)</f>
        <v>45354</v>
      </c>
      <c r="F2" s="18">
        <f>IF(COLUMNS($C$2:F2)&gt;DAY($AN$4),"",$AN$3+COLUMNS($C$2:F2)-1)</f>
        <v>45355</v>
      </c>
      <c r="G2" s="18">
        <f>IF(COLUMNS($C$2:G2)&gt;DAY($AN$4),"",$AN$3+COLUMNS($C$2:G2)-1)</f>
        <v>45356</v>
      </c>
      <c r="H2" s="18">
        <f>IF(COLUMNS($C$2:H2)&gt;DAY($AN$4),"",$AN$3+COLUMNS($C$2:H2)-1)</f>
        <v>45357</v>
      </c>
      <c r="I2" s="18">
        <f>IF(COLUMNS($C$2:I2)&gt;DAY($AN$4),"",$AN$3+COLUMNS($C$2:I2)-1)</f>
        <v>45358</v>
      </c>
      <c r="J2" s="18">
        <f>IF(COLUMNS($C$2:J2)&gt;DAY($AN$4),"",$AN$3+COLUMNS($C$2:J2)-1)</f>
        <v>45359</v>
      </c>
      <c r="K2" s="18">
        <f>IF(COLUMNS($C$2:K2)&gt;DAY($AN$4),"",$AN$3+COLUMNS($C$2:K2)-1)</f>
        <v>45360</v>
      </c>
      <c r="L2" s="18">
        <f>IF(COLUMNS($C$2:L2)&gt;DAY($AN$4),"",$AN$3+COLUMNS($C$2:L2)-1)</f>
        <v>45361</v>
      </c>
      <c r="M2" s="18">
        <f>IF(COLUMNS($C$2:M2)&gt;DAY($AN$4),"",$AN$3+COLUMNS($C$2:M2)-1)</f>
        <v>45362</v>
      </c>
      <c r="N2" s="18">
        <f>IF(COLUMNS($C$2:N2)&gt;DAY($AN$4),"",$AN$3+COLUMNS($C$2:N2)-1)</f>
        <v>45363</v>
      </c>
      <c r="O2" s="18">
        <f>IF(COLUMNS($C$2:O2)&gt;DAY($AN$4),"",$AN$3+COLUMNS($C$2:O2)-1)</f>
        <v>45364</v>
      </c>
      <c r="P2" s="18">
        <f>IF(COLUMNS($C$2:P2)&gt;DAY($AN$4),"",$AN$3+COLUMNS($C$2:P2)-1)</f>
        <v>45365</v>
      </c>
      <c r="Q2" s="18">
        <f>IF(COLUMNS($C$2:Q2)&gt;DAY($AN$4),"",$AN$3+COLUMNS($C$2:Q2)-1)</f>
        <v>45366</v>
      </c>
      <c r="R2" s="18">
        <f>IF(COLUMNS($C$2:R2)&gt;DAY($AN$4),"",$AN$3+COLUMNS($C$2:R2)-1)</f>
        <v>45367</v>
      </c>
      <c r="S2" s="18">
        <f>IF(COLUMNS($C$2:S2)&gt;DAY($AN$4),"",$AN$3+COLUMNS($C$2:S2)-1)</f>
        <v>45368</v>
      </c>
      <c r="T2" s="18">
        <f>IF(COLUMNS($C$2:T2)&gt;DAY($AN$4),"",$AN$3+COLUMNS($C$2:T2)-1)</f>
        <v>45369</v>
      </c>
      <c r="U2" s="18">
        <f>IF(COLUMNS($C$2:U2)&gt;DAY($AN$4),"",$AN$3+COLUMNS($C$2:U2)-1)</f>
        <v>45370</v>
      </c>
      <c r="V2" s="18">
        <f>IF(COLUMNS($C$2:V2)&gt;DAY($AN$4),"",$AN$3+COLUMNS($C$2:V2)-1)</f>
        <v>45371</v>
      </c>
      <c r="W2" s="18">
        <f>IF(COLUMNS($C$2:W2)&gt;DAY($AN$4),"",$AN$3+COLUMNS($C$2:W2)-1)</f>
        <v>45372</v>
      </c>
      <c r="X2" s="18">
        <f>IF(COLUMNS($C$2:X2)&gt;DAY($AN$4),"",$AN$3+COLUMNS($C$2:X2)-1)</f>
        <v>45373</v>
      </c>
      <c r="Y2" s="18">
        <f>IF(COLUMNS($C$2:Y2)&gt;DAY($AN$4),"",$AN$3+COLUMNS($C$2:Y2)-1)</f>
        <v>45374</v>
      </c>
      <c r="Z2" s="18">
        <f>IF(COLUMNS($C$2:Z2)&gt;DAY($AN$4),"",$AN$3+COLUMNS($C$2:Z2)-1)</f>
        <v>45375</v>
      </c>
      <c r="AA2" s="18">
        <f>IF(COLUMNS($C$2:AA2)&gt;DAY($AN$4),"",$AN$3+COLUMNS($C$2:AA2)-1)</f>
        <v>45376</v>
      </c>
      <c r="AB2" s="18">
        <f>IF(COLUMNS($C$2:AB2)&gt;DAY($AN$4),"",$AN$3+COLUMNS($C$2:AB2)-1)</f>
        <v>45377</v>
      </c>
      <c r="AC2" s="18">
        <f>IF(COLUMNS($C$2:AC2)&gt;DAY($AN$4),"",$AN$3+COLUMNS($C$2:AC2)-1)</f>
        <v>45378</v>
      </c>
      <c r="AD2" s="18">
        <f>IF(COLUMNS($C$2:AD2)&gt;DAY($AN$4),"",$AN$3+COLUMNS($C$2:AD2)-1)</f>
        <v>45379</v>
      </c>
      <c r="AE2" s="18">
        <f>IF(COLUMNS($C$2:AE2)&gt;DAY($AN$4),"",$AN$3+COLUMNS($C$2:AE2)-1)</f>
        <v>45380</v>
      </c>
      <c r="AF2" s="18">
        <f>IF(COLUMNS($C$2:AF2)&gt;DAY($AN$4),"",$AN$3+COLUMNS($C$2:AF2)-1)</f>
        <v>45381</v>
      </c>
      <c r="AG2" s="18">
        <f>IF(COLUMNS($C$2:AG2)&gt;DAY($AN$4),"",$AN$3+COLUMNS($C$2:AG2)-1)</f>
        <v>45382</v>
      </c>
      <c r="AH2" s="34"/>
      <c r="AI2" s="32"/>
      <c r="AJ2" s="32"/>
      <c r="AK2" s="32"/>
      <c r="AL2" s="32"/>
      <c r="AM2" s="6" t="s">
        <v>83</v>
      </c>
      <c r="AN2" s="11">
        <v>2024</v>
      </c>
    </row>
    <row r="3" spans="1:40">
      <c r="A3" s="27"/>
      <c r="B3" t="s">
        <v>88</v>
      </c>
      <c r="C3" t="s">
        <v>112</v>
      </c>
      <c r="D3" t="s">
        <v>112</v>
      </c>
      <c r="E3" t="s">
        <v>112</v>
      </c>
      <c r="F3" t="s">
        <v>112</v>
      </c>
      <c r="G3" t="s">
        <v>112</v>
      </c>
      <c r="H3" t="s">
        <v>112</v>
      </c>
      <c r="I3" t="s">
        <v>112</v>
      </c>
      <c r="J3" t="s">
        <v>112</v>
      </c>
      <c r="K3" t="s">
        <v>112</v>
      </c>
      <c r="L3" t="s">
        <v>112</v>
      </c>
      <c r="M3" t="s">
        <v>112</v>
      </c>
      <c r="N3" t="s">
        <v>112</v>
      </c>
      <c r="O3" t="s">
        <v>112</v>
      </c>
      <c r="P3" t="s">
        <v>112</v>
      </c>
      <c r="Q3" t="s">
        <v>112</v>
      </c>
      <c r="R3" t="s">
        <v>112</v>
      </c>
      <c r="S3" t="s">
        <v>112</v>
      </c>
      <c r="T3" t="s">
        <v>112</v>
      </c>
      <c r="U3" t="s">
        <v>113</v>
      </c>
      <c r="V3" t="s">
        <v>112</v>
      </c>
      <c r="W3" t="s">
        <v>112</v>
      </c>
      <c r="X3" t="s">
        <v>112</v>
      </c>
      <c r="Y3" t="s">
        <v>112</v>
      </c>
      <c r="Z3" t="s">
        <v>112</v>
      </c>
      <c r="AA3" t="s">
        <v>112</v>
      </c>
      <c r="AB3" t="s">
        <v>112</v>
      </c>
      <c r="AC3" t="s">
        <v>112</v>
      </c>
      <c r="AD3" t="s">
        <v>112</v>
      </c>
      <c r="AE3" t="s">
        <v>113</v>
      </c>
      <c r="AF3" t="s">
        <v>112</v>
      </c>
      <c r="AG3" t="s">
        <v>112</v>
      </c>
      <c r="AH3" s="16">
        <v>50000</v>
      </c>
      <c r="AI3" s="16">
        <f>COUNTIF($C3:$AG3,"P")</f>
        <v>29</v>
      </c>
      <c r="AJ3" s="16">
        <f>COUNTIF($C3:$AG3,"Ab")</f>
        <v>2</v>
      </c>
      <c r="AK3" s="16">
        <f>COUNTIF($C3:$AG3,"L")</f>
        <v>0</v>
      </c>
      <c r="AL3" s="16">
        <f>AH3/30*(AI3+AK3)</f>
        <v>48333.333333333336</v>
      </c>
      <c r="AM3" s="7" t="s">
        <v>84</v>
      </c>
      <c r="AN3" s="4">
        <f>DATE(AN2,MONTH(AN1&amp;1),1)</f>
        <v>45352</v>
      </c>
    </row>
    <row r="4" spans="1:40">
      <c r="A4" s="27"/>
      <c r="B4" t="s">
        <v>89</v>
      </c>
      <c r="C4" t="s">
        <v>112</v>
      </c>
      <c r="D4" t="s">
        <v>112</v>
      </c>
      <c r="E4" t="s">
        <v>112</v>
      </c>
      <c r="F4" t="s">
        <v>113</v>
      </c>
      <c r="G4" t="s">
        <v>112</v>
      </c>
      <c r="H4" t="s">
        <v>112</v>
      </c>
      <c r="I4" t="s">
        <v>112</v>
      </c>
      <c r="J4" t="s">
        <v>112</v>
      </c>
      <c r="K4" t="s">
        <v>112</v>
      </c>
      <c r="L4" t="s">
        <v>112</v>
      </c>
      <c r="M4" t="s">
        <v>112</v>
      </c>
      <c r="N4" t="s">
        <v>113</v>
      </c>
      <c r="O4" t="s">
        <v>112</v>
      </c>
      <c r="P4" t="s">
        <v>112</v>
      </c>
      <c r="Q4" t="s">
        <v>112</v>
      </c>
      <c r="R4" t="s">
        <v>112</v>
      </c>
      <c r="S4" t="s">
        <v>112</v>
      </c>
      <c r="T4" t="s">
        <v>112</v>
      </c>
      <c r="U4" t="s">
        <v>112</v>
      </c>
      <c r="V4" t="s">
        <v>112</v>
      </c>
      <c r="W4" t="s">
        <v>112</v>
      </c>
      <c r="X4" t="s">
        <v>112</v>
      </c>
      <c r="Y4" t="s">
        <v>112</v>
      </c>
      <c r="Z4" t="s">
        <v>112</v>
      </c>
      <c r="AA4" t="s">
        <v>112</v>
      </c>
      <c r="AB4" t="s">
        <v>112</v>
      </c>
      <c r="AC4" t="s">
        <v>112</v>
      </c>
      <c r="AD4" t="s">
        <v>112</v>
      </c>
      <c r="AE4" t="s">
        <v>113</v>
      </c>
      <c r="AF4" t="s">
        <v>112</v>
      </c>
      <c r="AG4" t="s">
        <v>112</v>
      </c>
      <c r="AH4" s="25">
        <v>15000</v>
      </c>
      <c r="AI4" s="16">
        <f t="shared" ref="AI4:AI6" si="1">COUNTIF($C4:$AG4,"P")</f>
        <v>28</v>
      </c>
      <c r="AJ4" s="16">
        <f t="shared" ref="AJ4:AJ6" si="2">COUNTIF($C4:$AG4,"Ab")</f>
        <v>3</v>
      </c>
      <c r="AK4" s="16">
        <f t="shared" ref="AK4:AK6" si="3">COUNTIF($C4:$AG4,"L")</f>
        <v>0</v>
      </c>
      <c r="AL4" s="16">
        <f t="shared" ref="AL4:AL6" si="4">AH4/30*(AI4+AK4)</f>
        <v>14000</v>
      </c>
      <c r="AM4" s="7" t="s">
        <v>85</v>
      </c>
      <c r="AN4" s="4">
        <f>EOMONTH(AN3,0)</f>
        <v>45382</v>
      </c>
    </row>
    <row r="5" spans="1:40">
      <c r="A5" s="27"/>
      <c r="B5" t="s">
        <v>90</v>
      </c>
      <c r="C5" t="s">
        <v>112</v>
      </c>
      <c r="D5" t="s">
        <v>112</v>
      </c>
      <c r="E5" t="s">
        <v>112</v>
      </c>
      <c r="F5" t="s">
        <v>112</v>
      </c>
      <c r="G5" t="s">
        <v>112</v>
      </c>
      <c r="H5" t="s">
        <v>112</v>
      </c>
      <c r="I5" t="s">
        <v>112</v>
      </c>
      <c r="J5" t="s">
        <v>112</v>
      </c>
      <c r="K5" t="s">
        <v>112</v>
      </c>
      <c r="L5" t="s">
        <v>112</v>
      </c>
      <c r="M5" t="s">
        <v>112</v>
      </c>
      <c r="N5" t="s">
        <v>113</v>
      </c>
      <c r="O5" t="s">
        <v>112</v>
      </c>
      <c r="P5" t="s">
        <v>112</v>
      </c>
      <c r="Q5" t="s">
        <v>112</v>
      </c>
      <c r="R5" t="s">
        <v>112</v>
      </c>
      <c r="S5" t="s">
        <v>112</v>
      </c>
      <c r="T5" t="s">
        <v>112</v>
      </c>
      <c r="U5" t="s">
        <v>112</v>
      </c>
      <c r="V5" t="s">
        <v>112</v>
      </c>
      <c r="W5" t="s">
        <v>112</v>
      </c>
      <c r="X5" t="s">
        <v>112</v>
      </c>
      <c r="Y5" t="s">
        <v>112</v>
      </c>
      <c r="Z5" t="s">
        <v>112</v>
      </c>
      <c r="AA5" t="s">
        <v>112</v>
      </c>
      <c r="AB5" t="s">
        <v>112</v>
      </c>
      <c r="AC5" t="s">
        <v>112</v>
      </c>
      <c r="AD5" t="s">
        <v>112</v>
      </c>
      <c r="AE5" t="s">
        <v>112</v>
      </c>
      <c r="AF5" t="s">
        <v>112</v>
      </c>
      <c r="AG5" t="s">
        <v>112</v>
      </c>
      <c r="AH5" s="25">
        <v>18000</v>
      </c>
      <c r="AI5" s="16">
        <f t="shared" si="1"/>
        <v>30</v>
      </c>
      <c r="AJ5" s="16">
        <f t="shared" si="2"/>
        <v>1</v>
      </c>
      <c r="AK5" s="16">
        <f t="shared" si="3"/>
        <v>0</v>
      </c>
      <c r="AL5" s="16">
        <f t="shared" si="4"/>
        <v>18000</v>
      </c>
    </row>
    <row r="6" spans="1:40">
      <c r="A6" s="27"/>
      <c r="B6" t="s">
        <v>91</v>
      </c>
      <c r="C6" t="s">
        <v>112</v>
      </c>
      <c r="D6" t="s">
        <v>112</v>
      </c>
      <c r="E6" t="s">
        <v>112</v>
      </c>
      <c r="F6" t="s">
        <v>112</v>
      </c>
      <c r="G6" t="s">
        <v>112</v>
      </c>
      <c r="H6" t="s">
        <v>112</v>
      </c>
      <c r="I6" t="s">
        <v>112</v>
      </c>
      <c r="J6" t="s">
        <v>112</v>
      </c>
      <c r="K6" t="s">
        <v>112</v>
      </c>
      <c r="L6" t="s">
        <v>112</v>
      </c>
      <c r="M6" t="s">
        <v>112</v>
      </c>
      <c r="N6" t="s">
        <v>112</v>
      </c>
      <c r="O6" t="s">
        <v>112</v>
      </c>
      <c r="P6" t="s">
        <v>112</v>
      </c>
      <c r="Q6" t="s">
        <v>112</v>
      </c>
      <c r="R6" t="s">
        <v>112</v>
      </c>
      <c r="S6" t="s">
        <v>112</v>
      </c>
      <c r="T6" t="s">
        <v>112</v>
      </c>
      <c r="U6" t="s">
        <v>113</v>
      </c>
      <c r="V6" t="s">
        <v>112</v>
      </c>
      <c r="W6" t="s">
        <v>112</v>
      </c>
      <c r="X6" t="s">
        <v>112</v>
      </c>
      <c r="Y6" t="s">
        <v>113</v>
      </c>
      <c r="Z6" t="s">
        <v>112</v>
      </c>
      <c r="AA6" t="s">
        <v>112</v>
      </c>
      <c r="AB6" t="s">
        <v>112</v>
      </c>
      <c r="AC6" t="s">
        <v>112</v>
      </c>
      <c r="AD6" t="s">
        <v>112</v>
      </c>
      <c r="AE6" t="s">
        <v>112</v>
      </c>
      <c r="AF6" t="s">
        <v>112</v>
      </c>
      <c r="AG6" t="s">
        <v>112</v>
      </c>
      <c r="AH6" s="25">
        <v>10000</v>
      </c>
      <c r="AI6" s="16">
        <f t="shared" si="1"/>
        <v>29</v>
      </c>
      <c r="AJ6" s="16">
        <f t="shared" si="2"/>
        <v>2</v>
      </c>
      <c r="AK6" s="16">
        <f t="shared" si="3"/>
        <v>0</v>
      </c>
      <c r="AL6" s="16">
        <f t="shared" si="4"/>
        <v>9666.6666666666661</v>
      </c>
    </row>
    <row r="7" spans="1:40">
      <c r="A7" s="27"/>
      <c r="C7"/>
      <c r="D7"/>
      <c r="E7"/>
      <c r="F7"/>
      <c r="G7"/>
      <c r="H7"/>
      <c r="I7"/>
      <c r="J7"/>
      <c r="K7"/>
      <c r="L7"/>
      <c r="M7"/>
      <c r="N7"/>
      <c r="O7"/>
      <c r="P7"/>
      <c r="Q7"/>
      <c r="R7"/>
      <c r="S7"/>
      <c r="T7"/>
      <c r="U7"/>
      <c r="V7"/>
      <c r="W7"/>
      <c r="X7"/>
      <c r="Y7"/>
      <c r="Z7"/>
      <c r="AA7"/>
      <c r="AB7"/>
      <c r="AC7"/>
      <c r="AD7"/>
      <c r="AE7"/>
      <c r="AF7"/>
      <c r="AG7"/>
      <c r="AH7" s="25"/>
    </row>
    <row r="8" spans="1:40">
      <c r="A8" s="27"/>
      <c r="C8"/>
      <c r="D8"/>
      <c r="E8"/>
      <c r="F8"/>
      <c r="G8"/>
      <c r="H8"/>
      <c r="I8"/>
      <c r="J8"/>
      <c r="K8"/>
      <c r="L8"/>
      <c r="M8"/>
      <c r="N8"/>
      <c r="O8"/>
      <c r="P8"/>
      <c r="Q8"/>
      <c r="R8"/>
      <c r="S8"/>
      <c r="T8"/>
      <c r="U8"/>
      <c r="V8"/>
      <c r="W8"/>
      <c r="X8"/>
      <c r="Y8"/>
      <c r="Z8"/>
      <c r="AA8"/>
      <c r="AB8"/>
      <c r="AC8"/>
      <c r="AD8"/>
      <c r="AE8"/>
      <c r="AF8"/>
      <c r="AG8"/>
    </row>
    <row r="9" spans="1:40">
      <c r="A9" s="27"/>
      <c r="C9"/>
      <c r="D9"/>
      <c r="E9"/>
      <c r="F9"/>
      <c r="G9"/>
      <c r="H9"/>
      <c r="I9"/>
      <c r="J9"/>
      <c r="K9"/>
      <c r="L9"/>
      <c r="M9"/>
      <c r="N9"/>
      <c r="O9"/>
      <c r="P9"/>
      <c r="Q9"/>
      <c r="R9"/>
      <c r="S9"/>
      <c r="T9"/>
      <c r="U9"/>
      <c r="V9"/>
      <c r="W9"/>
      <c r="X9"/>
      <c r="Y9"/>
      <c r="Z9"/>
      <c r="AA9"/>
      <c r="AB9"/>
      <c r="AC9"/>
      <c r="AD9"/>
      <c r="AE9"/>
      <c r="AF9"/>
      <c r="AG9"/>
    </row>
    <row r="10" spans="1:40">
      <c r="A10" s="27"/>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row>
    <row r="11" spans="1:40">
      <c r="A11" s="27"/>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row>
    <row r="12" spans="1:40">
      <c r="A12" s="27"/>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row>
    <row r="13" spans="1:40">
      <c r="A13" s="27"/>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row>
    <row r="14" spans="1:40">
      <c r="A14" s="27"/>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row>
    <row r="15" spans="1:40">
      <c r="A15" s="27"/>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row>
    <row r="16" spans="1:40">
      <c r="A16" s="27"/>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row>
    <row r="17" spans="1:1">
      <c r="A17" s="27"/>
    </row>
    <row r="18" spans="1:1">
      <c r="A18" s="27"/>
    </row>
    <row r="19" spans="1:1">
      <c r="A19" s="27"/>
    </row>
    <row r="20" spans="1:1">
      <c r="A20" s="27"/>
    </row>
    <row r="21" spans="1:1">
      <c r="A21" s="27"/>
    </row>
    <row r="22" spans="1:1">
      <c r="A22" s="27"/>
    </row>
    <row r="23" spans="1:1">
      <c r="A23" s="27"/>
    </row>
    <row r="24" spans="1:1">
      <c r="A24" s="27"/>
    </row>
    <row r="25" spans="1:1">
      <c r="A25" s="27"/>
    </row>
    <row r="26" spans="1:1">
      <c r="A26" s="27"/>
    </row>
    <row r="27" spans="1:1">
      <c r="A27" s="27"/>
    </row>
    <row r="28" spans="1:1">
      <c r="A28" s="27"/>
    </row>
    <row r="29" spans="1:1">
      <c r="A29" s="27"/>
    </row>
    <row r="30" spans="1:1">
      <c r="A30" s="27"/>
    </row>
    <row r="31" spans="1:1">
      <c r="A31" s="27"/>
    </row>
    <row r="32" spans="1:1">
      <c r="A32" s="27"/>
    </row>
    <row r="33" spans="1:1">
      <c r="A33" s="27"/>
    </row>
    <row r="34" spans="1:1">
      <c r="A34" s="27"/>
    </row>
    <row r="35" spans="1:1">
      <c r="A35" s="27"/>
    </row>
    <row r="36" spans="1:1">
      <c r="A36" s="27"/>
    </row>
    <row r="37" spans="1:1">
      <c r="A37" s="27"/>
    </row>
    <row r="38" spans="1:1">
      <c r="A38" s="27"/>
    </row>
    <row r="39" spans="1:1">
      <c r="A39" s="27"/>
    </row>
    <row r="40" spans="1:1">
      <c r="A40" s="27"/>
    </row>
    <row r="41" spans="1:1">
      <c r="A41" s="27"/>
    </row>
    <row r="42" spans="1:1">
      <c r="A42" s="27"/>
    </row>
    <row r="43" spans="1:1">
      <c r="A43" s="27"/>
    </row>
    <row r="44" spans="1:1">
      <c r="A44" s="27"/>
    </row>
    <row r="45" spans="1:1">
      <c r="A45" s="27"/>
    </row>
    <row r="46" spans="1:1">
      <c r="A46" s="27"/>
    </row>
    <row r="47" spans="1:1">
      <c r="A47" s="27"/>
    </row>
    <row r="48" spans="1:1">
      <c r="A48" s="27"/>
    </row>
    <row r="49" spans="1:1">
      <c r="A49" s="27"/>
    </row>
    <row r="50" spans="1:1">
      <c r="A50" s="27"/>
    </row>
    <row r="51" spans="1:1">
      <c r="A51" s="27"/>
    </row>
    <row r="52" spans="1:1">
      <c r="A52" s="27"/>
    </row>
    <row r="53" spans="1:1">
      <c r="A53" s="27"/>
    </row>
    <row r="54" spans="1:1">
      <c r="A54" s="27"/>
    </row>
    <row r="55" spans="1:1">
      <c r="A55" s="27"/>
    </row>
    <row r="56" spans="1:1">
      <c r="A56" s="27"/>
    </row>
    <row r="57" spans="1:1">
      <c r="A57" s="27"/>
    </row>
    <row r="58" spans="1:1">
      <c r="A58" s="27"/>
    </row>
    <row r="59" spans="1:1">
      <c r="A59" s="27"/>
    </row>
    <row r="60" spans="1:1">
      <c r="A60" s="27"/>
    </row>
    <row r="61" spans="1:1">
      <c r="A61" s="27"/>
    </row>
    <row r="62" spans="1:1">
      <c r="A62" s="27"/>
    </row>
    <row r="63" spans="1:1">
      <c r="A63" s="27"/>
    </row>
    <row r="64" spans="1:1">
      <c r="A64" s="27"/>
    </row>
    <row r="65" spans="1:1">
      <c r="A65" s="27"/>
    </row>
    <row r="66" spans="1:1">
      <c r="A66" s="27"/>
    </row>
    <row r="67" spans="1:1">
      <c r="A67" s="27"/>
    </row>
    <row r="68" spans="1:1">
      <c r="A68" s="27"/>
    </row>
    <row r="69" spans="1:1">
      <c r="A69" s="27"/>
    </row>
    <row r="70" spans="1:1">
      <c r="A70" s="27"/>
    </row>
    <row r="71" spans="1:1">
      <c r="A71" s="27"/>
    </row>
    <row r="72" spans="1:1">
      <c r="A72" s="27"/>
    </row>
    <row r="73" spans="1:1">
      <c r="A73" s="27"/>
    </row>
    <row r="74" spans="1:1">
      <c r="A74" s="27"/>
    </row>
    <row r="75" spans="1:1">
      <c r="A75" s="27"/>
    </row>
    <row r="76" spans="1:1">
      <c r="A76" s="27"/>
    </row>
    <row r="77" spans="1:1">
      <c r="A77" s="27"/>
    </row>
    <row r="78" spans="1:1">
      <c r="A78" s="27"/>
    </row>
    <row r="79" spans="1:1">
      <c r="A79" s="27"/>
    </row>
    <row r="80" spans="1:1">
      <c r="A80" s="27"/>
    </row>
    <row r="81" spans="1:1">
      <c r="A81" s="27"/>
    </row>
    <row r="82" spans="1:1">
      <c r="A82" s="27"/>
    </row>
    <row r="83" spans="1:1">
      <c r="A83" s="27"/>
    </row>
    <row r="84" spans="1:1">
      <c r="A84" s="27"/>
    </row>
    <row r="85" spans="1:1">
      <c r="A85" s="27"/>
    </row>
    <row r="86" spans="1:1">
      <c r="A86" s="27"/>
    </row>
    <row r="87" spans="1:1">
      <c r="A87" s="27"/>
    </row>
  </sheetData>
  <mergeCells count="8">
    <mergeCell ref="AL1:AL2"/>
    <mergeCell ref="A1:A29"/>
    <mergeCell ref="A30:A58"/>
    <mergeCell ref="A59:A87"/>
    <mergeCell ref="AH1:AH2"/>
    <mergeCell ref="AI1:AI2"/>
    <mergeCell ref="AJ1:AJ2"/>
    <mergeCell ref="AK1:AK2"/>
  </mergeCells>
  <conditionalFormatting sqref="C3:AG9">
    <cfRule type="containsText" dxfId="30" priority="1" operator="containsText" text="l">
      <formula>NOT(ISERROR(SEARCH("l",C3)))</formula>
    </cfRule>
    <cfRule type="containsText" dxfId="29" priority="2" operator="containsText" text="ab">
      <formula>NOT(ISERROR(SEARCH("ab",C3)))</formula>
    </cfRule>
    <cfRule type="containsText" dxfId="28" priority="3" operator="containsText" text="p">
      <formula>NOT(ISERROR(SEARCH("p",C3)))</formula>
    </cfRule>
  </conditionalFormatting>
  <dataValidations count="3">
    <dataValidation type="list" allowBlank="1" showInputMessage="1" showErrorMessage="1" sqref="AN2" xr:uid="{00000000-0002-0000-1000-000000000000}">
      <formula1>"2020,2021,2022,2023,2024,2025,2026,2027,2028,2029,2030"</formula1>
    </dataValidation>
    <dataValidation type="list" allowBlank="1" showInputMessage="1" showErrorMessage="1" sqref="AN1" xr:uid="{00000000-0002-0000-1000-000001000000}">
      <formula1>"January,February,March,Aprail,May,June,July,August,September,October,November,December"</formula1>
    </dataValidation>
    <dataValidation type="list" allowBlank="1" showInputMessage="1" showErrorMessage="1" sqref="C3:AG9" xr:uid="{00000000-0002-0000-1000-000002000000}">
      <formula1>"p,ab,l"</formula1>
    </dataValidation>
  </dataValidation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7"/>
  <dimension ref="A1:AN87"/>
  <sheetViews>
    <sheetView workbookViewId="0">
      <pane xSplit="1" topLeftCell="B1" activePane="topRight" state="frozenSplit"/>
      <selection pane="topRight" activeCell="AH8" sqref="AH8"/>
    </sheetView>
  </sheetViews>
  <sheetFormatPr defaultRowHeight="15"/>
  <cols>
    <col min="1" max="1" width="16.85546875" bestFit="1" customWidth="1"/>
    <col min="2" max="2" width="15.7109375" customWidth="1"/>
    <col min="3" max="3" width="5.140625" style="12" customWidth="1"/>
    <col min="4" max="4" width="4.28515625" style="12" customWidth="1"/>
    <col min="5" max="5" width="5.28515625" style="12" customWidth="1"/>
    <col min="6" max="6" width="4.28515625" style="12" customWidth="1"/>
    <col min="7" max="7" width="3.42578125" style="12" customWidth="1"/>
    <col min="8" max="8" width="3.7109375" style="12" customWidth="1"/>
    <col min="9" max="9" width="4.28515625" style="12" customWidth="1"/>
    <col min="10" max="10" width="5.140625" style="12" customWidth="1"/>
    <col min="11" max="11" width="4.28515625" style="12" customWidth="1"/>
    <col min="12" max="12" width="5.28515625" style="12" customWidth="1"/>
    <col min="13" max="13" width="4.28515625" style="12" customWidth="1"/>
    <col min="14" max="14" width="3.28515625" style="12" customWidth="1"/>
    <col min="15" max="15" width="3.7109375" style="12" customWidth="1"/>
    <col min="16" max="16" width="4.28515625" style="12" customWidth="1"/>
    <col min="17" max="17" width="5.140625" style="12" customWidth="1"/>
    <col min="18" max="18" width="4.28515625" style="12" customWidth="1"/>
    <col min="19" max="19" width="5.28515625" style="12" customWidth="1"/>
    <col min="20" max="20" width="4.28515625" style="12" customWidth="1"/>
    <col min="21" max="21" width="3.28515625" style="12" customWidth="1"/>
    <col min="22" max="22" width="3.7109375" style="12" customWidth="1"/>
    <col min="23" max="23" width="4.28515625" style="12" customWidth="1"/>
    <col min="24" max="24" width="5.140625" style="12" customWidth="1"/>
    <col min="25" max="25" width="4.28515625" style="12" customWidth="1"/>
    <col min="26" max="26" width="5.28515625" style="12" customWidth="1"/>
    <col min="27" max="27" width="4.28515625" style="12" customWidth="1"/>
    <col min="28" max="28" width="3.42578125" style="12" customWidth="1"/>
    <col min="29" max="29" width="3.7109375" style="12" customWidth="1"/>
    <col min="30" max="30" width="4.28515625" style="12" customWidth="1"/>
    <col min="31" max="31" width="5.140625" style="12" customWidth="1"/>
    <col min="32" max="32" width="4.28515625" style="12" customWidth="1"/>
    <col min="33" max="33" width="5.28515625" style="12" customWidth="1"/>
    <col min="34" max="34" width="19" customWidth="1"/>
    <col min="35" max="35" width="7.85546875" customWidth="1"/>
    <col min="36" max="36" width="7.28515625" customWidth="1"/>
    <col min="37" max="37" width="6.140625" customWidth="1"/>
    <col min="38" max="38" width="10" customWidth="1"/>
    <col min="39" max="39" width="12.42578125" customWidth="1"/>
    <col min="40" max="40" width="9.7109375" customWidth="1"/>
  </cols>
  <sheetData>
    <row r="1" spans="1:40">
      <c r="A1" s="27"/>
      <c r="C1" s="17" t="e">
        <f>TEXT(C2,"DDD")</f>
        <v>#VALUE!</v>
      </c>
      <c r="D1" s="17" t="e">
        <f t="shared" ref="D1:AF1" si="0">TEXT(D2,"DDD")</f>
        <v>#VALUE!</v>
      </c>
      <c r="E1" s="17" t="e">
        <f t="shared" si="0"/>
        <v>#VALUE!</v>
      </c>
      <c r="F1" s="17" t="e">
        <f t="shared" si="0"/>
        <v>#VALUE!</v>
      </c>
      <c r="G1" s="17" t="e">
        <f t="shared" si="0"/>
        <v>#VALUE!</v>
      </c>
      <c r="H1" s="17" t="e">
        <f t="shared" si="0"/>
        <v>#VALUE!</v>
      </c>
      <c r="I1" s="17" t="e">
        <f t="shared" si="0"/>
        <v>#VALUE!</v>
      </c>
      <c r="J1" s="17" t="e">
        <f t="shared" si="0"/>
        <v>#VALUE!</v>
      </c>
      <c r="K1" s="17" t="e">
        <f t="shared" si="0"/>
        <v>#VALUE!</v>
      </c>
      <c r="L1" s="17" t="e">
        <f t="shared" si="0"/>
        <v>#VALUE!</v>
      </c>
      <c r="M1" s="17" t="e">
        <f t="shared" si="0"/>
        <v>#VALUE!</v>
      </c>
      <c r="N1" s="17" t="e">
        <f t="shared" si="0"/>
        <v>#VALUE!</v>
      </c>
      <c r="O1" s="17" t="e">
        <f t="shared" si="0"/>
        <v>#VALUE!</v>
      </c>
      <c r="P1" s="17" t="e">
        <f t="shared" si="0"/>
        <v>#VALUE!</v>
      </c>
      <c r="Q1" s="17" t="e">
        <f t="shared" si="0"/>
        <v>#VALUE!</v>
      </c>
      <c r="R1" s="17" t="e">
        <f t="shared" si="0"/>
        <v>#VALUE!</v>
      </c>
      <c r="S1" s="17" t="e">
        <f t="shared" si="0"/>
        <v>#VALUE!</v>
      </c>
      <c r="T1" s="17" t="e">
        <f t="shared" si="0"/>
        <v>#VALUE!</v>
      </c>
      <c r="U1" s="17" t="e">
        <f t="shared" si="0"/>
        <v>#VALUE!</v>
      </c>
      <c r="V1" s="17" t="e">
        <f t="shared" si="0"/>
        <v>#VALUE!</v>
      </c>
      <c r="W1" s="17" t="e">
        <f t="shared" si="0"/>
        <v>#VALUE!</v>
      </c>
      <c r="X1" s="17" t="e">
        <f t="shared" si="0"/>
        <v>#VALUE!</v>
      </c>
      <c r="Y1" s="17" t="e">
        <f t="shared" si="0"/>
        <v>#VALUE!</v>
      </c>
      <c r="Z1" s="17" t="e">
        <f t="shared" si="0"/>
        <v>#VALUE!</v>
      </c>
      <c r="AA1" s="17" t="e">
        <f t="shared" si="0"/>
        <v>#VALUE!</v>
      </c>
      <c r="AB1" s="17" t="e">
        <f t="shared" si="0"/>
        <v>#VALUE!</v>
      </c>
      <c r="AC1" s="17" t="e">
        <f t="shared" si="0"/>
        <v>#VALUE!</v>
      </c>
      <c r="AD1" s="17" t="e">
        <f t="shared" si="0"/>
        <v>#VALUE!</v>
      </c>
      <c r="AE1" s="17" t="e">
        <f t="shared" si="0"/>
        <v>#VALUE!</v>
      </c>
      <c r="AF1" s="17" t="e">
        <f t="shared" si="0"/>
        <v>#VALUE!</v>
      </c>
      <c r="AG1" s="17"/>
      <c r="AH1" s="33" t="s">
        <v>106</v>
      </c>
      <c r="AI1" s="31" t="s">
        <v>107</v>
      </c>
      <c r="AJ1" s="31" t="s">
        <v>108</v>
      </c>
      <c r="AK1" s="31" t="s">
        <v>109</v>
      </c>
      <c r="AL1" s="31" t="s">
        <v>110</v>
      </c>
      <c r="AM1" s="5" t="s">
        <v>81</v>
      </c>
      <c r="AN1" s="10" t="s">
        <v>97</v>
      </c>
    </row>
    <row r="2" spans="1:40">
      <c r="A2" s="27"/>
      <c r="B2" t="s">
        <v>111</v>
      </c>
      <c r="C2" s="18" t="e">
        <f>IF(COLUMNS($C$2:C2)&gt;DAY($AN$4),"",$AN$3+COLUMNS($C$2:C2)-1)</f>
        <v>#VALUE!</v>
      </c>
      <c r="D2" s="18" t="e">
        <f>IF(COLUMNS($C$2:D2)&gt;DAY($AN$4),"",$AN$3+COLUMNS($C$2:D2)-1)</f>
        <v>#VALUE!</v>
      </c>
      <c r="E2" s="18" t="e">
        <f>IF(COLUMNS($C$2:E2)&gt;DAY($AN$4),"",$AN$3+COLUMNS($C$2:E2)-1)</f>
        <v>#VALUE!</v>
      </c>
      <c r="F2" s="18" t="e">
        <f>IF(COLUMNS($C$2:F2)&gt;DAY($AN$4),"",$AN$3+COLUMNS($C$2:F2)-1)</f>
        <v>#VALUE!</v>
      </c>
      <c r="G2" s="18" t="e">
        <f>IF(COLUMNS($C$2:G2)&gt;DAY($AN$4),"",$AN$3+COLUMNS($C$2:G2)-1)</f>
        <v>#VALUE!</v>
      </c>
      <c r="H2" s="18" t="e">
        <f>IF(COLUMNS($C$2:H2)&gt;DAY($AN$4),"",$AN$3+COLUMNS($C$2:H2)-1)</f>
        <v>#VALUE!</v>
      </c>
      <c r="I2" s="18" t="e">
        <f>IF(COLUMNS($C$2:I2)&gt;DAY($AN$4),"",$AN$3+COLUMNS($C$2:I2)-1)</f>
        <v>#VALUE!</v>
      </c>
      <c r="J2" s="18" t="e">
        <f>IF(COLUMNS($C$2:J2)&gt;DAY($AN$4),"",$AN$3+COLUMNS($C$2:J2)-1)</f>
        <v>#VALUE!</v>
      </c>
      <c r="K2" s="18" t="e">
        <f>IF(COLUMNS($C$2:K2)&gt;DAY($AN$4),"",$AN$3+COLUMNS($C$2:K2)-1)</f>
        <v>#VALUE!</v>
      </c>
      <c r="L2" s="18" t="e">
        <f>IF(COLUMNS($C$2:L2)&gt;DAY($AN$4),"",$AN$3+COLUMNS($C$2:L2)-1)</f>
        <v>#VALUE!</v>
      </c>
      <c r="M2" s="18" t="e">
        <f>IF(COLUMNS($C$2:M2)&gt;DAY($AN$4),"",$AN$3+COLUMNS($C$2:M2)-1)</f>
        <v>#VALUE!</v>
      </c>
      <c r="N2" s="18" t="e">
        <f>IF(COLUMNS($C$2:N2)&gt;DAY($AN$4),"",$AN$3+COLUMNS($C$2:N2)-1)</f>
        <v>#VALUE!</v>
      </c>
      <c r="O2" s="18" t="e">
        <f>IF(COLUMNS($C$2:O2)&gt;DAY($AN$4),"",$AN$3+COLUMNS($C$2:O2)-1)</f>
        <v>#VALUE!</v>
      </c>
      <c r="P2" s="18" t="e">
        <f>IF(COLUMNS($C$2:P2)&gt;DAY($AN$4),"",$AN$3+COLUMNS($C$2:P2)-1)</f>
        <v>#VALUE!</v>
      </c>
      <c r="Q2" s="18" t="e">
        <f>IF(COLUMNS($C$2:Q2)&gt;DAY($AN$4),"",$AN$3+COLUMNS($C$2:Q2)-1)</f>
        <v>#VALUE!</v>
      </c>
      <c r="R2" s="18" t="e">
        <f>IF(COLUMNS($C$2:R2)&gt;DAY($AN$4),"",$AN$3+COLUMNS($C$2:R2)-1)</f>
        <v>#VALUE!</v>
      </c>
      <c r="S2" s="18" t="e">
        <f>IF(COLUMNS($C$2:S2)&gt;DAY($AN$4),"",$AN$3+COLUMNS($C$2:S2)-1)</f>
        <v>#VALUE!</v>
      </c>
      <c r="T2" s="18" t="e">
        <f>IF(COLUMNS($C$2:T2)&gt;DAY($AN$4),"",$AN$3+COLUMNS($C$2:T2)-1)</f>
        <v>#VALUE!</v>
      </c>
      <c r="U2" s="18" t="e">
        <f>IF(COLUMNS($C$2:U2)&gt;DAY($AN$4),"",$AN$3+COLUMNS($C$2:U2)-1)</f>
        <v>#VALUE!</v>
      </c>
      <c r="V2" s="18" t="e">
        <f>IF(COLUMNS($C$2:V2)&gt;DAY($AN$4),"",$AN$3+COLUMNS($C$2:V2)-1)</f>
        <v>#VALUE!</v>
      </c>
      <c r="W2" s="18" t="e">
        <f>IF(COLUMNS($C$2:W2)&gt;DAY($AN$4),"",$AN$3+COLUMNS($C$2:W2)-1)</f>
        <v>#VALUE!</v>
      </c>
      <c r="X2" s="18" t="e">
        <f>IF(COLUMNS($C$2:X2)&gt;DAY($AN$4),"",$AN$3+COLUMNS($C$2:X2)-1)</f>
        <v>#VALUE!</v>
      </c>
      <c r="Y2" s="18" t="e">
        <f>IF(COLUMNS($C$2:Y2)&gt;DAY($AN$4),"",$AN$3+COLUMNS($C$2:Y2)-1)</f>
        <v>#VALUE!</v>
      </c>
      <c r="Z2" s="18" t="e">
        <f>IF(COLUMNS($C$2:Z2)&gt;DAY($AN$4),"",$AN$3+COLUMNS($C$2:Z2)-1)</f>
        <v>#VALUE!</v>
      </c>
      <c r="AA2" s="18" t="e">
        <f>IF(COLUMNS($C$2:AA2)&gt;DAY($AN$4),"",$AN$3+COLUMNS($C$2:AA2)-1)</f>
        <v>#VALUE!</v>
      </c>
      <c r="AB2" s="18" t="e">
        <f>IF(COLUMNS($C$2:AB2)&gt;DAY($AN$4),"",$AN$3+COLUMNS($C$2:AB2)-1)</f>
        <v>#VALUE!</v>
      </c>
      <c r="AC2" s="18" t="e">
        <f>IF(COLUMNS($C$2:AC2)&gt;DAY($AN$4),"",$AN$3+COLUMNS($C$2:AC2)-1)</f>
        <v>#VALUE!</v>
      </c>
      <c r="AD2" s="18" t="e">
        <f>IF(COLUMNS($C$2:AD2)&gt;DAY($AN$4),"",$AN$3+COLUMNS($C$2:AD2)-1)</f>
        <v>#VALUE!</v>
      </c>
      <c r="AE2" s="18" t="e">
        <f>IF(COLUMNS($C$2:AE2)&gt;DAY($AN$4),"",$AN$3+COLUMNS($C$2:AE2)-1)</f>
        <v>#VALUE!</v>
      </c>
      <c r="AF2" s="18" t="e">
        <f>IF(COLUMNS($C$2:AF2)&gt;DAY($AN$4),"",$AN$3+COLUMNS($C$2:AF2)-1)</f>
        <v>#VALUE!</v>
      </c>
      <c r="AG2" s="18"/>
      <c r="AH2" s="34"/>
      <c r="AI2" s="32"/>
      <c r="AJ2" s="32"/>
      <c r="AK2" s="32"/>
      <c r="AL2" s="32"/>
      <c r="AM2" s="6" t="s">
        <v>83</v>
      </c>
      <c r="AN2" s="11">
        <v>2024</v>
      </c>
    </row>
    <row r="3" spans="1:40">
      <c r="A3" s="27"/>
      <c r="B3" t="s">
        <v>88</v>
      </c>
      <c r="C3" t="s">
        <v>112</v>
      </c>
      <c r="D3" t="s">
        <v>112</v>
      </c>
      <c r="E3" t="s">
        <v>112</v>
      </c>
      <c r="F3" t="s">
        <v>112</v>
      </c>
      <c r="G3" t="s">
        <v>112</v>
      </c>
      <c r="H3" t="s">
        <v>112</v>
      </c>
      <c r="I3" t="s">
        <v>112</v>
      </c>
      <c r="J3" t="s">
        <v>112</v>
      </c>
      <c r="K3" t="s">
        <v>112</v>
      </c>
      <c r="L3" t="s">
        <v>112</v>
      </c>
      <c r="M3" t="s">
        <v>112</v>
      </c>
      <c r="N3" t="s">
        <v>112</v>
      </c>
      <c r="O3" t="s">
        <v>112</v>
      </c>
      <c r="P3" t="s">
        <v>112</v>
      </c>
      <c r="Q3" t="s">
        <v>112</v>
      </c>
      <c r="R3" t="s">
        <v>112</v>
      </c>
      <c r="S3" t="s">
        <v>112</v>
      </c>
      <c r="T3" t="s">
        <v>112</v>
      </c>
      <c r="U3" t="s">
        <v>113</v>
      </c>
      <c r="V3" t="s">
        <v>112</v>
      </c>
      <c r="W3" t="s">
        <v>112</v>
      </c>
      <c r="X3" t="s">
        <v>112</v>
      </c>
      <c r="Y3" t="s">
        <v>112</v>
      </c>
      <c r="Z3" t="s">
        <v>112</v>
      </c>
      <c r="AA3" t="s">
        <v>112</v>
      </c>
      <c r="AB3" t="s">
        <v>112</v>
      </c>
      <c r="AC3" t="s">
        <v>112</v>
      </c>
      <c r="AD3" t="s">
        <v>112</v>
      </c>
      <c r="AE3" t="s">
        <v>112</v>
      </c>
      <c r="AF3" t="s">
        <v>112</v>
      </c>
      <c r="AG3"/>
      <c r="AH3" s="16">
        <v>50000</v>
      </c>
      <c r="AI3" s="16">
        <f>COUNTIF($C3:$AG3,"P")</f>
        <v>29</v>
      </c>
      <c r="AJ3" s="16">
        <f>COUNTIF($C3:$AG3,"Ab")</f>
        <v>1</v>
      </c>
      <c r="AK3" s="16">
        <f>COUNTIF($C3:$AG3,"L")</f>
        <v>0</v>
      </c>
      <c r="AL3" s="16">
        <f>AH3/30*(AI3+AK3)</f>
        <v>48333.333333333336</v>
      </c>
      <c r="AM3" s="7" t="s">
        <v>84</v>
      </c>
      <c r="AN3" s="4" t="e">
        <f>DATE(AN2,MONTH(AN1&amp;1),1)</f>
        <v>#VALUE!</v>
      </c>
    </row>
    <row r="4" spans="1:40">
      <c r="A4" s="27"/>
      <c r="B4" t="s">
        <v>89</v>
      </c>
      <c r="C4" t="s">
        <v>112</v>
      </c>
      <c r="D4" t="s">
        <v>112</v>
      </c>
      <c r="E4" t="s">
        <v>112</v>
      </c>
      <c r="F4" t="s">
        <v>112</v>
      </c>
      <c r="G4" t="s">
        <v>112</v>
      </c>
      <c r="H4" t="s">
        <v>112</v>
      </c>
      <c r="I4" t="s">
        <v>112</v>
      </c>
      <c r="J4" t="s">
        <v>112</v>
      </c>
      <c r="K4" t="s">
        <v>113</v>
      </c>
      <c r="L4" t="s">
        <v>112</v>
      </c>
      <c r="M4" t="s">
        <v>112</v>
      </c>
      <c r="N4" t="s">
        <v>112</v>
      </c>
      <c r="O4" t="s">
        <v>112</v>
      </c>
      <c r="P4" t="s">
        <v>112</v>
      </c>
      <c r="Q4" t="s">
        <v>113</v>
      </c>
      <c r="R4" t="s">
        <v>112</v>
      </c>
      <c r="S4" t="s">
        <v>112</v>
      </c>
      <c r="T4" t="s">
        <v>112</v>
      </c>
      <c r="U4" t="s">
        <v>112</v>
      </c>
      <c r="V4" t="s">
        <v>112</v>
      </c>
      <c r="W4" t="s">
        <v>112</v>
      </c>
      <c r="X4" t="s">
        <v>112</v>
      </c>
      <c r="Y4" t="s">
        <v>112</v>
      </c>
      <c r="Z4" t="s">
        <v>112</v>
      </c>
      <c r="AA4" t="s">
        <v>112</v>
      </c>
      <c r="AB4" t="s">
        <v>112</v>
      </c>
      <c r="AC4" t="s">
        <v>112</v>
      </c>
      <c r="AD4" t="s">
        <v>112</v>
      </c>
      <c r="AE4" t="s">
        <v>112</v>
      </c>
      <c r="AF4" t="s">
        <v>112</v>
      </c>
      <c r="AG4"/>
      <c r="AH4" s="25">
        <v>15000</v>
      </c>
      <c r="AI4" s="16">
        <f t="shared" ref="AI4:AI6" si="1">COUNTIF($C4:$AG4,"P")</f>
        <v>28</v>
      </c>
      <c r="AJ4" s="16">
        <f t="shared" ref="AJ4:AJ6" si="2">COUNTIF($C4:$AG4,"Ab")</f>
        <v>2</v>
      </c>
      <c r="AK4" s="16">
        <f t="shared" ref="AK4:AK6" si="3">COUNTIF($C4:$AG4,"L")</f>
        <v>0</v>
      </c>
      <c r="AL4" s="16">
        <f t="shared" ref="AL4:AL6" si="4">AH4/30*(AI4+AK4)</f>
        <v>14000</v>
      </c>
      <c r="AM4" s="7" t="s">
        <v>85</v>
      </c>
      <c r="AN4" s="4" t="e">
        <f>EOMONTH(AN3,0)</f>
        <v>#VALUE!</v>
      </c>
    </row>
    <row r="5" spans="1:40">
      <c r="A5" s="27"/>
      <c r="B5" t="s">
        <v>90</v>
      </c>
      <c r="C5" t="s">
        <v>112</v>
      </c>
      <c r="D5" t="s">
        <v>112</v>
      </c>
      <c r="E5" t="s">
        <v>112</v>
      </c>
      <c r="F5" t="s">
        <v>112</v>
      </c>
      <c r="G5" t="s">
        <v>112</v>
      </c>
      <c r="H5" t="s">
        <v>112</v>
      </c>
      <c r="I5" t="s">
        <v>112</v>
      </c>
      <c r="J5" t="s">
        <v>112</v>
      </c>
      <c r="K5" t="s">
        <v>112</v>
      </c>
      <c r="L5" t="s">
        <v>112</v>
      </c>
      <c r="M5" t="s">
        <v>112</v>
      </c>
      <c r="N5" t="s">
        <v>112</v>
      </c>
      <c r="O5" t="s">
        <v>112</v>
      </c>
      <c r="P5" t="s">
        <v>112</v>
      </c>
      <c r="Q5" t="s">
        <v>112</v>
      </c>
      <c r="R5" t="s">
        <v>112</v>
      </c>
      <c r="S5" t="s">
        <v>112</v>
      </c>
      <c r="T5" t="s">
        <v>112</v>
      </c>
      <c r="U5" t="s">
        <v>113</v>
      </c>
      <c r="V5" t="s">
        <v>112</v>
      </c>
      <c r="W5" t="s">
        <v>112</v>
      </c>
      <c r="X5" t="s">
        <v>112</v>
      </c>
      <c r="Y5" t="s">
        <v>112</v>
      </c>
      <c r="Z5" t="s">
        <v>112</v>
      </c>
      <c r="AA5" t="s">
        <v>114</v>
      </c>
      <c r="AB5" t="s">
        <v>112</v>
      </c>
      <c r="AC5" t="s">
        <v>112</v>
      </c>
      <c r="AD5" t="s">
        <v>112</v>
      </c>
      <c r="AE5" t="s">
        <v>112</v>
      </c>
      <c r="AF5" t="s">
        <v>112</v>
      </c>
      <c r="AG5"/>
      <c r="AH5" s="25">
        <v>18000</v>
      </c>
      <c r="AI5" s="16">
        <f t="shared" si="1"/>
        <v>28</v>
      </c>
      <c r="AJ5" s="16">
        <f t="shared" si="2"/>
        <v>1</v>
      </c>
      <c r="AK5" s="16">
        <f t="shared" si="3"/>
        <v>1</v>
      </c>
      <c r="AL5" s="16">
        <f t="shared" si="4"/>
        <v>17400</v>
      </c>
    </row>
    <row r="6" spans="1:40">
      <c r="A6" s="27"/>
      <c r="B6" t="s">
        <v>91</v>
      </c>
      <c r="C6" t="s">
        <v>112</v>
      </c>
      <c r="D6" t="s">
        <v>112</v>
      </c>
      <c r="E6" t="s">
        <v>112</v>
      </c>
      <c r="F6" t="s">
        <v>112</v>
      </c>
      <c r="G6" t="s">
        <v>112</v>
      </c>
      <c r="H6" t="s">
        <v>112</v>
      </c>
      <c r="I6" t="s">
        <v>112</v>
      </c>
      <c r="J6" t="s">
        <v>112</v>
      </c>
      <c r="K6" t="s">
        <v>112</v>
      </c>
      <c r="L6" t="s">
        <v>112</v>
      </c>
      <c r="M6" t="s">
        <v>112</v>
      </c>
      <c r="N6" t="s">
        <v>112</v>
      </c>
      <c r="O6" t="s">
        <v>112</v>
      </c>
      <c r="P6" t="s">
        <v>112</v>
      </c>
      <c r="Q6" t="s">
        <v>113</v>
      </c>
      <c r="R6" t="s">
        <v>112</v>
      </c>
      <c r="S6" t="s">
        <v>112</v>
      </c>
      <c r="T6" t="s">
        <v>112</v>
      </c>
      <c r="U6" t="s">
        <v>112</v>
      </c>
      <c r="V6" t="s">
        <v>112</v>
      </c>
      <c r="W6" t="s">
        <v>112</v>
      </c>
      <c r="X6" t="s">
        <v>112</v>
      </c>
      <c r="Y6" t="s">
        <v>112</v>
      </c>
      <c r="Z6" t="s">
        <v>112</v>
      </c>
      <c r="AA6" t="s">
        <v>112</v>
      </c>
      <c r="AB6" t="s">
        <v>112</v>
      </c>
      <c r="AC6" t="s">
        <v>112</v>
      </c>
      <c r="AD6" t="s">
        <v>112</v>
      </c>
      <c r="AE6" t="s">
        <v>112</v>
      </c>
      <c r="AF6" t="s">
        <v>112</v>
      </c>
      <c r="AG6"/>
      <c r="AH6" s="25">
        <v>10000</v>
      </c>
      <c r="AI6" s="16">
        <f t="shared" si="1"/>
        <v>29</v>
      </c>
      <c r="AJ6" s="16">
        <f t="shared" si="2"/>
        <v>1</v>
      </c>
      <c r="AK6" s="16">
        <f t="shared" si="3"/>
        <v>0</v>
      </c>
      <c r="AL6" s="16">
        <f t="shared" si="4"/>
        <v>9666.6666666666661</v>
      </c>
    </row>
    <row r="7" spans="1:40">
      <c r="A7" s="27"/>
      <c r="C7"/>
      <c r="D7"/>
      <c r="E7"/>
      <c r="F7"/>
      <c r="G7"/>
      <c r="H7"/>
      <c r="I7"/>
      <c r="J7"/>
      <c r="K7"/>
      <c r="L7"/>
      <c r="M7"/>
      <c r="N7"/>
      <c r="O7"/>
      <c r="P7"/>
      <c r="Q7"/>
      <c r="R7"/>
      <c r="S7"/>
      <c r="T7"/>
      <c r="U7"/>
      <c r="V7"/>
      <c r="W7"/>
      <c r="X7"/>
      <c r="Y7"/>
      <c r="Z7"/>
      <c r="AA7"/>
      <c r="AB7"/>
      <c r="AC7"/>
      <c r="AD7"/>
      <c r="AE7"/>
      <c r="AF7"/>
      <c r="AG7"/>
      <c r="AH7" s="25"/>
    </row>
    <row r="8" spans="1:40">
      <c r="A8" s="27"/>
      <c r="C8"/>
      <c r="D8"/>
      <c r="E8"/>
      <c r="F8"/>
      <c r="G8"/>
      <c r="H8"/>
      <c r="I8"/>
      <c r="J8"/>
      <c r="K8"/>
      <c r="L8"/>
      <c r="M8"/>
      <c r="N8"/>
      <c r="O8"/>
      <c r="P8"/>
      <c r="Q8"/>
      <c r="R8"/>
      <c r="S8"/>
      <c r="T8"/>
      <c r="U8"/>
      <c r="V8"/>
      <c r="W8"/>
      <c r="X8"/>
      <c r="Y8"/>
      <c r="Z8"/>
      <c r="AA8"/>
      <c r="AB8"/>
      <c r="AC8"/>
      <c r="AD8"/>
      <c r="AE8"/>
      <c r="AF8"/>
      <c r="AG8"/>
    </row>
    <row r="9" spans="1:40">
      <c r="A9" s="27"/>
      <c r="C9"/>
      <c r="D9"/>
      <c r="E9"/>
      <c r="F9"/>
      <c r="G9"/>
      <c r="H9"/>
      <c r="I9"/>
      <c r="J9"/>
      <c r="K9"/>
      <c r="L9"/>
      <c r="M9"/>
      <c r="N9"/>
      <c r="O9"/>
      <c r="P9"/>
      <c r="Q9"/>
      <c r="R9"/>
      <c r="S9"/>
      <c r="T9"/>
      <c r="U9"/>
      <c r="V9"/>
      <c r="W9"/>
      <c r="X9"/>
      <c r="Y9"/>
      <c r="Z9"/>
      <c r="AA9"/>
      <c r="AB9"/>
      <c r="AC9"/>
      <c r="AD9"/>
      <c r="AE9"/>
      <c r="AF9"/>
      <c r="AG9"/>
    </row>
    <row r="10" spans="1:40">
      <c r="A10" s="27"/>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row>
    <row r="11" spans="1:40">
      <c r="A11" s="27"/>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row>
    <row r="12" spans="1:40">
      <c r="A12" s="27"/>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row>
    <row r="13" spans="1:40">
      <c r="A13" s="27"/>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row>
    <row r="14" spans="1:40">
      <c r="A14" s="27"/>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row>
    <row r="15" spans="1:40">
      <c r="A15" s="27"/>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row>
    <row r="16" spans="1:40">
      <c r="A16" s="27"/>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row>
    <row r="17" spans="1:1">
      <c r="A17" s="27"/>
    </row>
    <row r="18" spans="1:1">
      <c r="A18" s="27"/>
    </row>
    <row r="19" spans="1:1">
      <c r="A19" s="27"/>
    </row>
    <row r="20" spans="1:1">
      <c r="A20" s="27"/>
    </row>
    <row r="21" spans="1:1">
      <c r="A21" s="27"/>
    </row>
    <row r="22" spans="1:1">
      <c r="A22" s="27"/>
    </row>
    <row r="23" spans="1:1">
      <c r="A23" s="27"/>
    </row>
    <row r="24" spans="1:1">
      <c r="A24" s="27"/>
    </row>
    <row r="25" spans="1:1">
      <c r="A25" s="27"/>
    </row>
    <row r="26" spans="1:1">
      <c r="A26" s="27"/>
    </row>
    <row r="27" spans="1:1">
      <c r="A27" s="27"/>
    </row>
    <row r="28" spans="1:1">
      <c r="A28" s="27"/>
    </row>
    <row r="29" spans="1:1">
      <c r="A29" s="27"/>
    </row>
    <row r="30" spans="1:1">
      <c r="A30" s="27"/>
    </row>
    <row r="31" spans="1:1">
      <c r="A31" s="27"/>
    </row>
    <row r="32" spans="1:1">
      <c r="A32" s="27"/>
    </row>
    <row r="33" spans="1:1">
      <c r="A33" s="27"/>
    </row>
    <row r="34" spans="1:1">
      <c r="A34" s="27"/>
    </row>
    <row r="35" spans="1:1">
      <c r="A35" s="27"/>
    </row>
    <row r="36" spans="1:1">
      <c r="A36" s="27"/>
    </row>
    <row r="37" spans="1:1">
      <c r="A37" s="27"/>
    </row>
    <row r="38" spans="1:1">
      <c r="A38" s="27"/>
    </row>
    <row r="39" spans="1:1">
      <c r="A39" s="27"/>
    </row>
    <row r="40" spans="1:1">
      <c r="A40" s="27"/>
    </row>
    <row r="41" spans="1:1">
      <c r="A41" s="27"/>
    </row>
    <row r="42" spans="1:1">
      <c r="A42" s="27"/>
    </row>
    <row r="43" spans="1:1">
      <c r="A43" s="27"/>
    </row>
    <row r="44" spans="1:1">
      <c r="A44" s="27"/>
    </row>
    <row r="45" spans="1:1">
      <c r="A45" s="27"/>
    </row>
    <row r="46" spans="1:1">
      <c r="A46" s="27"/>
    </row>
    <row r="47" spans="1:1">
      <c r="A47" s="27"/>
    </row>
    <row r="48" spans="1:1">
      <c r="A48" s="27"/>
    </row>
    <row r="49" spans="1:1">
      <c r="A49" s="27"/>
    </row>
    <row r="50" spans="1:1">
      <c r="A50" s="27"/>
    </row>
    <row r="51" spans="1:1">
      <c r="A51" s="27"/>
    </row>
    <row r="52" spans="1:1">
      <c r="A52" s="27"/>
    </row>
    <row r="53" spans="1:1">
      <c r="A53" s="27"/>
    </row>
    <row r="54" spans="1:1">
      <c r="A54" s="27"/>
    </row>
    <row r="55" spans="1:1">
      <c r="A55" s="27"/>
    </row>
    <row r="56" spans="1:1">
      <c r="A56" s="27"/>
    </row>
    <row r="57" spans="1:1">
      <c r="A57" s="27"/>
    </row>
    <row r="58" spans="1:1">
      <c r="A58" s="27"/>
    </row>
    <row r="59" spans="1:1">
      <c r="A59" s="27"/>
    </row>
    <row r="60" spans="1:1">
      <c r="A60" s="27"/>
    </row>
    <row r="61" spans="1:1">
      <c r="A61" s="27"/>
    </row>
    <row r="62" spans="1:1">
      <c r="A62" s="27"/>
    </row>
    <row r="63" spans="1:1">
      <c r="A63" s="27"/>
    </row>
    <row r="64" spans="1:1">
      <c r="A64" s="27"/>
    </row>
    <row r="65" spans="1:1">
      <c r="A65" s="27"/>
    </row>
    <row r="66" spans="1:1">
      <c r="A66" s="27"/>
    </row>
    <row r="67" spans="1:1">
      <c r="A67" s="27"/>
    </row>
    <row r="68" spans="1:1">
      <c r="A68" s="27"/>
    </row>
    <row r="69" spans="1:1">
      <c r="A69" s="27"/>
    </row>
    <row r="70" spans="1:1">
      <c r="A70" s="27"/>
    </row>
    <row r="71" spans="1:1">
      <c r="A71" s="27"/>
    </row>
    <row r="72" spans="1:1">
      <c r="A72" s="27"/>
    </row>
    <row r="73" spans="1:1">
      <c r="A73" s="27"/>
    </row>
    <row r="74" spans="1:1">
      <c r="A74" s="27"/>
    </row>
    <row r="75" spans="1:1">
      <c r="A75" s="27"/>
    </row>
    <row r="76" spans="1:1">
      <c r="A76" s="27"/>
    </row>
    <row r="77" spans="1:1">
      <c r="A77" s="27"/>
    </row>
    <row r="78" spans="1:1">
      <c r="A78" s="27"/>
    </row>
    <row r="79" spans="1:1">
      <c r="A79" s="27"/>
    </row>
    <row r="80" spans="1:1">
      <c r="A80" s="27"/>
    </row>
    <row r="81" spans="1:1">
      <c r="A81" s="27"/>
    </row>
    <row r="82" spans="1:1">
      <c r="A82" s="27"/>
    </row>
    <row r="83" spans="1:1">
      <c r="A83" s="27"/>
    </row>
    <row r="84" spans="1:1">
      <c r="A84" s="27"/>
    </row>
    <row r="85" spans="1:1">
      <c r="A85" s="27"/>
    </row>
    <row r="86" spans="1:1">
      <c r="A86" s="27"/>
    </row>
    <row r="87" spans="1:1">
      <c r="A87" s="27"/>
    </row>
  </sheetData>
  <mergeCells count="8">
    <mergeCell ref="AL1:AL2"/>
    <mergeCell ref="A1:A29"/>
    <mergeCell ref="A30:A58"/>
    <mergeCell ref="A59:A87"/>
    <mergeCell ref="AH1:AH2"/>
    <mergeCell ref="AI1:AI2"/>
    <mergeCell ref="AJ1:AJ2"/>
    <mergeCell ref="AK1:AK2"/>
  </mergeCells>
  <conditionalFormatting sqref="C3:AG9">
    <cfRule type="containsText" dxfId="27" priority="1" operator="containsText" text="l">
      <formula>NOT(ISERROR(SEARCH("l",C3)))</formula>
    </cfRule>
    <cfRule type="containsText" dxfId="26" priority="2" operator="containsText" text="ab">
      <formula>NOT(ISERROR(SEARCH("ab",C3)))</formula>
    </cfRule>
    <cfRule type="containsText" dxfId="25" priority="3" operator="containsText" text="p">
      <formula>NOT(ISERROR(SEARCH("p",C3)))</formula>
    </cfRule>
  </conditionalFormatting>
  <dataValidations count="3">
    <dataValidation type="list" allowBlank="1" showInputMessage="1" showErrorMessage="1" sqref="AN2" xr:uid="{00000000-0002-0000-1100-000000000000}">
      <formula1>"2020,2021,2022,2023,2024,2025,2026,2027,2028,2029,2030"</formula1>
    </dataValidation>
    <dataValidation type="list" allowBlank="1" showInputMessage="1" showErrorMessage="1" sqref="AN1" xr:uid="{00000000-0002-0000-1100-000001000000}">
      <formula1>"January,February,March,Aprail,May,June,July,August,September,October,November,December"</formula1>
    </dataValidation>
    <dataValidation type="list" allowBlank="1" showInputMessage="1" showErrorMessage="1" sqref="C3:AG9" xr:uid="{00000000-0002-0000-1100-000002000000}">
      <formula1>"p,ab,l"</formula1>
    </dataValidation>
  </dataValidation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1:AN87"/>
  <sheetViews>
    <sheetView workbookViewId="0">
      <pane xSplit="1" topLeftCell="B1" activePane="topRight" state="frozenSplit"/>
      <selection pane="topRight" activeCell="AH8" sqref="AH8"/>
    </sheetView>
  </sheetViews>
  <sheetFormatPr defaultRowHeight="15"/>
  <cols>
    <col min="1" max="1" width="16.85546875" bestFit="1" customWidth="1"/>
    <col min="2" max="2" width="15.7109375" customWidth="1"/>
    <col min="3" max="3" width="5.140625" style="12" customWidth="1"/>
    <col min="4" max="4" width="4.28515625" style="12" customWidth="1"/>
    <col min="5" max="5" width="5.28515625" style="12" customWidth="1"/>
    <col min="6" max="6" width="4.28515625" style="12" customWidth="1"/>
    <col min="7" max="7" width="3.42578125" style="12" customWidth="1"/>
    <col min="8" max="8" width="3.7109375" style="12" customWidth="1"/>
    <col min="9" max="9" width="4.28515625" style="12" customWidth="1"/>
    <col min="10" max="10" width="5.140625" style="12" customWidth="1"/>
    <col min="11" max="11" width="4.28515625" style="12" customWidth="1"/>
    <col min="12" max="12" width="5.28515625" style="12" customWidth="1"/>
    <col min="13" max="13" width="4.28515625" style="12" customWidth="1"/>
    <col min="14" max="14" width="3.28515625" style="12" customWidth="1"/>
    <col min="15" max="15" width="3.7109375" style="12" customWidth="1"/>
    <col min="16" max="16" width="4.28515625" style="12" customWidth="1"/>
    <col min="17" max="17" width="5.140625" style="12" customWidth="1"/>
    <col min="18" max="18" width="4.28515625" style="12" customWidth="1"/>
    <col min="19" max="19" width="5.28515625" style="12" customWidth="1"/>
    <col min="20" max="20" width="4.28515625" style="12" customWidth="1"/>
    <col min="21" max="21" width="3.28515625" style="12" customWidth="1"/>
    <col min="22" max="22" width="3.7109375" style="12" customWidth="1"/>
    <col min="23" max="23" width="4.28515625" style="12" customWidth="1"/>
    <col min="24" max="24" width="5.140625" style="12" customWidth="1"/>
    <col min="25" max="25" width="4.28515625" style="12" customWidth="1"/>
    <col min="26" max="26" width="5.28515625" style="12" customWidth="1"/>
    <col min="27" max="27" width="4.28515625" style="12" customWidth="1"/>
    <col min="28" max="28" width="3.42578125" style="12" customWidth="1"/>
    <col min="29" max="29" width="3.7109375" style="12" customWidth="1"/>
    <col min="30" max="30" width="4.28515625" style="12" customWidth="1"/>
    <col min="31" max="31" width="5.140625" style="12" customWidth="1"/>
    <col min="32" max="32" width="4.28515625" style="12" customWidth="1"/>
    <col min="33" max="33" width="5.28515625" style="12" customWidth="1"/>
    <col min="34" max="34" width="19" customWidth="1"/>
    <col min="35" max="35" width="7.85546875" customWidth="1"/>
    <col min="36" max="36" width="7.28515625" customWidth="1"/>
    <col min="37" max="37" width="6.140625" customWidth="1"/>
    <col min="38" max="38" width="10" customWidth="1"/>
    <col min="39" max="39" width="12.42578125" customWidth="1"/>
    <col min="40" max="40" width="9.7109375" customWidth="1"/>
  </cols>
  <sheetData>
    <row r="1" spans="1:40">
      <c r="A1" s="27"/>
      <c r="C1" s="17" t="str">
        <f>TEXT(C2,"DDD")</f>
        <v>Wed</v>
      </c>
      <c r="D1" s="17" t="str">
        <f t="shared" ref="D1:AG1" si="0">TEXT(D2,"DDD")</f>
        <v>Thu</v>
      </c>
      <c r="E1" s="17" t="str">
        <f t="shared" si="0"/>
        <v>Fri</v>
      </c>
      <c r="F1" s="17" t="str">
        <f t="shared" si="0"/>
        <v>Sat</v>
      </c>
      <c r="G1" s="17" t="str">
        <f t="shared" si="0"/>
        <v>Sun</v>
      </c>
      <c r="H1" s="17" t="str">
        <f t="shared" si="0"/>
        <v>Mon</v>
      </c>
      <c r="I1" s="17" t="str">
        <f t="shared" si="0"/>
        <v>Tue</v>
      </c>
      <c r="J1" s="17" t="str">
        <f t="shared" si="0"/>
        <v>Wed</v>
      </c>
      <c r="K1" s="17" t="str">
        <f t="shared" si="0"/>
        <v>Thu</v>
      </c>
      <c r="L1" s="17" t="str">
        <f t="shared" si="0"/>
        <v>Fri</v>
      </c>
      <c r="M1" s="17" t="str">
        <f t="shared" si="0"/>
        <v>Sat</v>
      </c>
      <c r="N1" s="17" t="str">
        <f t="shared" si="0"/>
        <v>Sun</v>
      </c>
      <c r="O1" s="17" t="str">
        <f t="shared" si="0"/>
        <v>Mon</v>
      </c>
      <c r="P1" s="17" t="str">
        <f t="shared" si="0"/>
        <v>Tue</v>
      </c>
      <c r="Q1" s="17" t="str">
        <f t="shared" si="0"/>
        <v>Wed</v>
      </c>
      <c r="R1" s="17" t="str">
        <f t="shared" si="0"/>
        <v>Thu</v>
      </c>
      <c r="S1" s="17" t="str">
        <f t="shared" si="0"/>
        <v>Fri</v>
      </c>
      <c r="T1" s="17" t="str">
        <f t="shared" si="0"/>
        <v>Sat</v>
      </c>
      <c r="U1" s="17" t="str">
        <f t="shared" si="0"/>
        <v>Sun</v>
      </c>
      <c r="V1" s="17" t="str">
        <f t="shared" si="0"/>
        <v>Mon</v>
      </c>
      <c r="W1" s="17" t="str">
        <f t="shared" si="0"/>
        <v>Tue</v>
      </c>
      <c r="X1" s="17" t="str">
        <f t="shared" si="0"/>
        <v>Wed</v>
      </c>
      <c r="Y1" s="17" t="str">
        <f t="shared" si="0"/>
        <v>Thu</v>
      </c>
      <c r="Z1" s="17" t="str">
        <f t="shared" si="0"/>
        <v>Fri</v>
      </c>
      <c r="AA1" s="17" t="str">
        <f t="shared" si="0"/>
        <v>Sat</v>
      </c>
      <c r="AB1" s="17" t="str">
        <f t="shared" si="0"/>
        <v>Sun</v>
      </c>
      <c r="AC1" s="17" t="str">
        <f t="shared" si="0"/>
        <v>Mon</v>
      </c>
      <c r="AD1" s="17" t="str">
        <f t="shared" si="0"/>
        <v>Tue</v>
      </c>
      <c r="AE1" s="17" t="str">
        <f t="shared" si="0"/>
        <v>Wed</v>
      </c>
      <c r="AF1" s="17" t="str">
        <f t="shared" si="0"/>
        <v>Thu</v>
      </c>
      <c r="AG1" s="17" t="str">
        <f t="shared" si="0"/>
        <v>Fri</v>
      </c>
      <c r="AH1" s="33" t="s">
        <v>106</v>
      </c>
      <c r="AI1" s="31" t="s">
        <v>107</v>
      </c>
      <c r="AJ1" s="31" t="s">
        <v>108</v>
      </c>
      <c r="AK1" s="31" t="s">
        <v>109</v>
      </c>
      <c r="AL1" s="31" t="s">
        <v>110</v>
      </c>
      <c r="AM1" s="5" t="s">
        <v>81</v>
      </c>
      <c r="AN1" s="10" t="s">
        <v>98</v>
      </c>
    </row>
    <row r="2" spans="1:40">
      <c r="A2" s="27"/>
      <c r="B2" t="s">
        <v>111</v>
      </c>
      <c r="C2" s="18">
        <f>IF(COLUMNS($C$2:C2)&gt;DAY($AN$4),"",$AN$3+COLUMNS($C$2:C2)-1)</f>
        <v>45413</v>
      </c>
      <c r="D2" s="18">
        <f>IF(COLUMNS($C$2:D2)&gt;DAY($AN$4),"",$AN$3+COLUMNS($C$2:D2)-1)</f>
        <v>45414</v>
      </c>
      <c r="E2" s="18">
        <f>IF(COLUMNS($C$2:E2)&gt;DAY($AN$4),"",$AN$3+COLUMNS($C$2:E2)-1)</f>
        <v>45415</v>
      </c>
      <c r="F2" s="18">
        <f>IF(COLUMNS($C$2:F2)&gt;DAY($AN$4),"",$AN$3+COLUMNS($C$2:F2)-1)</f>
        <v>45416</v>
      </c>
      <c r="G2" s="18">
        <f>IF(COLUMNS($C$2:G2)&gt;DAY($AN$4),"",$AN$3+COLUMNS($C$2:G2)-1)</f>
        <v>45417</v>
      </c>
      <c r="H2" s="18">
        <f>IF(COLUMNS($C$2:H2)&gt;DAY($AN$4),"",$AN$3+COLUMNS($C$2:H2)-1)</f>
        <v>45418</v>
      </c>
      <c r="I2" s="18">
        <f>IF(COLUMNS($C$2:I2)&gt;DAY($AN$4),"",$AN$3+COLUMNS($C$2:I2)-1)</f>
        <v>45419</v>
      </c>
      <c r="J2" s="18">
        <f>IF(COLUMNS($C$2:J2)&gt;DAY($AN$4),"",$AN$3+COLUMNS($C$2:J2)-1)</f>
        <v>45420</v>
      </c>
      <c r="K2" s="18">
        <f>IF(COLUMNS($C$2:K2)&gt;DAY($AN$4),"",$AN$3+COLUMNS($C$2:K2)-1)</f>
        <v>45421</v>
      </c>
      <c r="L2" s="18">
        <f>IF(COLUMNS($C$2:L2)&gt;DAY($AN$4),"",$AN$3+COLUMNS($C$2:L2)-1)</f>
        <v>45422</v>
      </c>
      <c r="M2" s="18">
        <f>IF(COLUMNS($C$2:M2)&gt;DAY($AN$4),"",$AN$3+COLUMNS($C$2:M2)-1)</f>
        <v>45423</v>
      </c>
      <c r="N2" s="18">
        <f>IF(COLUMNS($C$2:N2)&gt;DAY($AN$4),"",$AN$3+COLUMNS($C$2:N2)-1)</f>
        <v>45424</v>
      </c>
      <c r="O2" s="18">
        <f>IF(COLUMNS($C$2:O2)&gt;DAY($AN$4),"",$AN$3+COLUMNS($C$2:O2)-1)</f>
        <v>45425</v>
      </c>
      <c r="P2" s="18">
        <f>IF(COLUMNS($C$2:P2)&gt;DAY($AN$4),"",$AN$3+COLUMNS($C$2:P2)-1)</f>
        <v>45426</v>
      </c>
      <c r="Q2" s="18">
        <f>IF(COLUMNS($C$2:Q2)&gt;DAY($AN$4),"",$AN$3+COLUMNS($C$2:Q2)-1)</f>
        <v>45427</v>
      </c>
      <c r="R2" s="18">
        <f>IF(COLUMNS($C$2:R2)&gt;DAY($AN$4),"",$AN$3+COLUMNS($C$2:R2)-1)</f>
        <v>45428</v>
      </c>
      <c r="S2" s="18">
        <f>IF(COLUMNS($C$2:S2)&gt;DAY($AN$4),"",$AN$3+COLUMNS($C$2:S2)-1)</f>
        <v>45429</v>
      </c>
      <c r="T2" s="18">
        <f>IF(COLUMNS($C$2:T2)&gt;DAY($AN$4),"",$AN$3+COLUMNS($C$2:T2)-1)</f>
        <v>45430</v>
      </c>
      <c r="U2" s="18">
        <f>IF(COLUMNS($C$2:U2)&gt;DAY($AN$4),"",$AN$3+COLUMNS($C$2:U2)-1)</f>
        <v>45431</v>
      </c>
      <c r="V2" s="18">
        <f>IF(COLUMNS($C$2:V2)&gt;DAY($AN$4),"",$AN$3+COLUMNS($C$2:V2)-1)</f>
        <v>45432</v>
      </c>
      <c r="W2" s="18">
        <f>IF(COLUMNS($C$2:W2)&gt;DAY($AN$4),"",$AN$3+COLUMNS($C$2:W2)-1)</f>
        <v>45433</v>
      </c>
      <c r="X2" s="18">
        <f>IF(COLUMNS($C$2:X2)&gt;DAY($AN$4),"",$AN$3+COLUMNS($C$2:X2)-1)</f>
        <v>45434</v>
      </c>
      <c r="Y2" s="18">
        <f>IF(COLUMNS($C$2:Y2)&gt;DAY($AN$4),"",$AN$3+COLUMNS($C$2:Y2)-1)</f>
        <v>45435</v>
      </c>
      <c r="Z2" s="18">
        <f>IF(COLUMNS($C$2:Z2)&gt;DAY($AN$4),"",$AN$3+COLUMNS($C$2:Z2)-1)</f>
        <v>45436</v>
      </c>
      <c r="AA2" s="18">
        <f>IF(COLUMNS($C$2:AA2)&gt;DAY($AN$4),"",$AN$3+COLUMNS($C$2:AA2)-1)</f>
        <v>45437</v>
      </c>
      <c r="AB2" s="18">
        <f>IF(COLUMNS($C$2:AB2)&gt;DAY($AN$4),"",$AN$3+COLUMNS($C$2:AB2)-1)</f>
        <v>45438</v>
      </c>
      <c r="AC2" s="18">
        <f>IF(COLUMNS($C$2:AC2)&gt;DAY($AN$4),"",$AN$3+COLUMNS($C$2:AC2)-1)</f>
        <v>45439</v>
      </c>
      <c r="AD2" s="18">
        <f>IF(COLUMNS($C$2:AD2)&gt;DAY($AN$4),"",$AN$3+COLUMNS($C$2:AD2)-1)</f>
        <v>45440</v>
      </c>
      <c r="AE2" s="18">
        <f>IF(COLUMNS($C$2:AE2)&gt;DAY($AN$4),"",$AN$3+COLUMNS($C$2:AE2)-1)</f>
        <v>45441</v>
      </c>
      <c r="AF2" s="18">
        <f>IF(COLUMNS($C$2:AF2)&gt;DAY($AN$4),"",$AN$3+COLUMNS($C$2:AF2)-1)</f>
        <v>45442</v>
      </c>
      <c r="AG2" s="18">
        <f>IF(COLUMNS($C$2:AG2)&gt;DAY($AN$4),"",$AN$3+COLUMNS($C$2:AG2)-1)</f>
        <v>45443</v>
      </c>
      <c r="AH2" s="34"/>
      <c r="AI2" s="32"/>
      <c r="AJ2" s="32"/>
      <c r="AK2" s="32"/>
      <c r="AL2" s="32"/>
      <c r="AM2" s="6" t="s">
        <v>83</v>
      </c>
      <c r="AN2" s="11">
        <v>2024</v>
      </c>
    </row>
    <row r="3" spans="1:40">
      <c r="A3" s="27"/>
      <c r="B3" t="s">
        <v>88</v>
      </c>
      <c r="C3" t="s">
        <v>112</v>
      </c>
      <c r="D3" t="s">
        <v>112</v>
      </c>
      <c r="E3" t="s">
        <v>112</v>
      </c>
      <c r="F3" t="s">
        <v>112</v>
      </c>
      <c r="G3" t="s">
        <v>112</v>
      </c>
      <c r="H3" t="s">
        <v>112</v>
      </c>
      <c r="I3" t="s">
        <v>112</v>
      </c>
      <c r="J3" t="s">
        <v>112</v>
      </c>
      <c r="K3" t="s">
        <v>112</v>
      </c>
      <c r="L3" t="s">
        <v>112</v>
      </c>
      <c r="M3" t="s">
        <v>112</v>
      </c>
      <c r="N3" t="s">
        <v>112</v>
      </c>
      <c r="O3" t="s">
        <v>112</v>
      </c>
      <c r="P3" t="s">
        <v>112</v>
      </c>
      <c r="Q3" t="s">
        <v>112</v>
      </c>
      <c r="R3" t="s">
        <v>112</v>
      </c>
      <c r="S3" t="s">
        <v>112</v>
      </c>
      <c r="T3" t="s">
        <v>112</v>
      </c>
      <c r="U3" t="s">
        <v>112</v>
      </c>
      <c r="V3" t="s">
        <v>112</v>
      </c>
      <c r="W3" t="s">
        <v>112</v>
      </c>
      <c r="X3" t="s">
        <v>112</v>
      </c>
      <c r="Y3" t="s">
        <v>112</v>
      </c>
      <c r="Z3" t="s">
        <v>112</v>
      </c>
      <c r="AA3" t="s">
        <v>113</v>
      </c>
      <c r="AB3" t="s">
        <v>112</v>
      </c>
      <c r="AC3" t="s">
        <v>112</v>
      </c>
      <c r="AD3" t="s">
        <v>112</v>
      </c>
      <c r="AE3" t="s">
        <v>112</v>
      </c>
      <c r="AF3" t="s">
        <v>112</v>
      </c>
      <c r="AG3" t="s">
        <v>112</v>
      </c>
      <c r="AH3" s="16">
        <v>50000</v>
      </c>
      <c r="AI3" s="16">
        <f>COUNTIF($C3:$AG3,"P")</f>
        <v>30</v>
      </c>
      <c r="AJ3" s="16">
        <f>COUNTIF($C3:$AG3,"Ab")</f>
        <v>1</v>
      </c>
      <c r="AK3" s="16">
        <f>COUNTIF($C3:$AG3,"L")</f>
        <v>0</v>
      </c>
      <c r="AL3" s="16">
        <f>AH3/30*(AI3+AK3)</f>
        <v>50000</v>
      </c>
      <c r="AM3" s="7" t="s">
        <v>84</v>
      </c>
      <c r="AN3" s="4">
        <f>DATE(AN2,MONTH(AN1&amp;1),1)</f>
        <v>45413</v>
      </c>
    </row>
    <row r="4" spans="1:40">
      <c r="A4" s="27"/>
      <c r="B4" t="s">
        <v>89</v>
      </c>
      <c r="C4" t="s">
        <v>112</v>
      </c>
      <c r="D4" t="s">
        <v>112</v>
      </c>
      <c r="E4" t="s">
        <v>112</v>
      </c>
      <c r="F4" t="s">
        <v>112</v>
      </c>
      <c r="G4" t="s">
        <v>112</v>
      </c>
      <c r="H4" t="s">
        <v>112</v>
      </c>
      <c r="I4" t="s">
        <v>112</v>
      </c>
      <c r="J4" t="s">
        <v>112</v>
      </c>
      <c r="K4" t="s">
        <v>113</v>
      </c>
      <c r="L4" t="s">
        <v>112</v>
      </c>
      <c r="M4" t="s">
        <v>112</v>
      </c>
      <c r="N4" t="s">
        <v>112</v>
      </c>
      <c r="O4" t="s">
        <v>112</v>
      </c>
      <c r="P4" t="s">
        <v>112</v>
      </c>
      <c r="Q4" t="s">
        <v>112</v>
      </c>
      <c r="R4" t="s">
        <v>112</v>
      </c>
      <c r="S4" t="s">
        <v>112</v>
      </c>
      <c r="T4" t="s">
        <v>113</v>
      </c>
      <c r="U4" t="s">
        <v>112</v>
      </c>
      <c r="V4" t="s">
        <v>112</v>
      </c>
      <c r="W4" t="s">
        <v>112</v>
      </c>
      <c r="X4" t="s">
        <v>112</v>
      </c>
      <c r="Y4" t="s">
        <v>112</v>
      </c>
      <c r="Z4" t="s">
        <v>112</v>
      </c>
      <c r="AA4" t="s">
        <v>113</v>
      </c>
      <c r="AB4" t="s">
        <v>112</v>
      </c>
      <c r="AC4" t="s">
        <v>112</v>
      </c>
      <c r="AD4" t="s">
        <v>112</v>
      </c>
      <c r="AE4" t="s">
        <v>112</v>
      </c>
      <c r="AF4" t="s">
        <v>112</v>
      </c>
      <c r="AG4" t="s">
        <v>112</v>
      </c>
      <c r="AH4" s="25">
        <v>15000</v>
      </c>
      <c r="AI4" s="16">
        <f t="shared" ref="AI4:AI6" si="1">COUNTIF($C4:$AG4,"P")</f>
        <v>28</v>
      </c>
      <c r="AJ4" s="16">
        <f t="shared" ref="AJ4:AJ6" si="2">COUNTIF($C4:$AG4,"Ab")</f>
        <v>3</v>
      </c>
      <c r="AK4" s="16">
        <f t="shared" ref="AK4:AK6" si="3">COUNTIF($C4:$AG4,"L")</f>
        <v>0</v>
      </c>
      <c r="AL4" s="16">
        <f t="shared" ref="AL4:AL6" si="4">AH4/30*(AI4+AK4)</f>
        <v>14000</v>
      </c>
      <c r="AM4" s="7" t="s">
        <v>85</v>
      </c>
      <c r="AN4" s="4">
        <f>EOMONTH(AN3,0)</f>
        <v>45443</v>
      </c>
    </row>
    <row r="5" spans="1:40">
      <c r="A5" s="27"/>
      <c r="B5" t="s">
        <v>90</v>
      </c>
      <c r="C5" t="s">
        <v>112</v>
      </c>
      <c r="D5" t="s">
        <v>112</v>
      </c>
      <c r="E5" t="s">
        <v>112</v>
      </c>
      <c r="F5" t="s">
        <v>112</v>
      </c>
      <c r="G5" t="s">
        <v>112</v>
      </c>
      <c r="H5" t="s">
        <v>112</v>
      </c>
      <c r="I5" t="s">
        <v>112</v>
      </c>
      <c r="J5" t="s">
        <v>112</v>
      </c>
      <c r="K5" t="s">
        <v>112</v>
      </c>
      <c r="L5" t="s">
        <v>112</v>
      </c>
      <c r="M5" t="s">
        <v>112</v>
      </c>
      <c r="N5" t="s">
        <v>112</v>
      </c>
      <c r="O5" t="s">
        <v>112</v>
      </c>
      <c r="P5" t="s">
        <v>112</v>
      </c>
      <c r="Q5" t="s">
        <v>112</v>
      </c>
      <c r="R5" t="s">
        <v>112</v>
      </c>
      <c r="S5" t="s">
        <v>112</v>
      </c>
      <c r="T5" t="s">
        <v>112</v>
      </c>
      <c r="U5" t="s">
        <v>112</v>
      </c>
      <c r="V5" t="s">
        <v>112</v>
      </c>
      <c r="W5" t="s">
        <v>112</v>
      </c>
      <c r="X5" t="s">
        <v>112</v>
      </c>
      <c r="Y5" t="s">
        <v>112</v>
      </c>
      <c r="Z5" t="s">
        <v>112</v>
      </c>
      <c r="AA5" t="s">
        <v>112</v>
      </c>
      <c r="AB5" t="s">
        <v>112</v>
      </c>
      <c r="AC5" t="s">
        <v>112</v>
      </c>
      <c r="AD5" t="s">
        <v>112</v>
      </c>
      <c r="AE5" t="s">
        <v>112</v>
      </c>
      <c r="AF5" t="s">
        <v>112</v>
      </c>
      <c r="AG5" t="s">
        <v>112</v>
      </c>
      <c r="AH5" s="25">
        <v>18000</v>
      </c>
      <c r="AI5" s="16">
        <f t="shared" si="1"/>
        <v>31</v>
      </c>
      <c r="AJ5" s="16">
        <f t="shared" si="2"/>
        <v>0</v>
      </c>
      <c r="AK5" s="16">
        <f t="shared" si="3"/>
        <v>0</v>
      </c>
      <c r="AL5" s="16">
        <f t="shared" si="4"/>
        <v>18600</v>
      </c>
    </row>
    <row r="6" spans="1:40">
      <c r="A6" s="27"/>
      <c r="B6" t="s">
        <v>91</v>
      </c>
      <c r="C6" t="s">
        <v>112</v>
      </c>
      <c r="D6" t="s">
        <v>112</v>
      </c>
      <c r="E6" t="s">
        <v>112</v>
      </c>
      <c r="F6" t="s">
        <v>112</v>
      </c>
      <c r="G6" t="s">
        <v>112</v>
      </c>
      <c r="H6" t="s">
        <v>112</v>
      </c>
      <c r="I6" t="s">
        <v>112</v>
      </c>
      <c r="J6" t="s">
        <v>112</v>
      </c>
      <c r="K6" t="s">
        <v>112</v>
      </c>
      <c r="L6" t="s">
        <v>112</v>
      </c>
      <c r="M6" t="s">
        <v>112</v>
      </c>
      <c r="N6" t="s">
        <v>112</v>
      </c>
      <c r="O6" t="s">
        <v>112</v>
      </c>
      <c r="P6" t="s">
        <v>112</v>
      </c>
      <c r="Q6" t="s">
        <v>112</v>
      </c>
      <c r="R6" t="s">
        <v>112</v>
      </c>
      <c r="S6" t="s">
        <v>112</v>
      </c>
      <c r="T6" t="s">
        <v>113</v>
      </c>
      <c r="U6" t="s">
        <v>112</v>
      </c>
      <c r="V6" t="s">
        <v>112</v>
      </c>
      <c r="W6" t="s">
        <v>112</v>
      </c>
      <c r="X6" t="s">
        <v>112</v>
      </c>
      <c r="Y6" t="s">
        <v>112</v>
      </c>
      <c r="Z6" t="s">
        <v>112</v>
      </c>
      <c r="AA6" t="s">
        <v>112</v>
      </c>
      <c r="AB6" t="s">
        <v>112</v>
      </c>
      <c r="AC6" t="s">
        <v>112</v>
      </c>
      <c r="AD6" t="s">
        <v>112</v>
      </c>
      <c r="AE6" t="s">
        <v>112</v>
      </c>
      <c r="AF6" t="s">
        <v>112</v>
      </c>
      <c r="AG6" t="s">
        <v>112</v>
      </c>
      <c r="AH6" s="25">
        <v>10000</v>
      </c>
      <c r="AI6" s="16">
        <f t="shared" si="1"/>
        <v>30</v>
      </c>
      <c r="AJ6" s="16">
        <f t="shared" si="2"/>
        <v>1</v>
      </c>
      <c r="AK6" s="16">
        <f t="shared" si="3"/>
        <v>0</v>
      </c>
      <c r="AL6" s="16">
        <f t="shared" si="4"/>
        <v>10000</v>
      </c>
    </row>
    <row r="7" spans="1:40">
      <c r="A7" s="27"/>
      <c r="C7"/>
      <c r="D7"/>
      <c r="E7"/>
      <c r="F7"/>
      <c r="G7"/>
      <c r="H7"/>
      <c r="I7"/>
      <c r="J7"/>
      <c r="K7"/>
      <c r="L7"/>
      <c r="M7"/>
      <c r="N7"/>
      <c r="O7"/>
      <c r="P7"/>
      <c r="Q7"/>
      <c r="R7"/>
      <c r="S7"/>
      <c r="T7"/>
      <c r="U7"/>
      <c r="V7"/>
      <c r="W7"/>
      <c r="X7"/>
      <c r="Y7"/>
      <c r="Z7"/>
      <c r="AA7"/>
      <c r="AB7"/>
      <c r="AC7"/>
      <c r="AD7"/>
      <c r="AE7"/>
      <c r="AF7"/>
      <c r="AG7"/>
      <c r="AH7" s="25"/>
    </row>
    <row r="8" spans="1:40">
      <c r="A8" s="27"/>
      <c r="C8"/>
      <c r="D8"/>
      <c r="E8"/>
      <c r="F8"/>
      <c r="G8"/>
      <c r="H8"/>
      <c r="I8"/>
      <c r="J8"/>
      <c r="K8"/>
      <c r="L8"/>
      <c r="M8"/>
      <c r="N8"/>
      <c r="O8"/>
      <c r="P8"/>
      <c r="Q8"/>
      <c r="R8"/>
      <c r="S8"/>
      <c r="T8"/>
      <c r="U8"/>
      <c r="V8"/>
      <c r="W8"/>
      <c r="X8"/>
      <c r="Y8"/>
      <c r="Z8"/>
      <c r="AA8"/>
      <c r="AB8"/>
      <c r="AC8"/>
      <c r="AD8"/>
      <c r="AE8"/>
      <c r="AF8"/>
      <c r="AG8"/>
    </row>
    <row r="9" spans="1:40">
      <c r="A9" s="27"/>
      <c r="C9"/>
      <c r="D9"/>
      <c r="E9"/>
      <c r="F9"/>
      <c r="G9"/>
      <c r="H9"/>
      <c r="I9"/>
      <c r="J9"/>
      <c r="K9"/>
      <c r="L9"/>
      <c r="M9"/>
      <c r="N9"/>
      <c r="O9"/>
      <c r="P9"/>
      <c r="Q9"/>
      <c r="R9"/>
      <c r="S9"/>
      <c r="T9"/>
      <c r="U9"/>
      <c r="V9"/>
      <c r="W9"/>
      <c r="X9"/>
      <c r="Y9"/>
      <c r="Z9"/>
      <c r="AA9"/>
      <c r="AB9"/>
      <c r="AC9"/>
      <c r="AD9"/>
      <c r="AE9"/>
      <c r="AF9"/>
      <c r="AG9"/>
    </row>
    <row r="10" spans="1:40">
      <c r="A10" s="27"/>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row>
    <row r="11" spans="1:40">
      <c r="A11" s="27"/>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row>
    <row r="12" spans="1:40">
      <c r="A12" s="27"/>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row>
    <row r="13" spans="1:40">
      <c r="A13" s="27"/>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row>
    <row r="14" spans="1:40">
      <c r="A14" s="27"/>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row>
    <row r="15" spans="1:40">
      <c r="A15" s="27"/>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row>
    <row r="16" spans="1:40">
      <c r="A16" s="27"/>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row>
    <row r="17" spans="1:1">
      <c r="A17" s="27"/>
    </row>
    <row r="18" spans="1:1">
      <c r="A18" s="27"/>
    </row>
    <row r="19" spans="1:1">
      <c r="A19" s="27"/>
    </row>
    <row r="20" spans="1:1">
      <c r="A20" s="27"/>
    </row>
    <row r="21" spans="1:1">
      <c r="A21" s="27"/>
    </row>
    <row r="22" spans="1:1">
      <c r="A22" s="27"/>
    </row>
    <row r="23" spans="1:1">
      <c r="A23" s="27"/>
    </row>
    <row r="24" spans="1:1">
      <c r="A24" s="27"/>
    </row>
    <row r="25" spans="1:1">
      <c r="A25" s="27"/>
    </row>
    <row r="26" spans="1:1">
      <c r="A26" s="27"/>
    </row>
    <row r="27" spans="1:1">
      <c r="A27" s="27"/>
    </row>
    <row r="28" spans="1:1">
      <c r="A28" s="27"/>
    </row>
    <row r="29" spans="1:1">
      <c r="A29" s="27"/>
    </row>
    <row r="30" spans="1:1">
      <c r="A30" s="27"/>
    </row>
    <row r="31" spans="1:1">
      <c r="A31" s="27"/>
    </row>
    <row r="32" spans="1:1">
      <c r="A32" s="27"/>
    </row>
    <row r="33" spans="1:1">
      <c r="A33" s="27"/>
    </row>
    <row r="34" spans="1:1">
      <c r="A34" s="27"/>
    </row>
    <row r="35" spans="1:1">
      <c r="A35" s="27"/>
    </row>
    <row r="36" spans="1:1">
      <c r="A36" s="27"/>
    </row>
    <row r="37" spans="1:1">
      <c r="A37" s="27"/>
    </row>
    <row r="38" spans="1:1">
      <c r="A38" s="27"/>
    </row>
    <row r="39" spans="1:1">
      <c r="A39" s="27"/>
    </row>
    <row r="40" spans="1:1">
      <c r="A40" s="27"/>
    </row>
    <row r="41" spans="1:1">
      <c r="A41" s="27"/>
    </row>
    <row r="42" spans="1:1">
      <c r="A42" s="27"/>
    </row>
    <row r="43" spans="1:1">
      <c r="A43" s="27"/>
    </row>
    <row r="44" spans="1:1">
      <c r="A44" s="27"/>
    </row>
    <row r="45" spans="1:1">
      <c r="A45" s="27"/>
    </row>
    <row r="46" spans="1:1">
      <c r="A46" s="27"/>
    </row>
    <row r="47" spans="1:1">
      <c r="A47" s="27"/>
    </row>
    <row r="48" spans="1:1">
      <c r="A48" s="27"/>
    </row>
    <row r="49" spans="1:1">
      <c r="A49" s="27"/>
    </row>
    <row r="50" spans="1:1">
      <c r="A50" s="27"/>
    </row>
    <row r="51" spans="1:1">
      <c r="A51" s="27"/>
    </row>
    <row r="52" spans="1:1">
      <c r="A52" s="27"/>
    </row>
    <row r="53" spans="1:1">
      <c r="A53" s="27"/>
    </row>
    <row r="54" spans="1:1">
      <c r="A54" s="27"/>
    </row>
    <row r="55" spans="1:1">
      <c r="A55" s="27"/>
    </row>
    <row r="56" spans="1:1">
      <c r="A56" s="27"/>
    </row>
    <row r="57" spans="1:1">
      <c r="A57" s="27"/>
    </row>
    <row r="58" spans="1:1">
      <c r="A58" s="27"/>
    </row>
    <row r="59" spans="1:1">
      <c r="A59" s="27"/>
    </row>
    <row r="60" spans="1:1">
      <c r="A60" s="27"/>
    </row>
    <row r="61" spans="1:1">
      <c r="A61" s="27"/>
    </row>
    <row r="62" spans="1:1">
      <c r="A62" s="27"/>
    </row>
    <row r="63" spans="1:1">
      <c r="A63" s="27"/>
    </row>
    <row r="64" spans="1:1">
      <c r="A64" s="27"/>
    </row>
    <row r="65" spans="1:1">
      <c r="A65" s="27"/>
    </row>
    <row r="66" spans="1:1">
      <c r="A66" s="27"/>
    </row>
    <row r="67" spans="1:1">
      <c r="A67" s="27"/>
    </row>
    <row r="68" spans="1:1">
      <c r="A68" s="27"/>
    </row>
    <row r="69" spans="1:1">
      <c r="A69" s="27"/>
    </row>
    <row r="70" spans="1:1">
      <c r="A70" s="27"/>
    </row>
    <row r="71" spans="1:1">
      <c r="A71" s="27"/>
    </row>
    <row r="72" spans="1:1">
      <c r="A72" s="27"/>
    </row>
    <row r="73" spans="1:1">
      <c r="A73" s="27"/>
    </row>
    <row r="74" spans="1:1">
      <c r="A74" s="27"/>
    </row>
    <row r="75" spans="1:1">
      <c r="A75" s="27"/>
    </row>
    <row r="76" spans="1:1">
      <c r="A76" s="27"/>
    </row>
    <row r="77" spans="1:1">
      <c r="A77" s="27"/>
    </row>
    <row r="78" spans="1:1">
      <c r="A78" s="27"/>
    </row>
    <row r="79" spans="1:1">
      <c r="A79" s="27"/>
    </row>
    <row r="80" spans="1:1">
      <c r="A80" s="27"/>
    </row>
    <row r="81" spans="1:1">
      <c r="A81" s="27"/>
    </row>
    <row r="82" spans="1:1">
      <c r="A82" s="27"/>
    </row>
    <row r="83" spans="1:1">
      <c r="A83" s="27"/>
    </row>
    <row r="84" spans="1:1">
      <c r="A84" s="27"/>
    </row>
    <row r="85" spans="1:1">
      <c r="A85" s="27"/>
    </row>
    <row r="86" spans="1:1">
      <c r="A86" s="27"/>
    </row>
    <row r="87" spans="1:1">
      <c r="A87" s="27"/>
    </row>
  </sheetData>
  <mergeCells count="8">
    <mergeCell ref="AL1:AL2"/>
    <mergeCell ref="A1:A29"/>
    <mergeCell ref="A30:A58"/>
    <mergeCell ref="A59:A87"/>
    <mergeCell ref="AH1:AH2"/>
    <mergeCell ref="AI1:AI2"/>
    <mergeCell ref="AJ1:AJ2"/>
    <mergeCell ref="AK1:AK2"/>
  </mergeCells>
  <conditionalFormatting sqref="C3:AG9">
    <cfRule type="containsText" dxfId="24" priority="1" operator="containsText" text="l">
      <formula>NOT(ISERROR(SEARCH("l",C3)))</formula>
    </cfRule>
    <cfRule type="containsText" dxfId="23" priority="2" operator="containsText" text="ab">
      <formula>NOT(ISERROR(SEARCH("ab",C3)))</formula>
    </cfRule>
    <cfRule type="containsText" dxfId="22" priority="3" operator="containsText" text="p">
      <formula>NOT(ISERROR(SEARCH("p",C3)))</formula>
    </cfRule>
  </conditionalFormatting>
  <dataValidations count="3">
    <dataValidation type="list" allowBlank="1" showInputMessage="1" showErrorMessage="1" sqref="AN2" xr:uid="{00000000-0002-0000-1200-000000000000}">
      <formula1>"2020,2021,2022,2023,2024,2025,2026,2027,2028,2029,2030"</formula1>
    </dataValidation>
    <dataValidation type="list" allowBlank="1" showInputMessage="1" showErrorMessage="1" sqref="AN1" xr:uid="{00000000-0002-0000-1200-000001000000}">
      <formula1>"January,February,March,Aprail,May,June,July,August,September,October,November,December"</formula1>
    </dataValidation>
    <dataValidation type="list" allowBlank="1" showInputMessage="1" showErrorMessage="1" sqref="C3:AG9" xr:uid="{00000000-0002-0000-1200-000002000000}">
      <formula1>"p,ab,l"</formula1>
    </dataValidation>
  </dataValidation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dimension ref="A1:AN87"/>
  <sheetViews>
    <sheetView workbookViewId="0">
      <pane xSplit="1" topLeftCell="B1" activePane="topRight" state="frozenSplit"/>
      <selection pane="topRight" activeCell="AH8" sqref="AH8"/>
    </sheetView>
  </sheetViews>
  <sheetFormatPr defaultRowHeight="15"/>
  <cols>
    <col min="1" max="1" width="16.85546875" bestFit="1" customWidth="1"/>
    <col min="2" max="2" width="15.7109375" customWidth="1"/>
    <col min="3" max="3" width="5.140625" style="12" customWidth="1"/>
    <col min="4" max="4" width="4.28515625" style="12" customWidth="1"/>
    <col min="5" max="5" width="5.28515625" style="12" customWidth="1"/>
    <col min="6" max="6" width="4.28515625" style="12" customWidth="1"/>
    <col min="7" max="7" width="3.42578125" style="12" customWidth="1"/>
    <col min="8" max="8" width="3.7109375" style="12" customWidth="1"/>
    <col min="9" max="9" width="4.28515625" style="12" customWidth="1"/>
    <col min="10" max="10" width="5.140625" style="12" customWidth="1"/>
    <col min="11" max="11" width="4.28515625" style="12" customWidth="1"/>
    <col min="12" max="12" width="5.28515625" style="12" customWidth="1"/>
    <col min="13" max="13" width="4.28515625" style="12" customWidth="1"/>
    <col min="14" max="14" width="3.28515625" style="12" customWidth="1"/>
    <col min="15" max="15" width="3.7109375" style="12" customWidth="1"/>
    <col min="16" max="16" width="4.28515625" style="12" customWidth="1"/>
    <col min="17" max="17" width="5.140625" style="12" customWidth="1"/>
    <col min="18" max="18" width="4.28515625" style="12" customWidth="1"/>
    <col min="19" max="19" width="5.28515625" style="12" customWidth="1"/>
    <col min="20" max="20" width="4.28515625" style="12" customWidth="1"/>
    <col min="21" max="21" width="3.28515625" style="12" customWidth="1"/>
    <col min="22" max="22" width="3.7109375" style="12" customWidth="1"/>
    <col min="23" max="23" width="4.28515625" style="12" customWidth="1"/>
    <col min="24" max="24" width="5.140625" style="12" customWidth="1"/>
    <col min="25" max="25" width="4.28515625" style="12" customWidth="1"/>
    <col min="26" max="26" width="5.28515625" style="12" customWidth="1"/>
    <col min="27" max="27" width="4.28515625" style="12" customWidth="1"/>
    <col min="28" max="28" width="3.42578125" style="12" customWidth="1"/>
    <col min="29" max="29" width="3.7109375" style="12" customWidth="1"/>
    <col min="30" max="30" width="4.28515625" style="12" customWidth="1"/>
    <col min="31" max="31" width="5.140625" style="12" customWidth="1"/>
    <col min="32" max="32" width="4.28515625" style="12" customWidth="1"/>
    <col min="33" max="33" width="5.28515625" style="12" customWidth="1"/>
    <col min="34" max="34" width="19" customWidth="1"/>
    <col min="35" max="35" width="7.85546875" customWidth="1"/>
    <col min="36" max="36" width="7.28515625" customWidth="1"/>
    <col min="37" max="37" width="6.140625" customWidth="1"/>
    <col min="38" max="38" width="10" customWidth="1"/>
    <col min="39" max="39" width="12.42578125" customWidth="1"/>
    <col min="40" max="40" width="9.7109375" customWidth="1"/>
  </cols>
  <sheetData>
    <row r="1" spans="1:40">
      <c r="A1" s="27"/>
      <c r="C1" s="17" t="str">
        <f>TEXT(C2,"DDD")</f>
        <v>Sat</v>
      </c>
      <c r="D1" s="17" t="str">
        <f t="shared" ref="D1:AG1" si="0">TEXT(D2,"DDD")</f>
        <v>Sun</v>
      </c>
      <c r="E1" s="17" t="str">
        <f t="shared" si="0"/>
        <v>Mon</v>
      </c>
      <c r="F1" s="17" t="str">
        <f t="shared" si="0"/>
        <v>Tue</v>
      </c>
      <c r="G1" s="17" t="str">
        <f t="shared" si="0"/>
        <v>Wed</v>
      </c>
      <c r="H1" s="17" t="str">
        <f t="shared" si="0"/>
        <v>Thu</v>
      </c>
      <c r="I1" s="17" t="str">
        <f t="shared" si="0"/>
        <v>Fri</v>
      </c>
      <c r="J1" s="17" t="str">
        <f t="shared" si="0"/>
        <v>Sat</v>
      </c>
      <c r="K1" s="17" t="str">
        <f t="shared" si="0"/>
        <v>Sun</v>
      </c>
      <c r="L1" s="17" t="str">
        <f t="shared" si="0"/>
        <v>Mon</v>
      </c>
      <c r="M1" s="17" t="str">
        <f t="shared" si="0"/>
        <v>Tue</v>
      </c>
      <c r="N1" s="17" t="str">
        <f t="shared" si="0"/>
        <v>Wed</v>
      </c>
      <c r="O1" s="17" t="str">
        <f t="shared" si="0"/>
        <v>Thu</v>
      </c>
      <c r="P1" s="17" t="str">
        <f t="shared" si="0"/>
        <v>Fri</v>
      </c>
      <c r="Q1" s="17" t="str">
        <f t="shared" si="0"/>
        <v>Sat</v>
      </c>
      <c r="R1" s="17" t="str">
        <f t="shared" si="0"/>
        <v>Sun</v>
      </c>
      <c r="S1" s="17" t="str">
        <f t="shared" si="0"/>
        <v>Mon</v>
      </c>
      <c r="T1" s="17" t="str">
        <f t="shared" si="0"/>
        <v>Tue</v>
      </c>
      <c r="U1" s="17" t="str">
        <f t="shared" si="0"/>
        <v>Wed</v>
      </c>
      <c r="V1" s="17" t="str">
        <f t="shared" si="0"/>
        <v>Thu</v>
      </c>
      <c r="W1" s="17" t="str">
        <f t="shared" si="0"/>
        <v>Fri</v>
      </c>
      <c r="X1" s="17" t="str">
        <f t="shared" si="0"/>
        <v>Sat</v>
      </c>
      <c r="Y1" s="17" t="str">
        <f t="shared" si="0"/>
        <v>Sun</v>
      </c>
      <c r="Z1" s="17" t="str">
        <f t="shared" si="0"/>
        <v>Mon</v>
      </c>
      <c r="AA1" s="17" t="str">
        <f t="shared" si="0"/>
        <v>Tue</v>
      </c>
      <c r="AB1" s="17" t="str">
        <f t="shared" si="0"/>
        <v>Wed</v>
      </c>
      <c r="AC1" s="17" t="str">
        <f t="shared" si="0"/>
        <v>Thu</v>
      </c>
      <c r="AD1" s="17" t="str">
        <f t="shared" si="0"/>
        <v>Fri</v>
      </c>
      <c r="AE1" s="17" t="str">
        <f t="shared" si="0"/>
        <v>Sat</v>
      </c>
      <c r="AF1" s="17" t="str">
        <f t="shared" si="0"/>
        <v>Sun</v>
      </c>
      <c r="AG1" s="17" t="str">
        <f t="shared" si="0"/>
        <v/>
      </c>
      <c r="AH1" s="33" t="s">
        <v>106</v>
      </c>
      <c r="AI1" s="31" t="s">
        <v>107</v>
      </c>
      <c r="AJ1" s="31" t="s">
        <v>108</v>
      </c>
      <c r="AK1" s="31" t="s">
        <v>109</v>
      </c>
      <c r="AL1" s="31" t="s">
        <v>110</v>
      </c>
      <c r="AM1" s="5" t="s">
        <v>81</v>
      </c>
      <c r="AN1" s="10" t="s">
        <v>99</v>
      </c>
    </row>
    <row r="2" spans="1:40">
      <c r="A2" s="27"/>
      <c r="B2" t="s">
        <v>111</v>
      </c>
      <c r="C2" s="18">
        <f>IF(COLUMNS($C$2:C2)&gt;DAY($AN$4),"",$AN$3+COLUMNS($C$2:C2)-1)</f>
        <v>45444</v>
      </c>
      <c r="D2" s="18">
        <f>IF(COLUMNS($C$2:D2)&gt;DAY($AN$4),"",$AN$3+COLUMNS($C$2:D2)-1)</f>
        <v>45445</v>
      </c>
      <c r="E2" s="18">
        <f>IF(COLUMNS($C$2:E2)&gt;DAY($AN$4),"",$AN$3+COLUMNS($C$2:E2)-1)</f>
        <v>45446</v>
      </c>
      <c r="F2" s="18">
        <f>IF(COLUMNS($C$2:F2)&gt;DAY($AN$4),"",$AN$3+COLUMNS($C$2:F2)-1)</f>
        <v>45447</v>
      </c>
      <c r="G2" s="18">
        <f>IF(COLUMNS($C$2:G2)&gt;DAY($AN$4),"",$AN$3+COLUMNS($C$2:G2)-1)</f>
        <v>45448</v>
      </c>
      <c r="H2" s="18">
        <f>IF(COLUMNS($C$2:H2)&gt;DAY($AN$4),"",$AN$3+COLUMNS($C$2:H2)-1)</f>
        <v>45449</v>
      </c>
      <c r="I2" s="18">
        <f>IF(COLUMNS($C$2:I2)&gt;DAY($AN$4),"",$AN$3+COLUMNS($C$2:I2)-1)</f>
        <v>45450</v>
      </c>
      <c r="J2" s="18">
        <f>IF(COLUMNS($C$2:J2)&gt;DAY($AN$4),"",$AN$3+COLUMNS($C$2:J2)-1)</f>
        <v>45451</v>
      </c>
      <c r="K2" s="18">
        <f>IF(COLUMNS($C$2:K2)&gt;DAY($AN$4),"",$AN$3+COLUMNS($C$2:K2)-1)</f>
        <v>45452</v>
      </c>
      <c r="L2" s="18">
        <f>IF(COLUMNS($C$2:L2)&gt;DAY($AN$4),"",$AN$3+COLUMNS($C$2:L2)-1)</f>
        <v>45453</v>
      </c>
      <c r="M2" s="18">
        <f>IF(COLUMNS($C$2:M2)&gt;DAY($AN$4),"",$AN$3+COLUMNS($C$2:M2)-1)</f>
        <v>45454</v>
      </c>
      <c r="N2" s="18">
        <f>IF(COLUMNS($C$2:N2)&gt;DAY($AN$4),"",$AN$3+COLUMNS($C$2:N2)-1)</f>
        <v>45455</v>
      </c>
      <c r="O2" s="18">
        <f>IF(COLUMNS($C$2:O2)&gt;DAY($AN$4),"",$AN$3+COLUMNS($C$2:O2)-1)</f>
        <v>45456</v>
      </c>
      <c r="P2" s="18">
        <f>IF(COLUMNS($C$2:P2)&gt;DAY($AN$4),"",$AN$3+COLUMNS($C$2:P2)-1)</f>
        <v>45457</v>
      </c>
      <c r="Q2" s="18">
        <f>IF(COLUMNS($C$2:Q2)&gt;DAY($AN$4),"",$AN$3+COLUMNS($C$2:Q2)-1)</f>
        <v>45458</v>
      </c>
      <c r="R2" s="18">
        <f>IF(COLUMNS($C$2:R2)&gt;DAY($AN$4),"",$AN$3+COLUMNS($C$2:R2)-1)</f>
        <v>45459</v>
      </c>
      <c r="S2" s="18">
        <f>IF(COLUMNS($C$2:S2)&gt;DAY($AN$4),"",$AN$3+COLUMNS($C$2:S2)-1)</f>
        <v>45460</v>
      </c>
      <c r="T2" s="18">
        <f>IF(COLUMNS($C$2:T2)&gt;DAY($AN$4),"",$AN$3+COLUMNS($C$2:T2)-1)</f>
        <v>45461</v>
      </c>
      <c r="U2" s="18">
        <f>IF(COLUMNS($C$2:U2)&gt;DAY($AN$4),"",$AN$3+COLUMNS($C$2:U2)-1)</f>
        <v>45462</v>
      </c>
      <c r="V2" s="18">
        <f>IF(COLUMNS($C$2:V2)&gt;DAY($AN$4),"",$AN$3+COLUMNS($C$2:V2)-1)</f>
        <v>45463</v>
      </c>
      <c r="W2" s="18">
        <f>IF(COLUMNS($C$2:W2)&gt;DAY($AN$4),"",$AN$3+COLUMNS($C$2:W2)-1)</f>
        <v>45464</v>
      </c>
      <c r="X2" s="18">
        <f>IF(COLUMNS($C$2:X2)&gt;DAY($AN$4),"",$AN$3+COLUMNS($C$2:X2)-1)</f>
        <v>45465</v>
      </c>
      <c r="Y2" s="18">
        <f>IF(COLUMNS($C$2:Y2)&gt;DAY($AN$4),"",$AN$3+COLUMNS($C$2:Y2)-1)</f>
        <v>45466</v>
      </c>
      <c r="Z2" s="18">
        <f>IF(COLUMNS($C$2:Z2)&gt;DAY($AN$4),"",$AN$3+COLUMNS($C$2:Z2)-1)</f>
        <v>45467</v>
      </c>
      <c r="AA2" s="18">
        <f>IF(COLUMNS($C$2:AA2)&gt;DAY($AN$4),"",$AN$3+COLUMNS($C$2:AA2)-1)</f>
        <v>45468</v>
      </c>
      <c r="AB2" s="18">
        <f>IF(COLUMNS($C$2:AB2)&gt;DAY($AN$4),"",$AN$3+COLUMNS($C$2:AB2)-1)</f>
        <v>45469</v>
      </c>
      <c r="AC2" s="18">
        <f>IF(COLUMNS($C$2:AC2)&gt;DAY($AN$4),"",$AN$3+COLUMNS($C$2:AC2)-1)</f>
        <v>45470</v>
      </c>
      <c r="AD2" s="18">
        <f>IF(COLUMNS($C$2:AD2)&gt;DAY($AN$4),"",$AN$3+COLUMNS($C$2:AD2)-1)</f>
        <v>45471</v>
      </c>
      <c r="AE2" s="18">
        <f>IF(COLUMNS($C$2:AE2)&gt;DAY($AN$4),"",$AN$3+COLUMNS($C$2:AE2)-1)</f>
        <v>45472</v>
      </c>
      <c r="AF2" s="18">
        <f>IF(COLUMNS($C$2:AF2)&gt;DAY($AN$4),"",$AN$3+COLUMNS($C$2:AF2)-1)</f>
        <v>45473</v>
      </c>
      <c r="AG2" s="18" t="str">
        <f>IF(COLUMNS($C$2:AG2)&gt;DAY($AN$4),"",$AN$3+COLUMNS($C$2:AG2)-1)</f>
        <v/>
      </c>
      <c r="AH2" s="34"/>
      <c r="AI2" s="32"/>
      <c r="AJ2" s="32"/>
      <c r="AK2" s="32"/>
      <c r="AL2" s="32"/>
      <c r="AM2" s="6" t="s">
        <v>83</v>
      </c>
      <c r="AN2" s="11">
        <v>2024</v>
      </c>
    </row>
    <row r="3" spans="1:40">
      <c r="A3" s="27"/>
      <c r="B3" t="s">
        <v>88</v>
      </c>
      <c r="C3" t="s">
        <v>112</v>
      </c>
      <c r="D3" t="s">
        <v>112</v>
      </c>
      <c r="E3" t="s">
        <v>112</v>
      </c>
      <c r="F3" t="s">
        <v>112</v>
      </c>
      <c r="G3" t="s">
        <v>112</v>
      </c>
      <c r="H3" t="s">
        <v>112</v>
      </c>
      <c r="I3" t="s">
        <v>112</v>
      </c>
      <c r="J3" t="s">
        <v>112</v>
      </c>
      <c r="K3" t="s">
        <v>112</v>
      </c>
      <c r="L3" t="s">
        <v>112</v>
      </c>
      <c r="M3" t="s">
        <v>112</v>
      </c>
      <c r="N3" t="s">
        <v>112</v>
      </c>
      <c r="O3" t="s">
        <v>112</v>
      </c>
      <c r="P3" t="s">
        <v>112</v>
      </c>
      <c r="Q3" t="s">
        <v>112</v>
      </c>
      <c r="R3" t="s">
        <v>112</v>
      </c>
      <c r="S3" t="s">
        <v>112</v>
      </c>
      <c r="T3" t="s">
        <v>112</v>
      </c>
      <c r="U3" t="s">
        <v>112</v>
      </c>
      <c r="V3" t="s">
        <v>112</v>
      </c>
      <c r="W3" t="s">
        <v>112</v>
      </c>
      <c r="X3" t="s">
        <v>113</v>
      </c>
      <c r="Y3" t="s">
        <v>112</v>
      </c>
      <c r="Z3" t="s">
        <v>112</v>
      </c>
      <c r="AA3" t="s">
        <v>112</v>
      </c>
      <c r="AB3" t="s">
        <v>112</v>
      </c>
      <c r="AC3" t="s">
        <v>112</v>
      </c>
      <c r="AD3" t="s">
        <v>112</v>
      </c>
      <c r="AE3" t="s">
        <v>112</v>
      </c>
      <c r="AF3" t="s">
        <v>112</v>
      </c>
      <c r="AG3"/>
      <c r="AH3" s="16">
        <v>50000</v>
      </c>
      <c r="AI3" s="16">
        <f>COUNTIF($C3:$AG3,"P")</f>
        <v>29</v>
      </c>
      <c r="AJ3" s="16">
        <f>COUNTIF($C3:$AG3,"Ab")</f>
        <v>1</v>
      </c>
      <c r="AK3" s="16">
        <f>COUNTIF($C3:$AG3,"L")</f>
        <v>0</v>
      </c>
      <c r="AL3" s="16">
        <f>AH3/30*(AI3+AK3)</f>
        <v>48333.333333333336</v>
      </c>
      <c r="AM3" s="7" t="s">
        <v>84</v>
      </c>
      <c r="AN3" s="4">
        <f>DATE(AN2,MONTH(AN1&amp;1),1)</f>
        <v>45444</v>
      </c>
    </row>
    <row r="4" spans="1:40">
      <c r="A4" s="27"/>
      <c r="B4" t="s">
        <v>89</v>
      </c>
      <c r="C4" t="s">
        <v>112</v>
      </c>
      <c r="D4" t="s">
        <v>113</v>
      </c>
      <c r="E4" t="s">
        <v>112</v>
      </c>
      <c r="F4" t="s">
        <v>112</v>
      </c>
      <c r="G4" t="s">
        <v>112</v>
      </c>
      <c r="H4" t="s">
        <v>112</v>
      </c>
      <c r="I4" t="s">
        <v>112</v>
      </c>
      <c r="J4" t="s">
        <v>112</v>
      </c>
      <c r="K4" t="s">
        <v>112</v>
      </c>
      <c r="L4" t="s">
        <v>112</v>
      </c>
      <c r="M4" t="s">
        <v>112</v>
      </c>
      <c r="N4" t="s">
        <v>112</v>
      </c>
      <c r="O4" t="s">
        <v>112</v>
      </c>
      <c r="P4" t="s">
        <v>113</v>
      </c>
      <c r="Q4" t="s">
        <v>112</v>
      </c>
      <c r="R4" t="s">
        <v>112</v>
      </c>
      <c r="S4" t="s">
        <v>112</v>
      </c>
      <c r="T4" t="s">
        <v>112</v>
      </c>
      <c r="U4" t="s">
        <v>112</v>
      </c>
      <c r="V4" t="s">
        <v>112</v>
      </c>
      <c r="W4" t="s">
        <v>112</v>
      </c>
      <c r="X4" t="s">
        <v>112</v>
      </c>
      <c r="Y4" t="s">
        <v>112</v>
      </c>
      <c r="Z4" t="s">
        <v>112</v>
      </c>
      <c r="AA4" t="s">
        <v>112</v>
      </c>
      <c r="AB4" t="s">
        <v>112</v>
      </c>
      <c r="AC4" t="s">
        <v>112</v>
      </c>
      <c r="AD4" t="s">
        <v>112</v>
      </c>
      <c r="AE4" t="s">
        <v>112</v>
      </c>
      <c r="AF4" t="s">
        <v>112</v>
      </c>
      <c r="AG4"/>
      <c r="AH4" s="25">
        <v>15000</v>
      </c>
      <c r="AI4" s="16">
        <f t="shared" ref="AI4:AI6" si="1">COUNTIF($C4:$AG4,"P")</f>
        <v>28</v>
      </c>
      <c r="AJ4" s="16">
        <f t="shared" ref="AJ4:AJ6" si="2">COUNTIF($C4:$AG4,"Ab")</f>
        <v>2</v>
      </c>
      <c r="AK4" s="16">
        <f t="shared" ref="AK4:AK6" si="3">COUNTIF($C4:$AG4,"L")</f>
        <v>0</v>
      </c>
      <c r="AL4" s="16">
        <f t="shared" ref="AL4:AL6" si="4">AH4/30*(AI4+AK4)</f>
        <v>14000</v>
      </c>
      <c r="AM4" s="7" t="s">
        <v>85</v>
      </c>
      <c r="AN4" s="4">
        <f>EOMONTH(AN3,0)</f>
        <v>45473</v>
      </c>
    </row>
    <row r="5" spans="1:40">
      <c r="A5" s="27"/>
      <c r="B5" t="s">
        <v>90</v>
      </c>
      <c r="C5" t="s">
        <v>112</v>
      </c>
      <c r="D5" t="s">
        <v>112</v>
      </c>
      <c r="E5" t="s">
        <v>112</v>
      </c>
      <c r="F5" t="s">
        <v>112</v>
      </c>
      <c r="G5" t="s">
        <v>112</v>
      </c>
      <c r="H5" t="s">
        <v>112</v>
      </c>
      <c r="I5" t="s">
        <v>112</v>
      </c>
      <c r="J5" t="s">
        <v>113</v>
      </c>
      <c r="K5" t="s">
        <v>112</v>
      </c>
      <c r="L5" t="s">
        <v>112</v>
      </c>
      <c r="M5" t="s">
        <v>112</v>
      </c>
      <c r="N5" t="s">
        <v>112</v>
      </c>
      <c r="O5" t="s">
        <v>112</v>
      </c>
      <c r="P5" t="s">
        <v>112</v>
      </c>
      <c r="Q5" t="s">
        <v>112</v>
      </c>
      <c r="R5" t="s">
        <v>112</v>
      </c>
      <c r="S5" t="s">
        <v>112</v>
      </c>
      <c r="T5" t="s">
        <v>112</v>
      </c>
      <c r="U5" t="s">
        <v>112</v>
      </c>
      <c r="V5" t="s">
        <v>112</v>
      </c>
      <c r="W5" t="s">
        <v>112</v>
      </c>
      <c r="X5" t="s">
        <v>112</v>
      </c>
      <c r="Y5" t="s">
        <v>112</v>
      </c>
      <c r="Z5" t="s">
        <v>112</v>
      </c>
      <c r="AA5" t="s">
        <v>112</v>
      </c>
      <c r="AB5" t="s">
        <v>112</v>
      </c>
      <c r="AC5" t="s">
        <v>112</v>
      </c>
      <c r="AD5" t="s">
        <v>112</v>
      </c>
      <c r="AE5" t="s">
        <v>112</v>
      </c>
      <c r="AF5" t="s">
        <v>112</v>
      </c>
      <c r="AG5"/>
      <c r="AH5" s="25">
        <v>18000</v>
      </c>
      <c r="AI5" s="16">
        <f t="shared" si="1"/>
        <v>29</v>
      </c>
      <c r="AJ5" s="16">
        <f t="shared" si="2"/>
        <v>1</v>
      </c>
      <c r="AK5" s="16">
        <f t="shared" si="3"/>
        <v>0</v>
      </c>
      <c r="AL5" s="16">
        <f t="shared" si="4"/>
        <v>17400</v>
      </c>
    </row>
    <row r="6" spans="1:40">
      <c r="A6" s="27"/>
      <c r="B6" t="s">
        <v>91</v>
      </c>
      <c r="C6" t="s">
        <v>112</v>
      </c>
      <c r="D6" t="s">
        <v>112</v>
      </c>
      <c r="E6" t="s">
        <v>112</v>
      </c>
      <c r="F6" t="s">
        <v>112</v>
      </c>
      <c r="G6" t="s">
        <v>112</v>
      </c>
      <c r="H6" t="s">
        <v>112</v>
      </c>
      <c r="I6" t="s">
        <v>112</v>
      </c>
      <c r="J6" t="s">
        <v>113</v>
      </c>
      <c r="K6" t="s">
        <v>112</v>
      </c>
      <c r="L6" t="s">
        <v>112</v>
      </c>
      <c r="M6" t="s">
        <v>112</v>
      </c>
      <c r="N6" t="s">
        <v>112</v>
      </c>
      <c r="O6" t="s">
        <v>112</v>
      </c>
      <c r="P6" t="s">
        <v>112</v>
      </c>
      <c r="Q6" t="s">
        <v>112</v>
      </c>
      <c r="R6" t="s">
        <v>112</v>
      </c>
      <c r="S6" t="s">
        <v>112</v>
      </c>
      <c r="T6" t="s">
        <v>112</v>
      </c>
      <c r="U6" t="s">
        <v>112</v>
      </c>
      <c r="V6" t="s">
        <v>112</v>
      </c>
      <c r="W6" t="s">
        <v>112</v>
      </c>
      <c r="X6" t="s">
        <v>113</v>
      </c>
      <c r="Y6" t="s">
        <v>112</v>
      </c>
      <c r="Z6" t="s">
        <v>112</v>
      </c>
      <c r="AA6" t="s">
        <v>112</v>
      </c>
      <c r="AB6" t="s">
        <v>112</v>
      </c>
      <c r="AC6" t="s">
        <v>112</v>
      </c>
      <c r="AD6" t="s">
        <v>112</v>
      </c>
      <c r="AE6" t="s">
        <v>112</v>
      </c>
      <c r="AF6" t="s">
        <v>112</v>
      </c>
      <c r="AG6"/>
      <c r="AH6" s="25">
        <v>10000</v>
      </c>
      <c r="AI6" s="16">
        <f t="shared" si="1"/>
        <v>28</v>
      </c>
      <c r="AJ6" s="16">
        <f t="shared" si="2"/>
        <v>2</v>
      </c>
      <c r="AK6" s="16">
        <f t="shared" si="3"/>
        <v>0</v>
      </c>
      <c r="AL6" s="16">
        <f t="shared" si="4"/>
        <v>9333.3333333333321</v>
      </c>
    </row>
    <row r="7" spans="1:40">
      <c r="A7" s="27"/>
      <c r="C7"/>
      <c r="D7"/>
      <c r="E7"/>
      <c r="F7"/>
      <c r="G7"/>
      <c r="H7"/>
      <c r="I7"/>
      <c r="J7"/>
      <c r="K7"/>
      <c r="L7"/>
      <c r="M7"/>
      <c r="N7"/>
      <c r="O7"/>
      <c r="P7"/>
      <c r="Q7"/>
      <c r="R7"/>
      <c r="S7"/>
      <c r="T7"/>
      <c r="U7"/>
      <c r="V7"/>
      <c r="W7"/>
      <c r="X7"/>
      <c r="Y7"/>
      <c r="Z7"/>
      <c r="AA7"/>
      <c r="AB7"/>
      <c r="AC7"/>
      <c r="AD7"/>
      <c r="AE7"/>
      <c r="AF7"/>
      <c r="AG7"/>
      <c r="AH7" s="25"/>
    </row>
    <row r="8" spans="1:40">
      <c r="A8" s="27"/>
      <c r="C8"/>
      <c r="D8"/>
      <c r="E8"/>
      <c r="F8"/>
      <c r="G8"/>
      <c r="H8"/>
      <c r="I8"/>
      <c r="J8"/>
      <c r="K8"/>
      <c r="L8"/>
      <c r="M8"/>
      <c r="N8"/>
      <c r="O8"/>
      <c r="P8"/>
      <c r="Q8"/>
      <c r="R8"/>
      <c r="S8"/>
      <c r="T8"/>
      <c r="U8"/>
      <c r="V8"/>
      <c r="W8"/>
      <c r="X8"/>
      <c r="Y8"/>
      <c r="Z8"/>
      <c r="AA8"/>
      <c r="AB8"/>
      <c r="AC8"/>
      <c r="AD8"/>
      <c r="AE8"/>
      <c r="AF8"/>
      <c r="AG8"/>
    </row>
    <row r="9" spans="1:40">
      <c r="A9" s="27"/>
      <c r="C9"/>
      <c r="D9"/>
      <c r="E9"/>
      <c r="F9"/>
      <c r="G9"/>
      <c r="H9"/>
      <c r="I9"/>
      <c r="J9"/>
      <c r="K9"/>
      <c r="L9"/>
      <c r="M9"/>
      <c r="N9"/>
      <c r="O9"/>
      <c r="P9"/>
      <c r="Q9"/>
      <c r="R9"/>
      <c r="S9"/>
      <c r="T9"/>
      <c r="U9"/>
      <c r="V9"/>
      <c r="W9"/>
      <c r="X9"/>
      <c r="Y9"/>
      <c r="Z9"/>
      <c r="AA9"/>
      <c r="AB9"/>
      <c r="AC9"/>
      <c r="AD9"/>
      <c r="AE9"/>
      <c r="AF9"/>
      <c r="AG9"/>
    </row>
    <row r="10" spans="1:40">
      <c r="A10" s="27"/>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row>
    <row r="11" spans="1:40">
      <c r="A11" s="27"/>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row>
    <row r="12" spans="1:40">
      <c r="A12" s="27"/>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row>
    <row r="13" spans="1:40">
      <c r="A13" s="27"/>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row>
    <row r="14" spans="1:40">
      <c r="A14" s="27"/>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row>
    <row r="15" spans="1:40">
      <c r="A15" s="27"/>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row>
    <row r="16" spans="1:40">
      <c r="A16" s="27"/>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row>
    <row r="17" spans="1:1">
      <c r="A17" s="27"/>
    </row>
    <row r="18" spans="1:1">
      <c r="A18" s="27"/>
    </row>
    <row r="19" spans="1:1">
      <c r="A19" s="27"/>
    </row>
    <row r="20" spans="1:1">
      <c r="A20" s="27"/>
    </row>
    <row r="21" spans="1:1">
      <c r="A21" s="27"/>
    </row>
    <row r="22" spans="1:1">
      <c r="A22" s="27"/>
    </row>
    <row r="23" spans="1:1">
      <c r="A23" s="27"/>
    </row>
    <row r="24" spans="1:1">
      <c r="A24" s="27"/>
    </row>
    <row r="25" spans="1:1">
      <c r="A25" s="27"/>
    </row>
    <row r="26" spans="1:1">
      <c r="A26" s="27"/>
    </row>
    <row r="27" spans="1:1">
      <c r="A27" s="27"/>
    </row>
    <row r="28" spans="1:1">
      <c r="A28" s="27"/>
    </row>
    <row r="29" spans="1:1">
      <c r="A29" s="27"/>
    </row>
    <row r="30" spans="1:1">
      <c r="A30" s="27"/>
    </row>
    <row r="31" spans="1:1">
      <c r="A31" s="27"/>
    </row>
    <row r="32" spans="1:1">
      <c r="A32" s="27"/>
    </row>
    <row r="33" spans="1:1">
      <c r="A33" s="27"/>
    </row>
    <row r="34" spans="1:1">
      <c r="A34" s="27"/>
    </row>
    <row r="35" spans="1:1">
      <c r="A35" s="27"/>
    </row>
    <row r="36" spans="1:1">
      <c r="A36" s="27"/>
    </row>
    <row r="37" spans="1:1">
      <c r="A37" s="27"/>
    </row>
    <row r="38" spans="1:1">
      <c r="A38" s="27"/>
    </row>
    <row r="39" spans="1:1">
      <c r="A39" s="27"/>
    </row>
    <row r="40" spans="1:1">
      <c r="A40" s="27"/>
    </row>
    <row r="41" spans="1:1">
      <c r="A41" s="27"/>
    </row>
    <row r="42" spans="1:1">
      <c r="A42" s="27"/>
    </row>
    <row r="43" spans="1:1">
      <c r="A43" s="27"/>
    </row>
    <row r="44" spans="1:1">
      <c r="A44" s="27"/>
    </row>
    <row r="45" spans="1:1">
      <c r="A45" s="27"/>
    </row>
    <row r="46" spans="1:1">
      <c r="A46" s="27"/>
    </row>
    <row r="47" spans="1:1">
      <c r="A47" s="27"/>
    </row>
    <row r="48" spans="1:1">
      <c r="A48" s="27"/>
    </row>
    <row r="49" spans="1:1">
      <c r="A49" s="27"/>
    </row>
    <row r="50" spans="1:1">
      <c r="A50" s="27"/>
    </row>
    <row r="51" spans="1:1">
      <c r="A51" s="27"/>
    </row>
    <row r="52" spans="1:1">
      <c r="A52" s="27"/>
    </row>
    <row r="53" spans="1:1">
      <c r="A53" s="27"/>
    </row>
    <row r="54" spans="1:1">
      <c r="A54" s="27"/>
    </row>
    <row r="55" spans="1:1">
      <c r="A55" s="27"/>
    </row>
    <row r="56" spans="1:1">
      <c r="A56" s="27"/>
    </row>
    <row r="57" spans="1:1">
      <c r="A57" s="27"/>
    </row>
    <row r="58" spans="1:1">
      <c r="A58" s="27"/>
    </row>
    <row r="59" spans="1:1">
      <c r="A59" s="27"/>
    </row>
    <row r="60" spans="1:1">
      <c r="A60" s="27"/>
    </row>
    <row r="61" spans="1:1">
      <c r="A61" s="27"/>
    </row>
    <row r="62" spans="1:1">
      <c r="A62" s="27"/>
    </row>
    <row r="63" spans="1:1">
      <c r="A63" s="27"/>
    </row>
    <row r="64" spans="1:1">
      <c r="A64" s="27"/>
    </row>
    <row r="65" spans="1:1">
      <c r="A65" s="27"/>
    </row>
    <row r="66" spans="1:1">
      <c r="A66" s="27"/>
    </row>
    <row r="67" spans="1:1">
      <c r="A67" s="27"/>
    </row>
    <row r="68" spans="1:1">
      <c r="A68" s="27"/>
    </row>
    <row r="69" spans="1:1">
      <c r="A69" s="27"/>
    </row>
    <row r="70" spans="1:1">
      <c r="A70" s="27"/>
    </row>
    <row r="71" spans="1:1">
      <c r="A71" s="27"/>
    </row>
    <row r="72" spans="1:1">
      <c r="A72" s="27"/>
    </row>
    <row r="73" spans="1:1">
      <c r="A73" s="27"/>
    </row>
    <row r="74" spans="1:1">
      <c r="A74" s="27"/>
    </row>
    <row r="75" spans="1:1">
      <c r="A75" s="27"/>
    </row>
    <row r="76" spans="1:1">
      <c r="A76" s="27"/>
    </row>
    <row r="77" spans="1:1">
      <c r="A77" s="27"/>
    </row>
    <row r="78" spans="1:1">
      <c r="A78" s="27"/>
    </row>
    <row r="79" spans="1:1">
      <c r="A79" s="27"/>
    </row>
    <row r="80" spans="1:1">
      <c r="A80" s="27"/>
    </row>
    <row r="81" spans="1:1">
      <c r="A81" s="27"/>
    </row>
    <row r="82" spans="1:1">
      <c r="A82" s="27"/>
    </row>
    <row r="83" spans="1:1">
      <c r="A83" s="27"/>
    </row>
    <row r="84" spans="1:1">
      <c r="A84" s="27"/>
    </row>
    <row r="85" spans="1:1">
      <c r="A85" s="27"/>
    </row>
    <row r="86" spans="1:1">
      <c r="A86" s="27"/>
    </row>
    <row r="87" spans="1:1">
      <c r="A87" s="27"/>
    </row>
  </sheetData>
  <mergeCells count="8">
    <mergeCell ref="AL1:AL2"/>
    <mergeCell ref="A1:A29"/>
    <mergeCell ref="A30:A58"/>
    <mergeCell ref="A59:A87"/>
    <mergeCell ref="AH1:AH2"/>
    <mergeCell ref="AI1:AI2"/>
    <mergeCell ref="AJ1:AJ2"/>
    <mergeCell ref="AK1:AK2"/>
  </mergeCells>
  <conditionalFormatting sqref="C3:AG9">
    <cfRule type="containsText" dxfId="21" priority="1" operator="containsText" text="l">
      <formula>NOT(ISERROR(SEARCH("l",C3)))</formula>
    </cfRule>
    <cfRule type="containsText" dxfId="20" priority="2" operator="containsText" text="ab">
      <formula>NOT(ISERROR(SEARCH("ab",C3)))</formula>
    </cfRule>
    <cfRule type="containsText" dxfId="19" priority="3" operator="containsText" text="p">
      <formula>NOT(ISERROR(SEARCH("p",C3)))</formula>
    </cfRule>
  </conditionalFormatting>
  <dataValidations count="3">
    <dataValidation type="list" allowBlank="1" showInputMessage="1" showErrorMessage="1" sqref="AN2" xr:uid="{00000000-0002-0000-1300-000000000000}">
      <formula1>"2020,2021,2022,2023,2024,2025,2026,2027,2028,2029,2030"</formula1>
    </dataValidation>
    <dataValidation type="list" allowBlank="1" showInputMessage="1" showErrorMessage="1" sqref="AN1" xr:uid="{00000000-0002-0000-1300-000001000000}">
      <formula1>"January,February,March,Aprail,May,June,July,August,September,October,November,December"</formula1>
    </dataValidation>
    <dataValidation type="list" allowBlank="1" showInputMessage="1" showErrorMessage="1" sqref="C3:AG9" xr:uid="{00000000-0002-0000-1300-000002000000}">
      <formula1>"p,ab,l"</formula1>
    </dataValidation>
  </dataValidation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0"/>
  <dimension ref="A1:AN87"/>
  <sheetViews>
    <sheetView workbookViewId="0">
      <pane xSplit="1" topLeftCell="Y1" activePane="topRight" state="frozenSplit"/>
      <selection pane="topRight" activeCell="AL8" sqref="AL8"/>
    </sheetView>
  </sheetViews>
  <sheetFormatPr defaultRowHeight="15"/>
  <cols>
    <col min="1" max="1" width="16.85546875" bestFit="1" customWidth="1"/>
    <col min="2" max="2" width="15.7109375" customWidth="1"/>
    <col min="3" max="3" width="5.140625" style="12" customWidth="1"/>
    <col min="4" max="4" width="4.28515625" style="12" customWidth="1"/>
    <col min="5" max="5" width="5.28515625" style="12" customWidth="1"/>
    <col min="6" max="6" width="4.28515625" style="12" customWidth="1"/>
    <col min="7" max="7" width="3.42578125" style="12" customWidth="1"/>
    <col min="8" max="8" width="3.7109375" style="12" customWidth="1"/>
    <col min="9" max="9" width="4.28515625" style="12" customWidth="1"/>
    <col min="10" max="10" width="5.140625" style="12" customWidth="1"/>
    <col min="11" max="11" width="4.28515625" style="12" customWidth="1"/>
    <col min="12" max="12" width="5.28515625" style="12" customWidth="1"/>
    <col min="13" max="13" width="4.28515625" style="12" customWidth="1"/>
    <col min="14" max="14" width="3.28515625" style="12" customWidth="1"/>
    <col min="15" max="15" width="3.7109375" style="12" customWidth="1"/>
    <col min="16" max="16" width="4.28515625" style="12" customWidth="1"/>
    <col min="17" max="17" width="5.140625" style="12" customWidth="1"/>
    <col min="18" max="18" width="4.28515625" style="12" customWidth="1"/>
    <col min="19" max="19" width="5.28515625" style="12" customWidth="1"/>
    <col min="20" max="20" width="4.28515625" style="12" customWidth="1"/>
    <col min="21" max="21" width="3.28515625" style="12" customWidth="1"/>
    <col min="22" max="22" width="3.7109375" style="12" customWidth="1"/>
    <col min="23" max="23" width="4.28515625" style="12" customWidth="1"/>
    <col min="24" max="24" width="5.140625" style="12" customWidth="1"/>
    <col min="25" max="25" width="4.28515625" style="12" customWidth="1"/>
    <col min="26" max="26" width="5.28515625" style="12" customWidth="1"/>
    <col min="27" max="27" width="4.28515625" style="12" customWidth="1"/>
    <col min="28" max="28" width="3.42578125" style="12" customWidth="1"/>
    <col min="29" max="29" width="3.7109375" style="12" customWidth="1"/>
    <col min="30" max="30" width="4.28515625" style="12" customWidth="1"/>
    <col min="31" max="31" width="5.140625" style="12" customWidth="1"/>
    <col min="32" max="32" width="4.28515625" style="12" customWidth="1"/>
    <col min="33" max="33" width="5.28515625" style="12" customWidth="1"/>
    <col min="34" max="34" width="19" customWidth="1"/>
    <col min="35" max="35" width="7.85546875" customWidth="1"/>
    <col min="36" max="36" width="7.28515625" customWidth="1"/>
    <col min="37" max="37" width="6.140625" customWidth="1"/>
    <col min="38" max="38" width="10" customWidth="1"/>
    <col min="39" max="39" width="12.42578125" customWidth="1"/>
    <col min="40" max="40" width="9.7109375" customWidth="1"/>
  </cols>
  <sheetData>
    <row r="1" spans="1:40">
      <c r="A1" s="27"/>
      <c r="C1" s="17" t="str">
        <f>TEXT(C2,"DDD")</f>
        <v>Mon</v>
      </c>
      <c r="D1" s="17" t="str">
        <f t="shared" ref="D1:AG1" si="0">TEXT(D2,"DDD")</f>
        <v>Tue</v>
      </c>
      <c r="E1" s="17" t="str">
        <f t="shared" si="0"/>
        <v>Wed</v>
      </c>
      <c r="F1" s="17" t="str">
        <f t="shared" si="0"/>
        <v>Thu</v>
      </c>
      <c r="G1" s="17" t="str">
        <f t="shared" si="0"/>
        <v>Fri</v>
      </c>
      <c r="H1" s="17" t="str">
        <f t="shared" si="0"/>
        <v>Sat</v>
      </c>
      <c r="I1" s="17" t="str">
        <f t="shared" si="0"/>
        <v>Sun</v>
      </c>
      <c r="J1" s="17" t="str">
        <f t="shared" si="0"/>
        <v>Mon</v>
      </c>
      <c r="K1" s="17" t="str">
        <f t="shared" si="0"/>
        <v>Tue</v>
      </c>
      <c r="L1" s="17" t="str">
        <f t="shared" si="0"/>
        <v>Wed</v>
      </c>
      <c r="M1" s="17" t="str">
        <f t="shared" si="0"/>
        <v>Thu</v>
      </c>
      <c r="N1" s="17" t="str">
        <f t="shared" si="0"/>
        <v>Fri</v>
      </c>
      <c r="O1" s="17" t="str">
        <f t="shared" si="0"/>
        <v>Sat</v>
      </c>
      <c r="P1" s="17" t="str">
        <f t="shared" si="0"/>
        <v>Sun</v>
      </c>
      <c r="Q1" s="17" t="str">
        <f t="shared" si="0"/>
        <v>Mon</v>
      </c>
      <c r="R1" s="17" t="str">
        <f t="shared" si="0"/>
        <v>Tue</v>
      </c>
      <c r="S1" s="17" t="str">
        <f t="shared" si="0"/>
        <v>Wed</v>
      </c>
      <c r="T1" s="17" t="str">
        <f t="shared" si="0"/>
        <v>Thu</v>
      </c>
      <c r="U1" s="17" t="str">
        <f t="shared" si="0"/>
        <v>Fri</v>
      </c>
      <c r="V1" s="17" t="str">
        <f t="shared" si="0"/>
        <v>Sat</v>
      </c>
      <c r="W1" s="17" t="str">
        <f t="shared" si="0"/>
        <v>Sun</v>
      </c>
      <c r="X1" s="17" t="str">
        <f t="shared" si="0"/>
        <v>Mon</v>
      </c>
      <c r="Y1" s="17" t="str">
        <f t="shared" si="0"/>
        <v>Tue</v>
      </c>
      <c r="Z1" s="17" t="str">
        <f t="shared" si="0"/>
        <v>Wed</v>
      </c>
      <c r="AA1" s="17" t="str">
        <f t="shared" si="0"/>
        <v>Thu</v>
      </c>
      <c r="AB1" s="17" t="str">
        <f t="shared" si="0"/>
        <v>Fri</v>
      </c>
      <c r="AC1" s="17" t="str">
        <f t="shared" si="0"/>
        <v>Sat</v>
      </c>
      <c r="AD1" s="17" t="str">
        <f t="shared" si="0"/>
        <v>Sun</v>
      </c>
      <c r="AE1" s="17" t="str">
        <f t="shared" si="0"/>
        <v>Mon</v>
      </c>
      <c r="AF1" s="17" t="str">
        <f t="shared" si="0"/>
        <v>Tue</v>
      </c>
      <c r="AG1" s="17" t="str">
        <f t="shared" si="0"/>
        <v>Wed</v>
      </c>
      <c r="AH1" s="33" t="s">
        <v>106</v>
      </c>
      <c r="AI1" s="31" t="s">
        <v>107</v>
      </c>
      <c r="AJ1" s="31" t="s">
        <v>108</v>
      </c>
      <c r="AK1" s="31" t="s">
        <v>109</v>
      </c>
      <c r="AL1" s="31" t="s">
        <v>110</v>
      </c>
      <c r="AM1" s="5" t="s">
        <v>81</v>
      </c>
      <c r="AN1" s="10" t="s">
        <v>100</v>
      </c>
    </row>
    <row r="2" spans="1:40">
      <c r="A2" s="27"/>
      <c r="B2" t="s">
        <v>111</v>
      </c>
      <c r="C2" s="18">
        <f>IF(COLUMNS($C$2:C2)&gt;DAY($AN$4),"",$AN$3+COLUMNS($C$2:C2)-1)</f>
        <v>45474</v>
      </c>
      <c r="D2" s="18">
        <f>IF(COLUMNS($C$2:D2)&gt;DAY($AN$4),"",$AN$3+COLUMNS($C$2:D2)-1)</f>
        <v>45475</v>
      </c>
      <c r="E2" s="18">
        <f>IF(COLUMNS($C$2:E2)&gt;DAY($AN$4),"",$AN$3+COLUMNS($C$2:E2)-1)</f>
        <v>45476</v>
      </c>
      <c r="F2" s="18">
        <f>IF(COLUMNS($C$2:F2)&gt;DAY($AN$4),"",$AN$3+COLUMNS($C$2:F2)-1)</f>
        <v>45477</v>
      </c>
      <c r="G2" s="18">
        <f>IF(COLUMNS($C$2:G2)&gt;DAY($AN$4),"",$AN$3+COLUMNS($C$2:G2)-1)</f>
        <v>45478</v>
      </c>
      <c r="H2" s="18">
        <f>IF(COLUMNS($C$2:H2)&gt;DAY($AN$4),"",$AN$3+COLUMNS($C$2:H2)-1)</f>
        <v>45479</v>
      </c>
      <c r="I2" s="18">
        <f>IF(COLUMNS($C$2:I2)&gt;DAY($AN$4),"",$AN$3+COLUMNS($C$2:I2)-1)</f>
        <v>45480</v>
      </c>
      <c r="J2" s="18">
        <f>IF(COLUMNS($C$2:J2)&gt;DAY($AN$4),"",$AN$3+COLUMNS($C$2:J2)-1)</f>
        <v>45481</v>
      </c>
      <c r="K2" s="18">
        <f>IF(COLUMNS($C$2:K2)&gt;DAY($AN$4),"",$AN$3+COLUMNS($C$2:K2)-1)</f>
        <v>45482</v>
      </c>
      <c r="L2" s="18">
        <f>IF(COLUMNS($C$2:L2)&gt;DAY($AN$4),"",$AN$3+COLUMNS($C$2:L2)-1)</f>
        <v>45483</v>
      </c>
      <c r="M2" s="18">
        <f>IF(COLUMNS($C$2:M2)&gt;DAY($AN$4),"",$AN$3+COLUMNS($C$2:M2)-1)</f>
        <v>45484</v>
      </c>
      <c r="N2" s="18">
        <f>IF(COLUMNS($C$2:N2)&gt;DAY($AN$4),"",$AN$3+COLUMNS($C$2:N2)-1)</f>
        <v>45485</v>
      </c>
      <c r="O2" s="18">
        <f>IF(COLUMNS($C$2:O2)&gt;DAY($AN$4),"",$AN$3+COLUMNS($C$2:O2)-1)</f>
        <v>45486</v>
      </c>
      <c r="P2" s="18">
        <f>IF(COLUMNS($C$2:P2)&gt;DAY($AN$4),"",$AN$3+COLUMNS($C$2:P2)-1)</f>
        <v>45487</v>
      </c>
      <c r="Q2" s="18">
        <f>IF(COLUMNS($C$2:Q2)&gt;DAY($AN$4),"",$AN$3+COLUMNS($C$2:Q2)-1)</f>
        <v>45488</v>
      </c>
      <c r="R2" s="18">
        <f>IF(COLUMNS($C$2:R2)&gt;DAY($AN$4),"",$AN$3+COLUMNS($C$2:R2)-1)</f>
        <v>45489</v>
      </c>
      <c r="S2" s="18">
        <f>IF(COLUMNS($C$2:S2)&gt;DAY($AN$4),"",$AN$3+COLUMNS($C$2:S2)-1)</f>
        <v>45490</v>
      </c>
      <c r="T2" s="18">
        <f>IF(COLUMNS($C$2:T2)&gt;DAY($AN$4),"",$AN$3+COLUMNS($C$2:T2)-1)</f>
        <v>45491</v>
      </c>
      <c r="U2" s="18">
        <f>IF(COLUMNS($C$2:U2)&gt;DAY($AN$4),"",$AN$3+COLUMNS($C$2:U2)-1)</f>
        <v>45492</v>
      </c>
      <c r="V2" s="18">
        <f>IF(COLUMNS($C$2:V2)&gt;DAY($AN$4),"",$AN$3+COLUMNS($C$2:V2)-1)</f>
        <v>45493</v>
      </c>
      <c r="W2" s="18">
        <f>IF(COLUMNS($C$2:W2)&gt;DAY($AN$4),"",$AN$3+COLUMNS($C$2:W2)-1)</f>
        <v>45494</v>
      </c>
      <c r="X2" s="18">
        <f>IF(COLUMNS($C$2:X2)&gt;DAY($AN$4),"",$AN$3+COLUMNS($C$2:X2)-1)</f>
        <v>45495</v>
      </c>
      <c r="Y2" s="18">
        <f>IF(COLUMNS($C$2:Y2)&gt;DAY($AN$4),"",$AN$3+COLUMNS($C$2:Y2)-1)</f>
        <v>45496</v>
      </c>
      <c r="Z2" s="18">
        <f>IF(COLUMNS($C$2:Z2)&gt;DAY($AN$4),"",$AN$3+COLUMNS($C$2:Z2)-1)</f>
        <v>45497</v>
      </c>
      <c r="AA2" s="18">
        <f>IF(COLUMNS($C$2:AA2)&gt;DAY($AN$4),"",$AN$3+COLUMNS($C$2:AA2)-1)</f>
        <v>45498</v>
      </c>
      <c r="AB2" s="18">
        <f>IF(COLUMNS($C$2:AB2)&gt;DAY($AN$4),"",$AN$3+COLUMNS($C$2:AB2)-1)</f>
        <v>45499</v>
      </c>
      <c r="AC2" s="18">
        <f>IF(COLUMNS($C$2:AC2)&gt;DAY($AN$4),"",$AN$3+COLUMNS($C$2:AC2)-1)</f>
        <v>45500</v>
      </c>
      <c r="AD2" s="18">
        <f>IF(COLUMNS($C$2:AD2)&gt;DAY($AN$4),"",$AN$3+COLUMNS($C$2:AD2)-1)</f>
        <v>45501</v>
      </c>
      <c r="AE2" s="18">
        <f>IF(COLUMNS($C$2:AE2)&gt;DAY($AN$4),"",$AN$3+COLUMNS($C$2:AE2)-1)</f>
        <v>45502</v>
      </c>
      <c r="AF2" s="18">
        <f>IF(COLUMNS($C$2:AF2)&gt;DAY($AN$4),"",$AN$3+COLUMNS($C$2:AF2)-1)</f>
        <v>45503</v>
      </c>
      <c r="AG2" s="18">
        <f>IF(COLUMNS($C$2:AG2)&gt;DAY($AN$4),"",$AN$3+COLUMNS($C$2:AG2)-1)</f>
        <v>45504</v>
      </c>
      <c r="AH2" s="34"/>
      <c r="AI2" s="32"/>
      <c r="AJ2" s="32"/>
      <c r="AK2" s="32"/>
      <c r="AL2" s="32"/>
      <c r="AM2" s="6" t="s">
        <v>83</v>
      </c>
      <c r="AN2" s="11">
        <v>2024</v>
      </c>
    </row>
    <row r="3" spans="1:40">
      <c r="A3" s="27"/>
      <c r="B3" t="s">
        <v>88</v>
      </c>
      <c r="C3" t="s">
        <v>112</v>
      </c>
      <c r="D3" t="s">
        <v>112</v>
      </c>
      <c r="E3" t="s">
        <v>112</v>
      </c>
      <c r="F3" t="s">
        <v>112</v>
      </c>
      <c r="G3" t="s">
        <v>112</v>
      </c>
      <c r="H3" t="s">
        <v>112</v>
      </c>
      <c r="I3" t="s">
        <v>113</v>
      </c>
      <c r="J3" t="s">
        <v>112</v>
      </c>
      <c r="K3" t="s">
        <v>112</v>
      </c>
      <c r="L3" t="s">
        <v>112</v>
      </c>
      <c r="M3" t="s">
        <v>112</v>
      </c>
      <c r="N3" t="s">
        <v>112</v>
      </c>
      <c r="O3" t="s">
        <v>112</v>
      </c>
      <c r="P3" t="s">
        <v>112</v>
      </c>
      <c r="Q3" t="s">
        <v>112</v>
      </c>
      <c r="R3" t="s">
        <v>112</v>
      </c>
      <c r="S3" t="s">
        <v>112</v>
      </c>
      <c r="T3" t="s">
        <v>112</v>
      </c>
      <c r="U3" t="s">
        <v>112</v>
      </c>
      <c r="V3" t="s">
        <v>112</v>
      </c>
      <c r="W3" t="s">
        <v>112</v>
      </c>
      <c r="X3" t="s">
        <v>112</v>
      </c>
      <c r="Y3" t="s">
        <v>112</v>
      </c>
      <c r="Z3" t="s">
        <v>112</v>
      </c>
      <c r="AA3" t="s">
        <v>112</v>
      </c>
      <c r="AB3" t="s">
        <v>112</v>
      </c>
      <c r="AC3" t="s">
        <v>112</v>
      </c>
      <c r="AD3" t="s">
        <v>112</v>
      </c>
      <c r="AE3" t="s">
        <v>112</v>
      </c>
      <c r="AF3" t="s">
        <v>112</v>
      </c>
      <c r="AG3" t="s">
        <v>113</v>
      </c>
      <c r="AH3" s="16">
        <v>50000</v>
      </c>
      <c r="AI3" s="16">
        <f>COUNTIF($C3:$AG3,"P")</f>
        <v>29</v>
      </c>
      <c r="AJ3" s="16">
        <f>COUNTIF($C3:$AG3,"Ab")</f>
        <v>2</v>
      </c>
      <c r="AK3" s="16">
        <f>COUNTIF($C3:$AG3,"L")</f>
        <v>0</v>
      </c>
      <c r="AL3" s="16">
        <f>AH3/30*(AI3+AK3)</f>
        <v>48333.333333333336</v>
      </c>
      <c r="AM3" s="7" t="s">
        <v>84</v>
      </c>
      <c r="AN3" s="4">
        <f>DATE(AN2,MONTH(AN1&amp;1),1)</f>
        <v>45474</v>
      </c>
    </row>
    <row r="4" spans="1:40">
      <c r="A4" s="27"/>
      <c r="B4" t="s">
        <v>89</v>
      </c>
      <c r="C4" t="s">
        <v>112</v>
      </c>
      <c r="D4" t="s">
        <v>112</v>
      </c>
      <c r="E4" t="s">
        <v>112</v>
      </c>
      <c r="F4" t="s">
        <v>112</v>
      </c>
      <c r="G4" t="s">
        <v>112</v>
      </c>
      <c r="H4" t="s">
        <v>112</v>
      </c>
      <c r="I4" t="s">
        <v>112</v>
      </c>
      <c r="J4" t="s">
        <v>112</v>
      </c>
      <c r="K4" t="s">
        <v>112</v>
      </c>
      <c r="L4" t="s">
        <v>112</v>
      </c>
      <c r="M4" t="s">
        <v>112</v>
      </c>
      <c r="N4" t="s">
        <v>113</v>
      </c>
      <c r="O4" t="s">
        <v>112</v>
      </c>
      <c r="P4" t="s">
        <v>112</v>
      </c>
      <c r="Q4" t="s">
        <v>112</v>
      </c>
      <c r="R4" t="s">
        <v>112</v>
      </c>
      <c r="S4" t="s">
        <v>112</v>
      </c>
      <c r="T4" t="s">
        <v>112</v>
      </c>
      <c r="U4" t="s">
        <v>112</v>
      </c>
      <c r="V4" t="s">
        <v>112</v>
      </c>
      <c r="W4" t="s">
        <v>112</v>
      </c>
      <c r="X4" t="s">
        <v>112</v>
      </c>
      <c r="Y4" t="s">
        <v>112</v>
      </c>
      <c r="Z4" t="s">
        <v>112</v>
      </c>
      <c r="AA4" t="s">
        <v>112</v>
      </c>
      <c r="AB4" t="s">
        <v>112</v>
      </c>
      <c r="AC4" t="s">
        <v>112</v>
      </c>
      <c r="AD4" t="s">
        <v>112</v>
      </c>
      <c r="AE4" t="s">
        <v>112</v>
      </c>
      <c r="AF4" t="s">
        <v>112</v>
      </c>
      <c r="AG4" t="s">
        <v>112</v>
      </c>
      <c r="AH4" s="25">
        <v>15000</v>
      </c>
      <c r="AI4" s="16">
        <f t="shared" ref="AI4:AI6" si="1">COUNTIF($C4:$AG4,"P")</f>
        <v>30</v>
      </c>
      <c r="AJ4" s="16">
        <f t="shared" ref="AJ4:AJ6" si="2">COUNTIF($C4:$AG4,"Ab")</f>
        <v>1</v>
      </c>
      <c r="AK4" s="16">
        <f t="shared" ref="AK4:AK6" si="3">COUNTIF($C4:$AG4,"L")</f>
        <v>0</v>
      </c>
      <c r="AL4" s="16">
        <f t="shared" ref="AL4:AL6" si="4">AH4/30*(AI4+AK4)</f>
        <v>15000</v>
      </c>
      <c r="AM4" s="7" t="s">
        <v>85</v>
      </c>
      <c r="AN4" s="4">
        <f>EOMONTH(AN3,0)</f>
        <v>45504</v>
      </c>
    </row>
    <row r="5" spans="1:40">
      <c r="A5" s="27"/>
      <c r="B5" t="s">
        <v>90</v>
      </c>
      <c r="C5" t="s">
        <v>112</v>
      </c>
      <c r="D5" t="s">
        <v>112</v>
      </c>
      <c r="E5" t="s">
        <v>112</v>
      </c>
      <c r="F5" t="s">
        <v>112</v>
      </c>
      <c r="G5" t="s">
        <v>112</v>
      </c>
      <c r="H5" t="s">
        <v>112</v>
      </c>
      <c r="I5" t="s">
        <v>112</v>
      </c>
      <c r="J5" t="s">
        <v>112</v>
      </c>
      <c r="K5" t="s">
        <v>112</v>
      </c>
      <c r="L5" t="s">
        <v>112</v>
      </c>
      <c r="M5" t="s">
        <v>112</v>
      </c>
      <c r="N5" t="s">
        <v>112</v>
      </c>
      <c r="O5" t="s">
        <v>112</v>
      </c>
      <c r="P5" t="s">
        <v>112</v>
      </c>
      <c r="Q5" t="s">
        <v>112</v>
      </c>
      <c r="R5" t="s">
        <v>112</v>
      </c>
      <c r="S5" t="s">
        <v>112</v>
      </c>
      <c r="T5" t="s">
        <v>112</v>
      </c>
      <c r="U5" t="s">
        <v>112</v>
      </c>
      <c r="V5" t="s">
        <v>112</v>
      </c>
      <c r="W5" t="s">
        <v>112</v>
      </c>
      <c r="X5" t="s">
        <v>112</v>
      </c>
      <c r="Y5" t="s">
        <v>113</v>
      </c>
      <c r="Z5" t="s">
        <v>112</v>
      </c>
      <c r="AA5" t="s">
        <v>112</v>
      </c>
      <c r="AB5" t="s">
        <v>112</v>
      </c>
      <c r="AC5" t="s">
        <v>112</v>
      </c>
      <c r="AD5" t="s">
        <v>112</v>
      </c>
      <c r="AE5" t="s">
        <v>112</v>
      </c>
      <c r="AF5" t="s">
        <v>112</v>
      </c>
      <c r="AG5" t="s">
        <v>112</v>
      </c>
      <c r="AH5" s="25">
        <v>18000</v>
      </c>
      <c r="AI5" s="16">
        <f t="shared" si="1"/>
        <v>30</v>
      </c>
      <c r="AJ5" s="16">
        <f t="shared" si="2"/>
        <v>1</v>
      </c>
      <c r="AK5" s="16">
        <f t="shared" si="3"/>
        <v>0</v>
      </c>
      <c r="AL5" s="16">
        <f t="shared" si="4"/>
        <v>18000</v>
      </c>
    </row>
    <row r="6" spans="1:40">
      <c r="A6" s="27"/>
      <c r="B6" t="s">
        <v>91</v>
      </c>
      <c r="C6" t="s">
        <v>112</v>
      </c>
      <c r="D6" t="s">
        <v>112</v>
      </c>
      <c r="E6" t="s">
        <v>112</v>
      </c>
      <c r="F6" t="s">
        <v>112</v>
      </c>
      <c r="G6" t="s">
        <v>112</v>
      </c>
      <c r="H6" t="s">
        <v>112</v>
      </c>
      <c r="I6" t="s">
        <v>113</v>
      </c>
      <c r="J6" t="s">
        <v>112</v>
      </c>
      <c r="K6" t="s">
        <v>112</v>
      </c>
      <c r="L6" t="s">
        <v>112</v>
      </c>
      <c r="M6" t="s">
        <v>112</v>
      </c>
      <c r="N6" t="s">
        <v>112</v>
      </c>
      <c r="O6" t="s">
        <v>112</v>
      </c>
      <c r="P6" t="s">
        <v>112</v>
      </c>
      <c r="Q6" t="s">
        <v>113</v>
      </c>
      <c r="R6" t="s">
        <v>112</v>
      </c>
      <c r="S6" t="s">
        <v>112</v>
      </c>
      <c r="T6" t="s">
        <v>112</v>
      </c>
      <c r="U6" t="s">
        <v>112</v>
      </c>
      <c r="V6" t="s">
        <v>112</v>
      </c>
      <c r="W6" t="s">
        <v>112</v>
      </c>
      <c r="X6" t="s">
        <v>112</v>
      </c>
      <c r="Y6" t="s">
        <v>112</v>
      </c>
      <c r="Z6" t="s">
        <v>112</v>
      </c>
      <c r="AA6" t="s">
        <v>112</v>
      </c>
      <c r="AB6" t="s">
        <v>112</v>
      </c>
      <c r="AC6" t="s">
        <v>113</v>
      </c>
      <c r="AD6" t="s">
        <v>112</v>
      </c>
      <c r="AE6" t="s">
        <v>112</v>
      </c>
      <c r="AF6" t="s">
        <v>112</v>
      </c>
      <c r="AG6" t="s">
        <v>112</v>
      </c>
      <c r="AH6" s="25">
        <v>10000</v>
      </c>
      <c r="AI6" s="16">
        <f t="shared" si="1"/>
        <v>28</v>
      </c>
      <c r="AJ6" s="16">
        <f t="shared" si="2"/>
        <v>3</v>
      </c>
      <c r="AK6" s="16">
        <f t="shared" si="3"/>
        <v>0</v>
      </c>
      <c r="AL6" s="16">
        <f t="shared" si="4"/>
        <v>9333.3333333333321</v>
      </c>
    </row>
    <row r="7" spans="1:40">
      <c r="A7" s="27"/>
      <c r="C7"/>
      <c r="D7"/>
      <c r="E7"/>
      <c r="F7"/>
      <c r="G7"/>
      <c r="H7"/>
      <c r="I7"/>
      <c r="J7"/>
      <c r="K7"/>
      <c r="L7"/>
      <c r="M7"/>
      <c r="N7"/>
      <c r="O7"/>
      <c r="P7"/>
      <c r="Q7"/>
      <c r="R7"/>
      <c r="S7"/>
      <c r="T7"/>
      <c r="U7"/>
      <c r="V7"/>
      <c r="W7"/>
      <c r="X7"/>
      <c r="Y7"/>
      <c r="Z7"/>
      <c r="AA7"/>
      <c r="AB7"/>
      <c r="AC7"/>
      <c r="AD7"/>
      <c r="AE7"/>
      <c r="AF7"/>
      <c r="AG7"/>
      <c r="AH7" s="25"/>
    </row>
    <row r="8" spans="1:40">
      <c r="A8" s="27"/>
      <c r="C8"/>
      <c r="D8"/>
      <c r="E8"/>
      <c r="F8"/>
      <c r="G8"/>
      <c r="H8"/>
      <c r="I8"/>
      <c r="J8"/>
      <c r="K8"/>
      <c r="L8"/>
      <c r="M8"/>
      <c r="N8"/>
      <c r="O8"/>
      <c r="P8"/>
      <c r="Q8"/>
      <c r="R8"/>
      <c r="S8"/>
      <c r="T8"/>
      <c r="U8"/>
      <c r="V8"/>
      <c r="W8"/>
      <c r="X8"/>
      <c r="Y8"/>
      <c r="Z8"/>
      <c r="AA8"/>
      <c r="AB8"/>
      <c r="AC8"/>
      <c r="AD8"/>
      <c r="AE8"/>
      <c r="AF8"/>
      <c r="AG8"/>
    </row>
    <row r="9" spans="1:40">
      <c r="A9" s="27"/>
      <c r="C9"/>
      <c r="D9"/>
      <c r="E9"/>
      <c r="F9"/>
      <c r="G9"/>
      <c r="H9"/>
      <c r="I9"/>
      <c r="J9"/>
      <c r="K9"/>
      <c r="L9"/>
      <c r="M9"/>
      <c r="N9"/>
      <c r="O9"/>
      <c r="P9"/>
      <c r="Q9"/>
      <c r="R9"/>
      <c r="S9"/>
      <c r="T9"/>
      <c r="U9"/>
      <c r="V9"/>
      <c r="W9"/>
      <c r="X9"/>
      <c r="Y9"/>
      <c r="Z9"/>
      <c r="AA9"/>
      <c r="AB9"/>
      <c r="AC9"/>
      <c r="AD9"/>
      <c r="AE9"/>
      <c r="AF9"/>
      <c r="AG9"/>
    </row>
    <row r="10" spans="1:40">
      <c r="A10" s="27"/>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row>
    <row r="11" spans="1:40">
      <c r="A11" s="27"/>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row>
    <row r="12" spans="1:40">
      <c r="A12" s="27"/>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row>
    <row r="13" spans="1:40">
      <c r="A13" s="27"/>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row>
    <row r="14" spans="1:40">
      <c r="A14" s="27"/>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row>
    <row r="15" spans="1:40">
      <c r="A15" s="27"/>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row>
    <row r="16" spans="1:40">
      <c r="A16" s="27"/>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row>
    <row r="17" spans="1:1">
      <c r="A17" s="27"/>
    </row>
    <row r="18" spans="1:1">
      <c r="A18" s="27"/>
    </row>
    <row r="19" spans="1:1">
      <c r="A19" s="27"/>
    </row>
    <row r="20" spans="1:1">
      <c r="A20" s="27"/>
    </row>
    <row r="21" spans="1:1">
      <c r="A21" s="27"/>
    </row>
    <row r="22" spans="1:1">
      <c r="A22" s="27"/>
    </row>
    <row r="23" spans="1:1">
      <c r="A23" s="27"/>
    </row>
    <row r="24" spans="1:1">
      <c r="A24" s="27"/>
    </row>
    <row r="25" spans="1:1">
      <c r="A25" s="27"/>
    </row>
    <row r="26" spans="1:1">
      <c r="A26" s="27"/>
    </row>
    <row r="27" spans="1:1">
      <c r="A27" s="27"/>
    </row>
    <row r="28" spans="1:1">
      <c r="A28" s="27"/>
    </row>
    <row r="29" spans="1:1">
      <c r="A29" s="27"/>
    </row>
    <row r="30" spans="1:1">
      <c r="A30" s="27"/>
    </row>
    <row r="31" spans="1:1">
      <c r="A31" s="27"/>
    </row>
    <row r="32" spans="1:1">
      <c r="A32" s="27"/>
    </row>
    <row r="33" spans="1:1">
      <c r="A33" s="27"/>
    </row>
    <row r="34" spans="1:1">
      <c r="A34" s="27"/>
    </row>
    <row r="35" spans="1:1">
      <c r="A35" s="27"/>
    </row>
    <row r="36" spans="1:1">
      <c r="A36" s="27"/>
    </row>
    <row r="37" spans="1:1">
      <c r="A37" s="27"/>
    </row>
    <row r="38" spans="1:1">
      <c r="A38" s="27"/>
    </row>
    <row r="39" spans="1:1">
      <c r="A39" s="27"/>
    </row>
    <row r="40" spans="1:1">
      <c r="A40" s="27"/>
    </row>
    <row r="41" spans="1:1">
      <c r="A41" s="27"/>
    </row>
    <row r="42" spans="1:1">
      <c r="A42" s="27"/>
    </row>
    <row r="43" spans="1:1">
      <c r="A43" s="27"/>
    </row>
    <row r="44" spans="1:1">
      <c r="A44" s="27"/>
    </row>
    <row r="45" spans="1:1">
      <c r="A45" s="27"/>
    </row>
    <row r="46" spans="1:1">
      <c r="A46" s="27"/>
    </row>
    <row r="47" spans="1:1">
      <c r="A47" s="27"/>
    </row>
    <row r="48" spans="1:1">
      <c r="A48" s="27"/>
    </row>
    <row r="49" spans="1:1">
      <c r="A49" s="27"/>
    </row>
    <row r="50" spans="1:1">
      <c r="A50" s="27"/>
    </row>
    <row r="51" spans="1:1">
      <c r="A51" s="27"/>
    </row>
    <row r="52" spans="1:1">
      <c r="A52" s="27"/>
    </row>
    <row r="53" spans="1:1">
      <c r="A53" s="27"/>
    </row>
    <row r="54" spans="1:1">
      <c r="A54" s="27"/>
    </row>
    <row r="55" spans="1:1">
      <c r="A55" s="27"/>
    </row>
    <row r="56" spans="1:1">
      <c r="A56" s="27"/>
    </row>
    <row r="57" spans="1:1">
      <c r="A57" s="27"/>
    </row>
    <row r="58" spans="1:1">
      <c r="A58" s="27"/>
    </row>
    <row r="59" spans="1:1">
      <c r="A59" s="27"/>
    </row>
    <row r="60" spans="1:1">
      <c r="A60" s="27"/>
    </row>
    <row r="61" spans="1:1">
      <c r="A61" s="27"/>
    </row>
    <row r="62" spans="1:1">
      <c r="A62" s="27"/>
    </row>
    <row r="63" spans="1:1">
      <c r="A63" s="27"/>
    </row>
    <row r="64" spans="1:1">
      <c r="A64" s="27"/>
    </row>
    <row r="65" spans="1:1">
      <c r="A65" s="27"/>
    </row>
    <row r="66" spans="1:1">
      <c r="A66" s="27"/>
    </row>
    <row r="67" spans="1:1">
      <c r="A67" s="27"/>
    </row>
    <row r="68" spans="1:1">
      <c r="A68" s="27"/>
    </row>
    <row r="69" spans="1:1">
      <c r="A69" s="27"/>
    </row>
    <row r="70" spans="1:1">
      <c r="A70" s="27"/>
    </row>
    <row r="71" spans="1:1">
      <c r="A71" s="27"/>
    </row>
    <row r="72" spans="1:1">
      <c r="A72" s="27"/>
    </row>
    <row r="73" spans="1:1">
      <c r="A73" s="27"/>
    </row>
    <row r="74" spans="1:1">
      <c r="A74" s="27"/>
    </row>
    <row r="75" spans="1:1">
      <c r="A75" s="27"/>
    </row>
    <row r="76" spans="1:1">
      <c r="A76" s="27"/>
    </row>
    <row r="77" spans="1:1">
      <c r="A77" s="27"/>
    </row>
    <row r="78" spans="1:1">
      <c r="A78" s="27"/>
    </row>
    <row r="79" spans="1:1">
      <c r="A79" s="27"/>
    </row>
    <row r="80" spans="1:1">
      <c r="A80" s="27"/>
    </row>
    <row r="81" spans="1:1">
      <c r="A81" s="27"/>
    </row>
    <row r="82" spans="1:1">
      <c r="A82" s="27"/>
    </row>
    <row r="83" spans="1:1">
      <c r="A83" s="27"/>
    </row>
    <row r="84" spans="1:1">
      <c r="A84" s="27"/>
    </row>
    <row r="85" spans="1:1">
      <c r="A85" s="27"/>
    </row>
    <row r="86" spans="1:1">
      <c r="A86" s="27"/>
    </row>
    <row r="87" spans="1:1">
      <c r="A87" s="27"/>
    </row>
  </sheetData>
  <mergeCells count="8">
    <mergeCell ref="AL1:AL2"/>
    <mergeCell ref="A1:A29"/>
    <mergeCell ref="A30:A58"/>
    <mergeCell ref="A59:A87"/>
    <mergeCell ref="AH1:AH2"/>
    <mergeCell ref="AI1:AI2"/>
    <mergeCell ref="AJ1:AJ2"/>
    <mergeCell ref="AK1:AK2"/>
  </mergeCells>
  <conditionalFormatting sqref="C3:AG9">
    <cfRule type="containsText" dxfId="18" priority="1" operator="containsText" text="l">
      <formula>NOT(ISERROR(SEARCH("l",C3)))</formula>
    </cfRule>
    <cfRule type="containsText" dxfId="17" priority="2" operator="containsText" text="ab">
      <formula>NOT(ISERROR(SEARCH("ab",C3)))</formula>
    </cfRule>
    <cfRule type="containsText" dxfId="16" priority="3" operator="containsText" text="p">
      <formula>NOT(ISERROR(SEARCH("p",C3)))</formula>
    </cfRule>
  </conditionalFormatting>
  <dataValidations count="3">
    <dataValidation type="list" allowBlank="1" showInputMessage="1" showErrorMessage="1" sqref="AN2" xr:uid="{00000000-0002-0000-1400-000000000000}">
      <formula1>"2020,2021,2022,2023,2024,2025,2026,2027,2028,2029,2030"</formula1>
    </dataValidation>
    <dataValidation type="list" allowBlank="1" showInputMessage="1" showErrorMessage="1" sqref="AN1" xr:uid="{00000000-0002-0000-1400-000001000000}">
      <formula1>"January,February,March,Aprail,May,June,July,August,September,October,November,December"</formula1>
    </dataValidation>
    <dataValidation type="list" allowBlank="1" showInputMessage="1" showErrorMessage="1" sqref="C3:AG9" xr:uid="{00000000-0002-0000-1400-000002000000}">
      <formula1>"p,ab,l"</formula1>
    </dataValidation>
  </dataValidation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dimension ref="A1:AN87"/>
  <sheetViews>
    <sheetView workbookViewId="0">
      <pane xSplit="1" topLeftCell="L1" activePane="topRight" state="frozenSplit"/>
      <selection pane="topRight" activeCell="AN6" sqref="AN6"/>
    </sheetView>
  </sheetViews>
  <sheetFormatPr defaultRowHeight="15"/>
  <cols>
    <col min="1" max="1" width="16.85546875" bestFit="1" customWidth="1"/>
    <col min="2" max="2" width="15.7109375" customWidth="1"/>
    <col min="3" max="3" width="5.140625" style="12" customWidth="1"/>
    <col min="4" max="4" width="4.28515625" style="12" customWidth="1"/>
    <col min="5" max="5" width="5.28515625" style="12" customWidth="1"/>
    <col min="6" max="6" width="4.28515625" style="12" customWidth="1"/>
    <col min="7" max="7" width="3.42578125" style="12" customWidth="1"/>
    <col min="8" max="8" width="3.7109375" style="12" customWidth="1"/>
    <col min="9" max="9" width="4.28515625" style="12" customWidth="1"/>
    <col min="10" max="10" width="5.140625" style="12" customWidth="1"/>
    <col min="11" max="11" width="4.28515625" style="12" customWidth="1"/>
    <col min="12" max="12" width="5.28515625" style="12" customWidth="1"/>
    <col min="13" max="13" width="4.28515625" style="12" customWidth="1"/>
    <col min="14" max="14" width="3.28515625" style="12" customWidth="1"/>
    <col min="15" max="15" width="3.7109375" style="12" customWidth="1"/>
    <col min="16" max="16" width="4.28515625" style="12" customWidth="1"/>
    <col min="17" max="17" width="5.140625" style="12" customWidth="1"/>
    <col min="18" max="18" width="4.28515625" style="12" customWidth="1"/>
    <col min="19" max="19" width="5.28515625" style="12" customWidth="1"/>
    <col min="20" max="20" width="4.28515625" style="12" customWidth="1"/>
    <col min="21" max="21" width="3.28515625" style="12" customWidth="1"/>
    <col min="22" max="22" width="3.7109375" style="12" customWidth="1"/>
    <col min="23" max="23" width="4.28515625" style="12" customWidth="1"/>
    <col min="24" max="24" width="5.140625" style="12" customWidth="1"/>
    <col min="25" max="25" width="4.28515625" style="12" customWidth="1"/>
    <col min="26" max="26" width="5.28515625" style="12" customWidth="1"/>
    <col min="27" max="27" width="4.28515625" style="12" customWidth="1"/>
    <col min="28" max="28" width="3.42578125" style="12" customWidth="1"/>
    <col min="29" max="29" width="3.7109375" style="12" customWidth="1"/>
    <col min="30" max="30" width="4.28515625" style="12" customWidth="1"/>
    <col min="31" max="31" width="5.140625" style="12" customWidth="1"/>
    <col min="32" max="32" width="4.28515625" style="12" customWidth="1"/>
    <col min="33" max="33" width="5.28515625" style="12" customWidth="1"/>
    <col min="34" max="34" width="19" customWidth="1"/>
    <col min="35" max="35" width="7.85546875" customWidth="1"/>
    <col min="36" max="36" width="7.28515625" customWidth="1"/>
    <col min="37" max="37" width="6.140625" customWidth="1"/>
    <col min="38" max="38" width="10" customWidth="1"/>
    <col min="39" max="39" width="12.42578125" customWidth="1"/>
    <col min="40" max="40" width="9.7109375" customWidth="1"/>
  </cols>
  <sheetData>
    <row r="1" spans="1:40">
      <c r="A1" s="27"/>
      <c r="C1" s="17" t="str">
        <f>TEXT(C2,"DDD")</f>
        <v>Thu</v>
      </c>
      <c r="D1" s="17" t="str">
        <f t="shared" ref="D1:AG1" si="0">TEXT(D2,"DDD")</f>
        <v>Fri</v>
      </c>
      <c r="E1" s="17" t="str">
        <f t="shared" si="0"/>
        <v>Sat</v>
      </c>
      <c r="F1" s="17" t="str">
        <f t="shared" si="0"/>
        <v>Sun</v>
      </c>
      <c r="G1" s="17" t="str">
        <f t="shared" si="0"/>
        <v>Mon</v>
      </c>
      <c r="H1" s="17" t="str">
        <f t="shared" si="0"/>
        <v>Tue</v>
      </c>
      <c r="I1" s="17" t="str">
        <f t="shared" si="0"/>
        <v>Wed</v>
      </c>
      <c r="J1" s="17" t="str">
        <f t="shared" si="0"/>
        <v>Thu</v>
      </c>
      <c r="K1" s="17" t="str">
        <f t="shared" si="0"/>
        <v>Fri</v>
      </c>
      <c r="L1" s="17" t="str">
        <f t="shared" si="0"/>
        <v>Sat</v>
      </c>
      <c r="M1" s="17" t="str">
        <f t="shared" si="0"/>
        <v>Sun</v>
      </c>
      <c r="N1" s="17" t="str">
        <f t="shared" si="0"/>
        <v>Mon</v>
      </c>
      <c r="O1" s="17" t="str">
        <f t="shared" si="0"/>
        <v>Tue</v>
      </c>
      <c r="P1" s="17" t="str">
        <f t="shared" si="0"/>
        <v>Wed</v>
      </c>
      <c r="Q1" s="17" t="str">
        <f t="shared" si="0"/>
        <v>Thu</v>
      </c>
      <c r="R1" s="17" t="str">
        <f t="shared" si="0"/>
        <v>Fri</v>
      </c>
      <c r="S1" s="17" t="str">
        <f t="shared" si="0"/>
        <v>Sat</v>
      </c>
      <c r="T1" s="17" t="str">
        <f t="shared" si="0"/>
        <v>Sun</v>
      </c>
      <c r="U1" s="17" t="str">
        <f t="shared" si="0"/>
        <v>Mon</v>
      </c>
      <c r="V1" s="17" t="str">
        <f t="shared" si="0"/>
        <v>Tue</v>
      </c>
      <c r="W1" s="17" t="str">
        <f t="shared" si="0"/>
        <v>Wed</v>
      </c>
      <c r="X1" s="17" t="str">
        <f t="shared" si="0"/>
        <v>Thu</v>
      </c>
      <c r="Y1" s="17" t="str">
        <f t="shared" si="0"/>
        <v>Fri</v>
      </c>
      <c r="Z1" s="17" t="str">
        <f t="shared" si="0"/>
        <v>Sat</v>
      </c>
      <c r="AA1" s="17" t="str">
        <f t="shared" si="0"/>
        <v>Sun</v>
      </c>
      <c r="AB1" s="17" t="str">
        <f t="shared" si="0"/>
        <v>Mon</v>
      </c>
      <c r="AC1" s="17" t="str">
        <f t="shared" si="0"/>
        <v>Tue</v>
      </c>
      <c r="AD1" s="17" t="str">
        <f t="shared" si="0"/>
        <v>Wed</v>
      </c>
      <c r="AE1" s="17" t="str">
        <f t="shared" si="0"/>
        <v>Thu</v>
      </c>
      <c r="AF1" s="17" t="str">
        <f t="shared" si="0"/>
        <v>Fri</v>
      </c>
      <c r="AG1" s="17" t="str">
        <f t="shared" si="0"/>
        <v>Sat</v>
      </c>
      <c r="AH1" s="33" t="s">
        <v>106</v>
      </c>
      <c r="AI1" s="31" t="s">
        <v>107</v>
      </c>
      <c r="AJ1" s="31" t="s">
        <v>108</v>
      </c>
      <c r="AK1" s="31" t="s">
        <v>109</v>
      </c>
      <c r="AL1" s="31" t="s">
        <v>110</v>
      </c>
      <c r="AM1" s="5" t="s">
        <v>81</v>
      </c>
      <c r="AN1" s="10" t="s">
        <v>101</v>
      </c>
    </row>
    <row r="2" spans="1:40">
      <c r="A2" s="27"/>
      <c r="B2" t="s">
        <v>111</v>
      </c>
      <c r="C2" s="18">
        <f>IF(COLUMNS($C$2:C2)&gt;DAY($AN$4),"",$AN$3+COLUMNS($C$2:C2)-1)</f>
        <v>45505</v>
      </c>
      <c r="D2" s="18">
        <f>IF(COLUMNS($C$2:D2)&gt;DAY($AN$4),"",$AN$3+COLUMNS($C$2:D2)-1)</f>
        <v>45506</v>
      </c>
      <c r="E2" s="18">
        <f>IF(COLUMNS($C$2:E2)&gt;DAY($AN$4),"",$AN$3+COLUMNS($C$2:E2)-1)</f>
        <v>45507</v>
      </c>
      <c r="F2" s="18">
        <f>IF(COLUMNS($C$2:F2)&gt;DAY($AN$4),"",$AN$3+COLUMNS($C$2:F2)-1)</f>
        <v>45508</v>
      </c>
      <c r="G2" s="18">
        <f>IF(COLUMNS($C$2:G2)&gt;DAY($AN$4),"",$AN$3+COLUMNS($C$2:G2)-1)</f>
        <v>45509</v>
      </c>
      <c r="H2" s="18">
        <f>IF(COLUMNS($C$2:H2)&gt;DAY($AN$4),"",$AN$3+COLUMNS($C$2:H2)-1)</f>
        <v>45510</v>
      </c>
      <c r="I2" s="18">
        <f>IF(COLUMNS($C$2:I2)&gt;DAY($AN$4),"",$AN$3+COLUMNS($C$2:I2)-1)</f>
        <v>45511</v>
      </c>
      <c r="J2" s="18">
        <f>IF(COLUMNS($C$2:J2)&gt;DAY($AN$4),"",$AN$3+COLUMNS($C$2:J2)-1)</f>
        <v>45512</v>
      </c>
      <c r="K2" s="18">
        <f>IF(COLUMNS($C$2:K2)&gt;DAY($AN$4),"",$AN$3+COLUMNS($C$2:K2)-1)</f>
        <v>45513</v>
      </c>
      <c r="L2" s="18">
        <f>IF(COLUMNS($C$2:L2)&gt;DAY($AN$4),"",$AN$3+COLUMNS($C$2:L2)-1)</f>
        <v>45514</v>
      </c>
      <c r="M2" s="18">
        <f>IF(COLUMNS($C$2:M2)&gt;DAY($AN$4),"",$AN$3+COLUMNS($C$2:M2)-1)</f>
        <v>45515</v>
      </c>
      <c r="N2" s="18">
        <f>IF(COLUMNS($C$2:N2)&gt;DAY($AN$4),"",$AN$3+COLUMNS($C$2:N2)-1)</f>
        <v>45516</v>
      </c>
      <c r="O2" s="18">
        <f>IF(COLUMNS($C$2:O2)&gt;DAY($AN$4),"",$AN$3+COLUMNS($C$2:O2)-1)</f>
        <v>45517</v>
      </c>
      <c r="P2" s="18">
        <f>IF(COLUMNS($C$2:P2)&gt;DAY($AN$4),"",$AN$3+COLUMNS($C$2:P2)-1)</f>
        <v>45518</v>
      </c>
      <c r="Q2" s="18">
        <f>IF(COLUMNS($C$2:Q2)&gt;DAY($AN$4),"",$AN$3+COLUMNS($C$2:Q2)-1)</f>
        <v>45519</v>
      </c>
      <c r="R2" s="18">
        <f>IF(COLUMNS($C$2:R2)&gt;DAY($AN$4),"",$AN$3+COLUMNS($C$2:R2)-1)</f>
        <v>45520</v>
      </c>
      <c r="S2" s="18">
        <f>IF(COLUMNS($C$2:S2)&gt;DAY($AN$4),"",$AN$3+COLUMNS($C$2:S2)-1)</f>
        <v>45521</v>
      </c>
      <c r="T2" s="18">
        <f>IF(COLUMNS($C$2:T2)&gt;DAY($AN$4),"",$AN$3+COLUMNS($C$2:T2)-1)</f>
        <v>45522</v>
      </c>
      <c r="U2" s="18">
        <f>IF(COLUMNS($C$2:U2)&gt;DAY($AN$4),"",$AN$3+COLUMNS($C$2:U2)-1)</f>
        <v>45523</v>
      </c>
      <c r="V2" s="18">
        <f>IF(COLUMNS($C$2:V2)&gt;DAY($AN$4),"",$AN$3+COLUMNS($C$2:V2)-1)</f>
        <v>45524</v>
      </c>
      <c r="W2" s="18">
        <f>IF(COLUMNS($C$2:W2)&gt;DAY($AN$4),"",$AN$3+COLUMNS($C$2:W2)-1)</f>
        <v>45525</v>
      </c>
      <c r="X2" s="18">
        <f>IF(COLUMNS($C$2:X2)&gt;DAY($AN$4),"",$AN$3+COLUMNS($C$2:X2)-1)</f>
        <v>45526</v>
      </c>
      <c r="Y2" s="18">
        <f>IF(COLUMNS($C$2:Y2)&gt;DAY($AN$4),"",$AN$3+COLUMNS($C$2:Y2)-1)</f>
        <v>45527</v>
      </c>
      <c r="Z2" s="18">
        <f>IF(COLUMNS($C$2:Z2)&gt;DAY($AN$4),"",$AN$3+COLUMNS($C$2:Z2)-1)</f>
        <v>45528</v>
      </c>
      <c r="AA2" s="18">
        <f>IF(COLUMNS($C$2:AA2)&gt;DAY($AN$4),"",$AN$3+COLUMNS($C$2:AA2)-1)</f>
        <v>45529</v>
      </c>
      <c r="AB2" s="18">
        <f>IF(COLUMNS($C$2:AB2)&gt;DAY($AN$4),"",$AN$3+COLUMNS($C$2:AB2)-1)</f>
        <v>45530</v>
      </c>
      <c r="AC2" s="18">
        <f>IF(COLUMNS($C$2:AC2)&gt;DAY($AN$4),"",$AN$3+COLUMNS($C$2:AC2)-1)</f>
        <v>45531</v>
      </c>
      <c r="AD2" s="18">
        <f>IF(COLUMNS($C$2:AD2)&gt;DAY($AN$4),"",$AN$3+COLUMNS($C$2:AD2)-1)</f>
        <v>45532</v>
      </c>
      <c r="AE2" s="18">
        <f>IF(COLUMNS($C$2:AE2)&gt;DAY($AN$4),"",$AN$3+COLUMNS($C$2:AE2)-1)</f>
        <v>45533</v>
      </c>
      <c r="AF2" s="18">
        <f>IF(COLUMNS($C$2:AF2)&gt;DAY($AN$4),"",$AN$3+COLUMNS($C$2:AF2)-1)</f>
        <v>45534</v>
      </c>
      <c r="AG2" s="18">
        <f>IF(COLUMNS($C$2:AG2)&gt;DAY($AN$4),"",$AN$3+COLUMNS($C$2:AG2)-1)</f>
        <v>45535</v>
      </c>
      <c r="AH2" s="34"/>
      <c r="AI2" s="32"/>
      <c r="AJ2" s="32"/>
      <c r="AK2" s="32"/>
      <c r="AL2" s="32"/>
      <c r="AM2" s="6" t="s">
        <v>83</v>
      </c>
      <c r="AN2" s="11">
        <v>2024</v>
      </c>
    </row>
    <row r="3" spans="1:40">
      <c r="A3" s="27"/>
      <c r="B3" t="s">
        <v>88</v>
      </c>
      <c r="C3" t="s">
        <v>112</v>
      </c>
      <c r="D3" t="s">
        <v>112</v>
      </c>
      <c r="E3" t="s">
        <v>112</v>
      </c>
      <c r="F3" t="s">
        <v>113</v>
      </c>
      <c r="G3" t="s">
        <v>112</v>
      </c>
      <c r="H3" t="s">
        <v>112</v>
      </c>
      <c r="I3" t="s">
        <v>112</v>
      </c>
      <c r="J3" t="s">
        <v>112</v>
      </c>
      <c r="K3" t="s">
        <v>112</v>
      </c>
      <c r="L3" t="s">
        <v>112</v>
      </c>
      <c r="M3" t="s">
        <v>112</v>
      </c>
      <c r="N3" t="s">
        <v>112</v>
      </c>
      <c r="O3" t="s">
        <v>112</v>
      </c>
      <c r="P3" t="s">
        <v>112</v>
      </c>
      <c r="Q3" t="s">
        <v>112</v>
      </c>
      <c r="R3" t="s">
        <v>112</v>
      </c>
      <c r="S3" t="s">
        <v>112</v>
      </c>
      <c r="T3" t="s">
        <v>112</v>
      </c>
      <c r="U3" t="s">
        <v>112</v>
      </c>
      <c r="V3" t="s">
        <v>112</v>
      </c>
      <c r="W3" t="s">
        <v>112</v>
      </c>
      <c r="X3" t="s">
        <v>112</v>
      </c>
      <c r="Y3" t="s">
        <v>112</v>
      </c>
      <c r="Z3" t="s">
        <v>112</v>
      </c>
      <c r="AA3" t="s">
        <v>112</v>
      </c>
      <c r="AB3" t="s">
        <v>112</v>
      </c>
      <c r="AC3" t="s">
        <v>112</v>
      </c>
      <c r="AD3" t="s">
        <v>112</v>
      </c>
      <c r="AE3" t="s">
        <v>112</v>
      </c>
      <c r="AF3" t="s">
        <v>112</v>
      </c>
      <c r="AG3" t="s">
        <v>112</v>
      </c>
      <c r="AH3" s="16">
        <v>50000</v>
      </c>
      <c r="AI3" s="16">
        <f>COUNTIF($C3:$AG3,"P")</f>
        <v>30</v>
      </c>
      <c r="AJ3" s="16">
        <f>COUNTIF($C3:$AG3,"Ab")</f>
        <v>1</v>
      </c>
      <c r="AK3" s="16">
        <f>COUNTIF($C3:$AG3,"L")</f>
        <v>0</v>
      </c>
      <c r="AL3" s="16">
        <f>AH3/30*(AI3+AK3)</f>
        <v>50000</v>
      </c>
      <c r="AM3" s="7" t="s">
        <v>84</v>
      </c>
      <c r="AN3" s="4">
        <f>DATE(AN2,MONTH(AN1&amp;1),1)</f>
        <v>45505</v>
      </c>
    </row>
    <row r="4" spans="1:40">
      <c r="A4" s="27"/>
      <c r="B4" t="s">
        <v>89</v>
      </c>
      <c r="C4" t="s">
        <v>112</v>
      </c>
      <c r="D4" t="s">
        <v>112</v>
      </c>
      <c r="E4" t="s">
        <v>112</v>
      </c>
      <c r="F4" t="s">
        <v>112</v>
      </c>
      <c r="G4" t="s">
        <v>112</v>
      </c>
      <c r="H4" t="s">
        <v>112</v>
      </c>
      <c r="I4" t="s">
        <v>112</v>
      </c>
      <c r="J4" t="s">
        <v>112</v>
      </c>
      <c r="K4" t="s">
        <v>112</v>
      </c>
      <c r="L4" t="s">
        <v>112</v>
      </c>
      <c r="M4" t="s">
        <v>113</v>
      </c>
      <c r="N4" t="s">
        <v>112</v>
      </c>
      <c r="O4" t="s">
        <v>112</v>
      </c>
      <c r="P4" t="s">
        <v>112</v>
      </c>
      <c r="Q4" t="s">
        <v>112</v>
      </c>
      <c r="R4" t="s">
        <v>112</v>
      </c>
      <c r="S4" t="s">
        <v>112</v>
      </c>
      <c r="T4" t="s">
        <v>112</v>
      </c>
      <c r="U4" t="s">
        <v>112</v>
      </c>
      <c r="V4" t="s">
        <v>112</v>
      </c>
      <c r="W4" t="s">
        <v>112</v>
      </c>
      <c r="X4" t="s">
        <v>112</v>
      </c>
      <c r="Y4" t="s">
        <v>112</v>
      </c>
      <c r="Z4" t="s">
        <v>112</v>
      </c>
      <c r="AA4" t="s">
        <v>112</v>
      </c>
      <c r="AB4" t="s">
        <v>112</v>
      </c>
      <c r="AC4" t="s">
        <v>112</v>
      </c>
      <c r="AD4" t="s">
        <v>112</v>
      </c>
      <c r="AE4" t="s">
        <v>112</v>
      </c>
      <c r="AF4" t="s">
        <v>112</v>
      </c>
      <c r="AG4" t="s">
        <v>112</v>
      </c>
      <c r="AH4" s="25">
        <v>15000</v>
      </c>
      <c r="AI4" s="16">
        <f t="shared" ref="AI4:AI6" si="1">COUNTIF($C4:$AG4,"P")</f>
        <v>30</v>
      </c>
      <c r="AJ4" s="16">
        <f t="shared" ref="AJ4:AJ6" si="2">COUNTIF($C4:$AG4,"Ab")</f>
        <v>1</v>
      </c>
      <c r="AK4" s="16">
        <f t="shared" ref="AK4:AK6" si="3">COUNTIF($C4:$AG4,"L")</f>
        <v>0</v>
      </c>
      <c r="AL4" s="16">
        <f t="shared" ref="AL4:AL5" si="4">AH4/30*(AI4+AK4)</f>
        <v>15000</v>
      </c>
      <c r="AM4" s="7" t="s">
        <v>85</v>
      </c>
      <c r="AN4" s="4">
        <f>EOMONTH(AN3,0)</f>
        <v>45535</v>
      </c>
    </row>
    <row r="5" spans="1:40">
      <c r="A5" s="27"/>
      <c r="B5" t="s">
        <v>90</v>
      </c>
      <c r="C5" t="s">
        <v>112</v>
      </c>
      <c r="D5" t="s">
        <v>112</v>
      </c>
      <c r="E5" t="s">
        <v>112</v>
      </c>
      <c r="F5" t="s">
        <v>112</v>
      </c>
      <c r="G5" t="s">
        <v>112</v>
      </c>
      <c r="H5" t="s">
        <v>112</v>
      </c>
      <c r="I5" t="s">
        <v>112</v>
      </c>
      <c r="J5" t="s">
        <v>112</v>
      </c>
      <c r="K5" t="s">
        <v>112</v>
      </c>
      <c r="L5" t="s">
        <v>112</v>
      </c>
      <c r="M5" t="s">
        <v>112</v>
      </c>
      <c r="N5" t="s">
        <v>112</v>
      </c>
      <c r="O5" t="s">
        <v>112</v>
      </c>
      <c r="P5" t="s">
        <v>112</v>
      </c>
      <c r="Q5" t="s">
        <v>112</v>
      </c>
      <c r="R5" t="s">
        <v>112</v>
      </c>
      <c r="S5" t="s">
        <v>112</v>
      </c>
      <c r="T5" t="s">
        <v>112</v>
      </c>
      <c r="U5" t="s">
        <v>112</v>
      </c>
      <c r="V5" t="s">
        <v>112</v>
      </c>
      <c r="W5" t="s">
        <v>113</v>
      </c>
      <c r="X5" t="s">
        <v>112</v>
      </c>
      <c r="Y5" t="s">
        <v>112</v>
      </c>
      <c r="Z5" t="s">
        <v>112</v>
      </c>
      <c r="AA5" t="s">
        <v>112</v>
      </c>
      <c r="AB5" t="s">
        <v>112</v>
      </c>
      <c r="AC5" t="s">
        <v>112</v>
      </c>
      <c r="AD5" t="s">
        <v>112</v>
      </c>
      <c r="AE5" t="s">
        <v>112</v>
      </c>
      <c r="AF5" t="s">
        <v>112</v>
      </c>
      <c r="AG5" t="s">
        <v>112</v>
      </c>
      <c r="AH5" s="25">
        <v>18000</v>
      </c>
      <c r="AI5" s="16">
        <f t="shared" si="1"/>
        <v>30</v>
      </c>
      <c r="AJ5" s="16">
        <f t="shared" si="2"/>
        <v>1</v>
      </c>
      <c r="AK5" s="16">
        <f t="shared" si="3"/>
        <v>0</v>
      </c>
      <c r="AL5" s="16">
        <f t="shared" si="4"/>
        <v>18000</v>
      </c>
    </row>
    <row r="6" spans="1:40">
      <c r="A6" s="27"/>
      <c r="B6" t="s">
        <v>91</v>
      </c>
      <c r="C6" t="s">
        <v>112</v>
      </c>
      <c r="D6" t="s">
        <v>112</v>
      </c>
      <c r="E6" t="s">
        <v>113</v>
      </c>
      <c r="F6" t="s">
        <v>112</v>
      </c>
      <c r="G6" t="s">
        <v>112</v>
      </c>
      <c r="H6" t="s">
        <v>112</v>
      </c>
      <c r="I6" t="s">
        <v>112</v>
      </c>
      <c r="J6" t="s">
        <v>112</v>
      </c>
      <c r="K6" t="s">
        <v>114</v>
      </c>
      <c r="L6" t="s">
        <v>112</v>
      </c>
      <c r="M6" t="s">
        <v>112</v>
      </c>
      <c r="N6" t="s">
        <v>112</v>
      </c>
      <c r="O6" t="s">
        <v>112</v>
      </c>
      <c r="P6" t="s">
        <v>112</v>
      </c>
      <c r="Q6" t="s">
        <v>112</v>
      </c>
      <c r="R6" t="s">
        <v>112</v>
      </c>
      <c r="S6" t="s">
        <v>112</v>
      </c>
      <c r="T6" t="s">
        <v>112</v>
      </c>
      <c r="U6" t="s">
        <v>112</v>
      </c>
      <c r="V6" t="s">
        <v>112</v>
      </c>
      <c r="W6" t="s">
        <v>112</v>
      </c>
      <c r="X6" t="s">
        <v>112</v>
      </c>
      <c r="Y6" t="s">
        <v>112</v>
      </c>
      <c r="Z6" t="s">
        <v>112</v>
      </c>
      <c r="AA6" t="s">
        <v>112</v>
      </c>
      <c r="AB6" t="s">
        <v>112</v>
      </c>
      <c r="AC6" t="s">
        <v>112</v>
      </c>
      <c r="AD6" t="s">
        <v>112</v>
      </c>
      <c r="AE6" t="s">
        <v>112</v>
      </c>
      <c r="AF6" t="s">
        <v>112</v>
      </c>
      <c r="AG6" t="s">
        <v>113</v>
      </c>
      <c r="AH6" s="25">
        <v>10000</v>
      </c>
      <c r="AI6" s="16">
        <f t="shared" si="1"/>
        <v>28</v>
      </c>
      <c r="AJ6" s="16">
        <f t="shared" si="2"/>
        <v>2</v>
      </c>
      <c r="AK6" s="16">
        <f t="shared" si="3"/>
        <v>1</v>
      </c>
      <c r="AL6" s="16">
        <f>AH6/30*(AI6+AK6)</f>
        <v>9666.6666666666661</v>
      </c>
    </row>
    <row r="7" spans="1:40">
      <c r="A7" s="27"/>
      <c r="C7"/>
      <c r="D7"/>
      <c r="E7"/>
      <c r="F7"/>
      <c r="G7"/>
      <c r="H7"/>
      <c r="I7"/>
      <c r="J7"/>
      <c r="K7"/>
      <c r="L7"/>
      <c r="M7"/>
      <c r="N7"/>
      <c r="O7"/>
      <c r="P7"/>
      <c r="Q7"/>
      <c r="R7"/>
      <c r="S7"/>
      <c r="T7"/>
      <c r="U7"/>
      <c r="V7"/>
      <c r="W7"/>
      <c r="X7"/>
      <c r="Y7"/>
      <c r="Z7"/>
      <c r="AA7"/>
      <c r="AB7"/>
      <c r="AC7"/>
      <c r="AD7"/>
      <c r="AE7"/>
      <c r="AF7"/>
      <c r="AG7"/>
    </row>
    <row r="8" spans="1:40">
      <c r="A8" s="27"/>
      <c r="C8"/>
      <c r="D8"/>
      <c r="E8"/>
      <c r="F8"/>
      <c r="G8"/>
      <c r="H8"/>
      <c r="I8"/>
      <c r="J8"/>
      <c r="K8"/>
      <c r="L8"/>
      <c r="M8"/>
      <c r="N8"/>
      <c r="O8"/>
      <c r="P8"/>
      <c r="Q8"/>
      <c r="R8"/>
      <c r="S8"/>
      <c r="T8"/>
      <c r="U8"/>
      <c r="V8"/>
      <c r="W8"/>
      <c r="X8"/>
      <c r="Y8"/>
      <c r="Z8"/>
      <c r="AA8"/>
      <c r="AB8"/>
      <c r="AC8"/>
      <c r="AD8"/>
      <c r="AE8"/>
      <c r="AF8"/>
      <c r="AG8"/>
    </row>
    <row r="9" spans="1:40">
      <c r="A9" s="27"/>
      <c r="C9"/>
      <c r="D9"/>
      <c r="E9"/>
      <c r="F9"/>
      <c r="G9"/>
      <c r="H9"/>
      <c r="I9"/>
      <c r="J9"/>
      <c r="K9"/>
      <c r="L9"/>
      <c r="M9"/>
      <c r="N9"/>
      <c r="O9"/>
      <c r="P9"/>
      <c r="Q9"/>
      <c r="R9"/>
      <c r="S9"/>
      <c r="T9"/>
      <c r="U9"/>
      <c r="V9"/>
      <c r="W9"/>
      <c r="X9"/>
      <c r="Y9"/>
      <c r="Z9"/>
      <c r="AA9"/>
      <c r="AB9"/>
      <c r="AC9"/>
      <c r="AD9"/>
      <c r="AE9"/>
      <c r="AF9"/>
      <c r="AG9"/>
    </row>
    <row r="10" spans="1:40">
      <c r="A10" s="27"/>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row>
    <row r="11" spans="1:40">
      <c r="A11" s="27"/>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row>
    <row r="12" spans="1:40">
      <c r="A12" s="27"/>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row>
    <row r="13" spans="1:40">
      <c r="A13" s="27"/>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row>
    <row r="14" spans="1:40">
      <c r="A14" s="27"/>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row>
    <row r="15" spans="1:40">
      <c r="A15" s="27"/>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row>
    <row r="16" spans="1:40">
      <c r="A16" s="27"/>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row>
    <row r="17" spans="1:1">
      <c r="A17" s="27"/>
    </row>
    <row r="18" spans="1:1">
      <c r="A18" s="27"/>
    </row>
    <row r="19" spans="1:1">
      <c r="A19" s="27"/>
    </row>
    <row r="20" spans="1:1">
      <c r="A20" s="27"/>
    </row>
    <row r="21" spans="1:1">
      <c r="A21" s="27"/>
    </row>
    <row r="22" spans="1:1">
      <c r="A22" s="27"/>
    </row>
    <row r="23" spans="1:1">
      <c r="A23" s="27"/>
    </row>
    <row r="24" spans="1:1">
      <c r="A24" s="27"/>
    </row>
    <row r="25" spans="1:1">
      <c r="A25" s="27"/>
    </row>
    <row r="26" spans="1:1">
      <c r="A26" s="27"/>
    </row>
    <row r="27" spans="1:1">
      <c r="A27" s="27"/>
    </row>
    <row r="28" spans="1:1">
      <c r="A28" s="27"/>
    </row>
    <row r="29" spans="1:1">
      <c r="A29" s="27"/>
    </row>
    <row r="30" spans="1:1">
      <c r="A30" s="27"/>
    </row>
    <row r="31" spans="1:1">
      <c r="A31" s="27"/>
    </row>
    <row r="32" spans="1:1">
      <c r="A32" s="27"/>
    </row>
    <row r="33" spans="1:1">
      <c r="A33" s="27"/>
    </row>
    <row r="34" spans="1:1">
      <c r="A34" s="27"/>
    </row>
    <row r="35" spans="1:1">
      <c r="A35" s="27"/>
    </row>
    <row r="36" spans="1:1">
      <c r="A36" s="27"/>
    </row>
    <row r="37" spans="1:1">
      <c r="A37" s="27"/>
    </row>
    <row r="38" spans="1:1">
      <c r="A38" s="27"/>
    </row>
    <row r="39" spans="1:1">
      <c r="A39" s="27"/>
    </row>
    <row r="40" spans="1:1">
      <c r="A40" s="27"/>
    </row>
    <row r="41" spans="1:1">
      <c r="A41" s="27"/>
    </row>
    <row r="42" spans="1:1">
      <c r="A42" s="27"/>
    </row>
    <row r="43" spans="1:1">
      <c r="A43" s="27"/>
    </row>
    <row r="44" spans="1:1">
      <c r="A44" s="27"/>
    </row>
    <row r="45" spans="1:1">
      <c r="A45" s="27"/>
    </row>
    <row r="46" spans="1:1">
      <c r="A46" s="27"/>
    </row>
    <row r="47" spans="1:1">
      <c r="A47" s="27"/>
    </row>
    <row r="48" spans="1:1">
      <c r="A48" s="27"/>
    </row>
    <row r="49" spans="1:1">
      <c r="A49" s="27"/>
    </row>
    <row r="50" spans="1:1">
      <c r="A50" s="27"/>
    </row>
    <row r="51" spans="1:1">
      <c r="A51" s="27"/>
    </row>
    <row r="52" spans="1:1">
      <c r="A52" s="27"/>
    </row>
    <row r="53" spans="1:1">
      <c r="A53" s="27"/>
    </row>
    <row r="54" spans="1:1">
      <c r="A54" s="27"/>
    </row>
    <row r="55" spans="1:1">
      <c r="A55" s="27"/>
    </row>
    <row r="56" spans="1:1">
      <c r="A56" s="27"/>
    </row>
    <row r="57" spans="1:1">
      <c r="A57" s="27"/>
    </row>
    <row r="58" spans="1:1">
      <c r="A58" s="27"/>
    </row>
    <row r="59" spans="1:1">
      <c r="A59" s="27"/>
    </row>
    <row r="60" spans="1:1">
      <c r="A60" s="27"/>
    </row>
    <row r="61" spans="1:1">
      <c r="A61" s="27"/>
    </row>
    <row r="62" spans="1:1">
      <c r="A62" s="27"/>
    </row>
    <row r="63" spans="1:1">
      <c r="A63" s="27"/>
    </row>
    <row r="64" spans="1:1">
      <c r="A64" s="27"/>
    </row>
    <row r="65" spans="1:1">
      <c r="A65" s="27"/>
    </row>
    <row r="66" spans="1:1">
      <c r="A66" s="27"/>
    </row>
    <row r="67" spans="1:1">
      <c r="A67" s="27"/>
    </row>
    <row r="68" spans="1:1">
      <c r="A68" s="27"/>
    </row>
    <row r="69" spans="1:1">
      <c r="A69" s="27"/>
    </row>
    <row r="70" spans="1:1">
      <c r="A70" s="27"/>
    </row>
    <row r="71" spans="1:1">
      <c r="A71" s="27"/>
    </row>
    <row r="72" spans="1:1">
      <c r="A72" s="27"/>
    </row>
    <row r="73" spans="1:1">
      <c r="A73" s="27"/>
    </row>
    <row r="74" spans="1:1">
      <c r="A74" s="27"/>
    </row>
    <row r="75" spans="1:1">
      <c r="A75" s="27"/>
    </row>
    <row r="76" spans="1:1">
      <c r="A76" s="27"/>
    </row>
    <row r="77" spans="1:1">
      <c r="A77" s="27"/>
    </row>
    <row r="78" spans="1:1">
      <c r="A78" s="27"/>
    </row>
    <row r="79" spans="1:1">
      <c r="A79" s="27"/>
    </row>
    <row r="80" spans="1:1">
      <c r="A80" s="27"/>
    </row>
    <row r="81" spans="1:1">
      <c r="A81" s="27"/>
    </row>
    <row r="82" spans="1:1">
      <c r="A82" s="27"/>
    </row>
    <row r="83" spans="1:1">
      <c r="A83" s="27"/>
    </row>
    <row r="84" spans="1:1">
      <c r="A84" s="27"/>
    </row>
    <row r="85" spans="1:1">
      <c r="A85" s="27"/>
    </row>
    <row r="86" spans="1:1">
      <c r="A86" s="27"/>
    </row>
    <row r="87" spans="1:1">
      <c r="A87" s="27"/>
    </row>
  </sheetData>
  <mergeCells count="8">
    <mergeCell ref="AL1:AL2"/>
    <mergeCell ref="A1:A29"/>
    <mergeCell ref="A30:A58"/>
    <mergeCell ref="A59:A87"/>
    <mergeCell ref="AH1:AH2"/>
    <mergeCell ref="AI1:AI2"/>
    <mergeCell ref="AJ1:AJ2"/>
    <mergeCell ref="AK1:AK2"/>
  </mergeCells>
  <conditionalFormatting sqref="C3:AG9">
    <cfRule type="containsText" dxfId="15" priority="1" operator="containsText" text="l">
      <formula>NOT(ISERROR(SEARCH("l",C3)))</formula>
    </cfRule>
    <cfRule type="containsText" dxfId="14" priority="2" operator="containsText" text="ab">
      <formula>NOT(ISERROR(SEARCH("ab",C3)))</formula>
    </cfRule>
    <cfRule type="containsText" dxfId="13" priority="3" operator="containsText" text="p">
      <formula>NOT(ISERROR(SEARCH("p",C3)))</formula>
    </cfRule>
  </conditionalFormatting>
  <dataValidations count="3">
    <dataValidation type="list" allowBlank="1" showInputMessage="1" showErrorMessage="1" sqref="AN1" xr:uid="{00000000-0002-0000-1500-000000000000}">
      <formula1>"January,February,March,Aprail,May,June,July,August,September,October,November,December"</formula1>
    </dataValidation>
    <dataValidation type="list" allowBlank="1" showInputMessage="1" showErrorMessage="1" sqref="AN2" xr:uid="{00000000-0002-0000-1500-000001000000}">
      <formula1>"2020,2021,2022,2023,2024,2025,2026,2027,2028,2029,2030"</formula1>
    </dataValidation>
    <dataValidation type="list" allowBlank="1" showInputMessage="1" showErrorMessage="1" sqref="C3:AG9" xr:uid="{00000000-0002-0000-1500-000002000000}">
      <formula1>"p,ab,l"</formula1>
    </dataValidation>
  </dataValidation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2"/>
  <dimension ref="A1:AN87"/>
  <sheetViews>
    <sheetView topLeftCell="A2" workbookViewId="0">
      <pane xSplit="1" topLeftCell="X1" activePane="topRight" state="frozenSplit"/>
      <selection pane="topRight" activeCell="AO7" sqref="AO7"/>
    </sheetView>
  </sheetViews>
  <sheetFormatPr defaultRowHeight="15"/>
  <cols>
    <col min="1" max="1" width="16.85546875" bestFit="1" customWidth="1"/>
    <col min="2" max="2" width="15.7109375" customWidth="1"/>
    <col min="3" max="3" width="5.140625" style="12" customWidth="1"/>
    <col min="4" max="4" width="4.28515625" style="12" customWidth="1"/>
    <col min="5" max="5" width="5.28515625" style="12" customWidth="1"/>
    <col min="6" max="6" width="4.28515625" style="12" customWidth="1"/>
    <col min="7" max="7" width="3.42578125" style="12" customWidth="1"/>
    <col min="8" max="8" width="3.7109375" style="12" customWidth="1"/>
    <col min="9" max="9" width="4.28515625" style="12" customWidth="1"/>
    <col min="10" max="10" width="5.140625" style="12" customWidth="1"/>
    <col min="11" max="11" width="4.28515625" style="12" customWidth="1"/>
    <col min="12" max="12" width="5.28515625" style="12" customWidth="1"/>
    <col min="13" max="13" width="4.28515625" style="12" customWidth="1"/>
    <col min="14" max="14" width="3.28515625" style="12" customWidth="1"/>
    <col min="15" max="15" width="3.7109375" style="12" customWidth="1"/>
    <col min="16" max="16" width="4.28515625" style="12" customWidth="1"/>
    <col min="17" max="17" width="5.140625" style="12" customWidth="1"/>
    <col min="18" max="18" width="4.28515625" style="12" customWidth="1"/>
    <col min="19" max="19" width="5.28515625" style="12" customWidth="1"/>
    <col min="20" max="20" width="4.28515625" style="12" customWidth="1"/>
    <col min="21" max="21" width="3.28515625" style="12" customWidth="1"/>
    <col min="22" max="22" width="3.7109375" style="12" customWidth="1"/>
    <col min="23" max="23" width="4.28515625" style="12" customWidth="1"/>
    <col min="24" max="24" width="5.140625" style="12" customWidth="1"/>
    <col min="25" max="25" width="4.28515625" style="12" customWidth="1"/>
    <col min="26" max="26" width="5.28515625" style="12" customWidth="1"/>
    <col min="27" max="27" width="4.28515625" style="12" customWidth="1"/>
    <col min="28" max="28" width="3.42578125" style="12" customWidth="1"/>
    <col min="29" max="29" width="3.7109375" style="12" customWidth="1"/>
    <col min="30" max="30" width="4.28515625" style="12" customWidth="1"/>
    <col min="31" max="31" width="5.140625" style="12" customWidth="1"/>
    <col min="32" max="32" width="4.28515625" style="12" customWidth="1"/>
    <col min="33" max="33" width="5.28515625" style="12" customWidth="1"/>
    <col min="34" max="34" width="14.5703125" customWidth="1"/>
    <col min="35" max="35" width="7.85546875" customWidth="1"/>
    <col min="36" max="36" width="7.28515625" customWidth="1"/>
    <col min="37" max="37" width="6.140625" customWidth="1"/>
    <col min="38" max="38" width="10" customWidth="1"/>
    <col min="39" max="39" width="12.42578125" customWidth="1"/>
    <col min="40" max="40" width="9.7109375" customWidth="1"/>
  </cols>
  <sheetData>
    <row r="1" spans="1:40">
      <c r="A1" s="27"/>
      <c r="C1" s="17" t="str">
        <f>TEXT(C2,"DDD")</f>
        <v>Sun</v>
      </c>
      <c r="D1" s="17" t="str">
        <f t="shared" ref="D1:AG1" si="0">TEXT(D2,"DDD")</f>
        <v>Mon</v>
      </c>
      <c r="E1" s="17" t="str">
        <f t="shared" si="0"/>
        <v>Tue</v>
      </c>
      <c r="F1" s="17" t="str">
        <f t="shared" si="0"/>
        <v>Wed</v>
      </c>
      <c r="G1" s="17" t="str">
        <f t="shared" si="0"/>
        <v>Thu</v>
      </c>
      <c r="H1" s="17" t="str">
        <f t="shared" si="0"/>
        <v>Fri</v>
      </c>
      <c r="I1" s="17" t="str">
        <f t="shared" si="0"/>
        <v>Sat</v>
      </c>
      <c r="J1" s="17" t="str">
        <f t="shared" si="0"/>
        <v>Sun</v>
      </c>
      <c r="K1" s="17" t="str">
        <f t="shared" si="0"/>
        <v>Mon</v>
      </c>
      <c r="L1" s="17" t="str">
        <f t="shared" si="0"/>
        <v>Tue</v>
      </c>
      <c r="M1" s="17" t="str">
        <f t="shared" si="0"/>
        <v>Wed</v>
      </c>
      <c r="N1" s="17" t="str">
        <f t="shared" si="0"/>
        <v>Thu</v>
      </c>
      <c r="O1" s="17" t="str">
        <f t="shared" si="0"/>
        <v>Fri</v>
      </c>
      <c r="P1" s="17" t="str">
        <f t="shared" si="0"/>
        <v>Sat</v>
      </c>
      <c r="Q1" s="17" t="str">
        <f t="shared" si="0"/>
        <v>Sun</v>
      </c>
      <c r="R1" s="17" t="str">
        <f t="shared" si="0"/>
        <v>Mon</v>
      </c>
      <c r="S1" s="17" t="str">
        <f t="shared" si="0"/>
        <v>Tue</v>
      </c>
      <c r="T1" s="17" t="str">
        <f t="shared" si="0"/>
        <v>Wed</v>
      </c>
      <c r="U1" s="17" t="str">
        <f t="shared" si="0"/>
        <v>Thu</v>
      </c>
      <c r="V1" s="17" t="str">
        <f t="shared" si="0"/>
        <v>Fri</v>
      </c>
      <c r="W1" s="17" t="str">
        <f t="shared" si="0"/>
        <v>Sat</v>
      </c>
      <c r="X1" s="17" t="str">
        <f t="shared" si="0"/>
        <v>Sun</v>
      </c>
      <c r="Y1" s="17" t="str">
        <f t="shared" si="0"/>
        <v>Mon</v>
      </c>
      <c r="Z1" s="17" t="str">
        <f t="shared" si="0"/>
        <v>Tue</v>
      </c>
      <c r="AA1" s="17" t="str">
        <f t="shared" si="0"/>
        <v>Wed</v>
      </c>
      <c r="AB1" s="17" t="str">
        <f t="shared" si="0"/>
        <v>Thu</v>
      </c>
      <c r="AC1" s="17" t="str">
        <f t="shared" si="0"/>
        <v>Fri</v>
      </c>
      <c r="AD1" s="17" t="str">
        <f t="shared" si="0"/>
        <v>Sat</v>
      </c>
      <c r="AE1" s="17" t="str">
        <f t="shared" si="0"/>
        <v>Sun</v>
      </c>
      <c r="AF1" s="17" t="str">
        <f t="shared" si="0"/>
        <v>Mon</v>
      </c>
      <c r="AG1" s="17" t="str">
        <f t="shared" si="0"/>
        <v/>
      </c>
      <c r="AH1" s="33" t="s">
        <v>106</v>
      </c>
      <c r="AI1" s="31" t="s">
        <v>107</v>
      </c>
      <c r="AJ1" s="31" t="s">
        <v>108</v>
      </c>
      <c r="AK1" s="31" t="s">
        <v>109</v>
      </c>
      <c r="AL1" s="31" t="s">
        <v>110</v>
      </c>
      <c r="AM1" s="5" t="s">
        <v>81</v>
      </c>
      <c r="AN1" s="10" t="s">
        <v>102</v>
      </c>
    </row>
    <row r="2" spans="1:40">
      <c r="A2" s="27"/>
      <c r="B2" t="s">
        <v>111</v>
      </c>
      <c r="C2" s="18">
        <f>IF(COLUMNS($C$2:C2)&gt;DAY($AN$4),"",$AN$3+COLUMNS($C$2:C2)-1)</f>
        <v>45536</v>
      </c>
      <c r="D2" s="18">
        <f>IF(COLUMNS($C$2:D2)&gt;DAY($AN$4),"",$AN$3+COLUMNS($C$2:D2)-1)</f>
        <v>45537</v>
      </c>
      <c r="E2" s="18">
        <f>IF(COLUMNS($C$2:E2)&gt;DAY($AN$4),"",$AN$3+COLUMNS($C$2:E2)-1)</f>
        <v>45538</v>
      </c>
      <c r="F2" s="18">
        <f>IF(COLUMNS($C$2:F2)&gt;DAY($AN$4),"",$AN$3+COLUMNS($C$2:F2)-1)</f>
        <v>45539</v>
      </c>
      <c r="G2" s="18">
        <f>IF(COLUMNS($C$2:G2)&gt;DAY($AN$4),"",$AN$3+COLUMNS($C$2:G2)-1)</f>
        <v>45540</v>
      </c>
      <c r="H2" s="18">
        <f>IF(COLUMNS($C$2:H2)&gt;DAY($AN$4),"",$AN$3+COLUMNS($C$2:H2)-1)</f>
        <v>45541</v>
      </c>
      <c r="I2" s="18">
        <f>IF(COLUMNS($C$2:I2)&gt;DAY($AN$4),"",$AN$3+COLUMNS($C$2:I2)-1)</f>
        <v>45542</v>
      </c>
      <c r="J2" s="18">
        <f>IF(COLUMNS($C$2:J2)&gt;DAY($AN$4),"",$AN$3+COLUMNS($C$2:J2)-1)</f>
        <v>45543</v>
      </c>
      <c r="K2" s="18">
        <f>IF(COLUMNS($C$2:K2)&gt;DAY($AN$4),"",$AN$3+COLUMNS($C$2:K2)-1)</f>
        <v>45544</v>
      </c>
      <c r="L2" s="18">
        <f>IF(COLUMNS($C$2:L2)&gt;DAY($AN$4),"",$AN$3+COLUMNS($C$2:L2)-1)</f>
        <v>45545</v>
      </c>
      <c r="M2" s="18">
        <f>IF(COLUMNS($C$2:M2)&gt;DAY($AN$4),"",$AN$3+COLUMNS($C$2:M2)-1)</f>
        <v>45546</v>
      </c>
      <c r="N2" s="18">
        <f>IF(COLUMNS($C$2:N2)&gt;DAY($AN$4),"",$AN$3+COLUMNS($C$2:N2)-1)</f>
        <v>45547</v>
      </c>
      <c r="O2" s="18">
        <f>IF(COLUMNS($C$2:O2)&gt;DAY($AN$4),"",$AN$3+COLUMNS($C$2:O2)-1)</f>
        <v>45548</v>
      </c>
      <c r="P2" s="18">
        <f>IF(COLUMNS($C$2:P2)&gt;DAY($AN$4),"",$AN$3+COLUMNS($C$2:P2)-1)</f>
        <v>45549</v>
      </c>
      <c r="Q2" s="18">
        <f>IF(COLUMNS($C$2:Q2)&gt;DAY($AN$4),"",$AN$3+COLUMNS($C$2:Q2)-1)</f>
        <v>45550</v>
      </c>
      <c r="R2" s="18">
        <f>IF(COLUMNS($C$2:R2)&gt;DAY($AN$4),"",$AN$3+COLUMNS($C$2:R2)-1)</f>
        <v>45551</v>
      </c>
      <c r="S2" s="18">
        <f>IF(COLUMNS($C$2:S2)&gt;DAY($AN$4),"",$AN$3+COLUMNS($C$2:S2)-1)</f>
        <v>45552</v>
      </c>
      <c r="T2" s="18">
        <f>IF(COLUMNS($C$2:T2)&gt;DAY($AN$4),"",$AN$3+COLUMNS($C$2:T2)-1)</f>
        <v>45553</v>
      </c>
      <c r="U2" s="18">
        <f>IF(COLUMNS($C$2:U2)&gt;DAY($AN$4),"",$AN$3+COLUMNS($C$2:U2)-1)</f>
        <v>45554</v>
      </c>
      <c r="V2" s="18">
        <f>IF(COLUMNS($C$2:V2)&gt;DAY($AN$4),"",$AN$3+COLUMNS($C$2:V2)-1)</f>
        <v>45555</v>
      </c>
      <c r="W2" s="18">
        <f>IF(COLUMNS($C$2:W2)&gt;DAY($AN$4),"",$AN$3+COLUMNS($C$2:W2)-1)</f>
        <v>45556</v>
      </c>
      <c r="X2" s="18">
        <f>IF(COLUMNS($C$2:X2)&gt;DAY($AN$4),"",$AN$3+COLUMNS($C$2:X2)-1)</f>
        <v>45557</v>
      </c>
      <c r="Y2" s="18">
        <f>IF(COLUMNS($C$2:Y2)&gt;DAY($AN$4),"",$AN$3+COLUMNS($C$2:Y2)-1)</f>
        <v>45558</v>
      </c>
      <c r="Z2" s="18">
        <f>IF(COLUMNS($C$2:Z2)&gt;DAY($AN$4),"",$AN$3+COLUMNS($C$2:Z2)-1)</f>
        <v>45559</v>
      </c>
      <c r="AA2" s="18">
        <f>IF(COLUMNS($C$2:AA2)&gt;DAY($AN$4),"",$AN$3+COLUMNS($C$2:AA2)-1)</f>
        <v>45560</v>
      </c>
      <c r="AB2" s="18">
        <f>IF(COLUMNS($C$2:AB2)&gt;DAY($AN$4),"",$AN$3+COLUMNS($C$2:AB2)-1)</f>
        <v>45561</v>
      </c>
      <c r="AC2" s="18">
        <f>IF(COLUMNS($C$2:AC2)&gt;DAY($AN$4),"",$AN$3+COLUMNS($C$2:AC2)-1)</f>
        <v>45562</v>
      </c>
      <c r="AD2" s="18">
        <f>IF(COLUMNS($C$2:AD2)&gt;DAY($AN$4),"",$AN$3+COLUMNS($C$2:AD2)-1)</f>
        <v>45563</v>
      </c>
      <c r="AE2" s="18">
        <f>IF(COLUMNS($C$2:AE2)&gt;DAY($AN$4),"",$AN$3+COLUMNS($C$2:AE2)-1)</f>
        <v>45564</v>
      </c>
      <c r="AF2" s="18">
        <f>IF(COLUMNS($C$2:AF2)&gt;DAY($AN$4),"",$AN$3+COLUMNS($C$2:AF2)-1)</f>
        <v>45565</v>
      </c>
      <c r="AG2" s="18" t="str">
        <f>IF(COLUMNS($C$2:AG2)&gt;DAY($AN$4),"",$AN$3+COLUMNS($C$2:AG2)-1)</f>
        <v/>
      </c>
      <c r="AH2" s="34"/>
      <c r="AI2" s="32"/>
      <c r="AJ2" s="32"/>
      <c r="AK2" s="32"/>
      <c r="AL2" s="32"/>
      <c r="AM2" s="6" t="s">
        <v>83</v>
      </c>
      <c r="AN2" s="11">
        <v>2024</v>
      </c>
    </row>
    <row r="3" spans="1:40">
      <c r="A3" s="27"/>
      <c r="B3" t="s">
        <v>88</v>
      </c>
      <c r="C3" t="s">
        <v>112</v>
      </c>
      <c r="D3" t="s">
        <v>112</v>
      </c>
      <c r="E3" t="s">
        <v>112</v>
      </c>
      <c r="F3" t="s">
        <v>112</v>
      </c>
      <c r="G3" t="s">
        <v>112</v>
      </c>
      <c r="H3" t="s">
        <v>112</v>
      </c>
      <c r="I3" t="s">
        <v>112</v>
      </c>
      <c r="J3" t="s">
        <v>112</v>
      </c>
      <c r="K3" t="s">
        <v>112</v>
      </c>
      <c r="L3" t="s">
        <v>112</v>
      </c>
      <c r="M3" t="s">
        <v>112</v>
      </c>
      <c r="N3" t="s">
        <v>112</v>
      </c>
      <c r="O3" t="s">
        <v>112</v>
      </c>
      <c r="P3" t="s">
        <v>112</v>
      </c>
      <c r="Q3" t="s">
        <v>112</v>
      </c>
      <c r="R3" t="s">
        <v>112</v>
      </c>
      <c r="S3" t="s">
        <v>112</v>
      </c>
      <c r="T3" t="s">
        <v>112</v>
      </c>
      <c r="U3" t="s">
        <v>112</v>
      </c>
      <c r="V3" t="s">
        <v>112</v>
      </c>
      <c r="W3" t="s">
        <v>112</v>
      </c>
      <c r="X3" t="s">
        <v>112</v>
      </c>
      <c r="Y3" t="s">
        <v>112</v>
      </c>
      <c r="Z3" t="s">
        <v>112</v>
      </c>
      <c r="AA3" t="s">
        <v>112</v>
      </c>
      <c r="AB3" t="s">
        <v>112</v>
      </c>
      <c r="AC3" t="s">
        <v>112</v>
      </c>
      <c r="AD3" t="s">
        <v>112</v>
      </c>
      <c r="AE3" t="s">
        <v>112</v>
      </c>
      <c r="AF3" t="s">
        <v>112</v>
      </c>
      <c r="AG3"/>
      <c r="AH3" s="16">
        <v>50000</v>
      </c>
      <c r="AI3" s="16">
        <f>COUNTIF($C3:$AG3,"P")</f>
        <v>30</v>
      </c>
      <c r="AJ3" s="16">
        <f>COUNTIF($C3:$AG3,"Ab")</f>
        <v>0</v>
      </c>
      <c r="AK3" s="16">
        <f>COUNTIF($C3:$AG3,"L")</f>
        <v>0</v>
      </c>
      <c r="AL3" s="16">
        <f>AH3/30*(AI3+AK3)</f>
        <v>50000</v>
      </c>
      <c r="AM3" s="7" t="s">
        <v>84</v>
      </c>
      <c r="AN3" s="4">
        <f>DATE(AN2,MONTH(AN1&amp;1),1)</f>
        <v>45536</v>
      </c>
    </row>
    <row r="4" spans="1:40">
      <c r="A4" s="27"/>
      <c r="B4" t="s">
        <v>89</v>
      </c>
      <c r="C4" t="s">
        <v>112</v>
      </c>
      <c r="D4" t="s">
        <v>112</v>
      </c>
      <c r="E4" t="s">
        <v>112</v>
      </c>
      <c r="F4" t="s">
        <v>112</v>
      </c>
      <c r="G4" t="s">
        <v>112</v>
      </c>
      <c r="H4" t="s">
        <v>112</v>
      </c>
      <c r="I4" t="s">
        <v>112</v>
      </c>
      <c r="J4" t="s">
        <v>112</v>
      </c>
      <c r="K4" t="s">
        <v>112</v>
      </c>
      <c r="L4" t="s">
        <v>112</v>
      </c>
      <c r="M4" t="s">
        <v>112</v>
      </c>
      <c r="N4" t="s">
        <v>112</v>
      </c>
      <c r="O4" t="s">
        <v>112</v>
      </c>
      <c r="P4" t="s">
        <v>112</v>
      </c>
      <c r="Q4" t="s">
        <v>112</v>
      </c>
      <c r="R4" t="s">
        <v>112</v>
      </c>
      <c r="S4" t="s">
        <v>112</v>
      </c>
      <c r="T4" t="s">
        <v>112</v>
      </c>
      <c r="U4" t="s">
        <v>112</v>
      </c>
      <c r="V4" t="s">
        <v>112</v>
      </c>
      <c r="W4" t="s">
        <v>112</v>
      </c>
      <c r="X4" t="s">
        <v>112</v>
      </c>
      <c r="Y4" t="s">
        <v>112</v>
      </c>
      <c r="Z4" t="s">
        <v>112</v>
      </c>
      <c r="AA4" t="s">
        <v>112</v>
      </c>
      <c r="AB4" t="s">
        <v>112</v>
      </c>
      <c r="AC4" t="s">
        <v>112</v>
      </c>
      <c r="AD4" t="s">
        <v>112</v>
      </c>
      <c r="AE4" t="s">
        <v>112</v>
      </c>
      <c r="AF4" t="s">
        <v>112</v>
      </c>
      <c r="AG4"/>
      <c r="AH4" s="25">
        <v>15000</v>
      </c>
      <c r="AI4" s="16">
        <f t="shared" ref="AI4:AI6" si="1">COUNTIF($C4:$AG4,"P")</f>
        <v>30</v>
      </c>
      <c r="AJ4" s="16">
        <f t="shared" ref="AJ4:AJ6" si="2">COUNTIF($C4:$AG4,"Ab")</f>
        <v>0</v>
      </c>
      <c r="AK4" s="16">
        <f t="shared" ref="AK4:AK6" si="3">COUNTIF($C4:$AG4,"L")</f>
        <v>0</v>
      </c>
      <c r="AL4" s="16">
        <f t="shared" ref="AL4:AL6" si="4">AH4/30*(AI4+AK4)</f>
        <v>15000</v>
      </c>
      <c r="AM4" s="7" t="s">
        <v>85</v>
      </c>
      <c r="AN4" s="4">
        <f>EOMONTH(AN3,0)</f>
        <v>45565</v>
      </c>
    </row>
    <row r="5" spans="1:40">
      <c r="A5" s="27"/>
      <c r="B5" t="s">
        <v>90</v>
      </c>
      <c r="C5" t="s">
        <v>112</v>
      </c>
      <c r="D5" t="s">
        <v>112</v>
      </c>
      <c r="E5" t="s">
        <v>112</v>
      </c>
      <c r="F5" t="s">
        <v>112</v>
      </c>
      <c r="G5" t="s">
        <v>112</v>
      </c>
      <c r="H5" t="s">
        <v>112</v>
      </c>
      <c r="I5" t="s">
        <v>112</v>
      </c>
      <c r="J5" t="s">
        <v>112</v>
      </c>
      <c r="K5" t="s">
        <v>112</v>
      </c>
      <c r="L5" t="s">
        <v>112</v>
      </c>
      <c r="M5" t="s">
        <v>112</v>
      </c>
      <c r="N5" t="s">
        <v>112</v>
      </c>
      <c r="O5" t="s">
        <v>112</v>
      </c>
      <c r="P5" t="s">
        <v>112</v>
      </c>
      <c r="Q5" t="s">
        <v>112</v>
      </c>
      <c r="R5" t="s">
        <v>112</v>
      </c>
      <c r="S5" t="s">
        <v>112</v>
      </c>
      <c r="T5" t="s">
        <v>112</v>
      </c>
      <c r="U5" t="s">
        <v>112</v>
      </c>
      <c r="V5" t="s">
        <v>112</v>
      </c>
      <c r="W5" t="s">
        <v>112</v>
      </c>
      <c r="X5" t="s">
        <v>112</v>
      </c>
      <c r="Y5" t="s">
        <v>112</v>
      </c>
      <c r="Z5" t="s">
        <v>112</v>
      </c>
      <c r="AA5" t="s">
        <v>112</v>
      </c>
      <c r="AB5" t="s">
        <v>112</v>
      </c>
      <c r="AC5" t="s">
        <v>112</v>
      </c>
      <c r="AD5" t="s">
        <v>112</v>
      </c>
      <c r="AE5" t="s">
        <v>112</v>
      </c>
      <c r="AF5" t="s">
        <v>112</v>
      </c>
      <c r="AG5"/>
      <c r="AH5" s="25">
        <v>18000</v>
      </c>
      <c r="AI5" s="16">
        <f t="shared" si="1"/>
        <v>30</v>
      </c>
      <c r="AJ5" s="16">
        <f t="shared" si="2"/>
        <v>0</v>
      </c>
      <c r="AK5" s="16">
        <f t="shared" si="3"/>
        <v>0</v>
      </c>
      <c r="AL5" s="16">
        <f t="shared" si="4"/>
        <v>18000</v>
      </c>
    </row>
    <row r="6" spans="1:40">
      <c r="A6" s="27"/>
      <c r="B6" t="s">
        <v>91</v>
      </c>
      <c r="C6" t="s">
        <v>112</v>
      </c>
      <c r="D6" t="s">
        <v>112</v>
      </c>
      <c r="E6" t="s">
        <v>112</v>
      </c>
      <c r="F6" t="s">
        <v>112</v>
      </c>
      <c r="G6" t="s">
        <v>112</v>
      </c>
      <c r="H6" t="s">
        <v>112</v>
      </c>
      <c r="I6" t="s">
        <v>112</v>
      </c>
      <c r="J6" t="s">
        <v>112</v>
      </c>
      <c r="K6" t="s">
        <v>112</v>
      </c>
      <c r="L6" t="s">
        <v>112</v>
      </c>
      <c r="M6" t="s">
        <v>112</v>
      </c>
      <c r="N6" t="s">
        <v>112</v>
      </c>
      <c r="O6" t="s">
        <v>112</v>
      </c>
      <c r="P6" t="s">
        <v>112</v>
      </c>
      <c r="Q6" t="s">
        <v>112</v>
      </c>
      <c r="R6" t="s">
        <v>112</v>
      </c>
      <c r="S6" t="s">
        <v>112</v>
      </c>
      <c r="T6" t="s">
        <v>112</v>
      </c>
      <c r="U6" t="s">
        <v>112</v>
      </c>
      <c r="V6" t="s">
        <v>112</v>
      </c>
      <c r="W6" t="s">
        <v>112</v>
      </c>
      <c r="X6" t="s">
        <v>112</v>
      </c>
      <c r="Y6" t="s">
        <v>112</v>
      </c>
      <c r="Z6" t="s">
        <v>112</v>
      </c>
      <c r="AA6" t="s">
        <v>112</v>
      </c>
      <c r="AB6" t="s">
        <v>112</v>
      </c>
      <c r="AC6" t="s">
        <v>112</v>
      </c>
      <c r="AD6" t="s">
        <v>112</v>
      </c>
      <c r="AE6" t="s">
        <v>112</v>
      </c>
      <c r="AF6" t="s">
        <v>112</v>
      </c>
      <c r="AG6"/>
      <c r="AH6" s="25">
        <v>10000</v>
      </c>
      <c r="AI6" s="16">
        <f t="shared" si="1"/>
        <v>30</v>
      </c>
      <c r="AJ6" s="16">
        <f t="shared" si="2"/>
        <v>0</v>
      </c>
      <c r="AK6" s="16">
        <f t="shared" si="3"/>
        <v>0</v>
      </c>
      <c r="AL6" s="16">
        <f t="shared" si="4"/>
        <v>10000</v>
      </c>
    </row>
    <row r="7" spans="1:40">
      <c r="A7" s="27"/>
      <c r="C7"/>
      <c r="D7"/>
      <c r="E7"/>
      <c r="F7"/>
      <c r="G7"/>
      <c r="H7"/>
      <c r="I7"/>
      <c r="J7"/>
      <c r="K7"/>
      <c r="L7"/>
      <c r="M7"/>
      <c r="N7"/>
      <c r="O7"/>
      <c r="P7"/>
      <c r="Q7"/>
      <c r="R7"/>
      <c r="S7"/>
      <c r="T7"/>
      <c r="U7"/>
      <c r="V7"/>
      <c r="W7"/>
      <c r="X7"/>
      <c r="Y7"/>
      <c r="Z7"/>
      <c r="AA7"/>
      <c r="AB7"/>
      <c r="AC7"/>
      <c r="AD7"/>
      <c r="AE7"/>
      <c r="AF7"/>
      <c r="AG7"/>
    </row>
    <row r="8" spans="1:40">
      <c r="A8" s="27"/>
      <c r="C8"/>
      <c r="D8"/>
      <c r="E8"/>
      <c r="F8"/>
      <c r="G8"/>
      <c r="H8"/>
      <c r="I8"/>
      <c r="J8"/>
      <c r="K8"/>
      <c r="L8"/>
      <c r="M8"/>
      <c r="N8"/>
      <c r="O8"/>
      <c r="P8"/>
      <c r="Q8"/>
      <c r="R8"/>
      <c r="S8"/>
      <c r="T8"/>
      <c r="U8"/>
      <c r="V8"/>
      <c r="W8"/>
      <c r="X8"/>
      <c r="Y8"/>
      <c r="Z8"/>
      <c r="AA8"/>
      <c r="AB8"/>
      <c r="AC8"/>
      <c r="AD8"/>
      <c r="AE8"/>
      <c r="AF8"/>
      <c r="AG8"/>
    </row>
    <row r="9" spans="1:40">
      <c r="A9" s="27"/>
      <c r="C9"/>
      <c r="D9"/>
      <c r="E9"/>
      <c r="F9"/>
      <c r="G9"/>
      <c r="H9"/>
      <c r="I9"/>
      <c r="J9"/>
      <c r="K9"/>
      <c r="L9"/>
      <c r="M9"/>
      <c r="N9"/>
      <c r="O9"/>
      <c r="P9"/>
      <c r="Q9"/>
      <c r="R9"/>
      <c r="S9"/>
      <c r="T9"/>
      <c r="U9"/>
      <c r="V9"/>
      <c r="W9"/>
      <c r="X9"/>
      <c r="Y9"/>
      <c r="Z9"/>
      <c r="AA9"/>
      <c r="AB9"/>
      <c r="AC9"/>
      <c r="AD9"/>
      <c r="AE9"/>
      <c r="AF9"/>
      <c r="AG9"/>
    </row>
    <row r="10" spans="1:40">
      <c r="A10" s="27"/>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row>
    <row r="11" spans="1:40">
      <c r="A11" s="27"/>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row>
    <row r="12" spans="1:40">
      <c r="A12" s="27"/>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row>
    <row r="13" spans="1:40">
      <c r="A13" s="27"/>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row>
    <row r="14" spans="1:40">
      <c r="A14" s="27"/>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row>
    <row r="15" spans="1:40">
      <c r="A15" s="27"/>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row>
    <row r="16" spans="1:40">
      <c r="A16" s="27"/>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row>
    <row r="17" spans="1:1">
      <c r="A17" s="27"/>
    </row>
    <row r="18" spans="1:1">
      <c r="A18" s="27"/>
    </row>
    <row r="19" spans="1:1">
      <c r="A19" s="27"/>
    </row>
    <row r="20" spans="1:1">
      <c r="A20" s="27"/>
    </row>
    <row r="21" spans="1:1">
      <c r="A21" s="27"/>
    </row>
    <row r="22" spans="1:1">
      <c r="A22" s="27"/>
    </row>
    <row r="23" spans="1:1">
      <c r="A23" s="27"/>
    </row>
    <row r="24" spans="1:1">
      <c r="A24" s="27"/>
    </row>
    <row r="25" spans="1:1">
      <c r="A25" s="27"/>
    </row>
    <row r="26" spans="1:1">
      <c r="A26" s="27"/>
    </row>
    <row r="27" spans="1:1">
      <c r="A27" s="27"/>
    </row>
    <row r="28" spans="1:1">
      <c r="A28" s="27"/>
    </row>
    <row r="29" spans="1:1">
      <c r="A29" s="27"/>
    </row>
    <row r="30" spans="1:1">
      <c r="A30" s="27"/>
    </row>
    <row r="31" spans="1:1">
      <c r="A31" s="27"/>
    </row>
    <row r="32" spans="1:1">
      <c r="A32" s="27"/>
    </row>
    <row r="33" spans="1:1">
      <c r="A33" s="27"/>
    </row>
    <row r="34" spans="1:1">
      <c r="A34" s="27"/>
    </row>
    <row r="35" spans="1:1">
      <c r="A35" s="27"/>
    </row>
    <row r="36" spans="1:1">
      <c r="A36" s="27"/>
    </row>
    <row r="37" spans="1:1">
      <c r="A37" s="27"/>
    </row>
    <row r="38" spans="1:1">
      <c r="A38" s="27"/>
    </row>
    <row r="39" spans="1:1">
      <c r="A39" s="27"/>
    </row>
    <row r="40" spans="1:1">
      <c r="A40" s="27"/>
    </row>
    <row r="41" spans="1:1">
      <c r="A41" s="27"/>
    </row>
    <row r="42" spans="1:1">
      <c r="A42" s="27"/>
    </row>
    <row r="43" spans="1:1">
      <c r="A43" s="27"/>
    </row>
    <row r="44" spans="1:1">
      <c r="A44" s="27"/>
    </row>
    <row r="45" spans="1:1">
      <c r="A45" s="27"/>
    </row>
    <row r="46" spans="1:1">
      <c r="A46" s="27"/>
    </row>
    <row r="47" spans="1:1">
      <c r="A47" s="27"/>
    </row>
    <row r="48" spans="1:1">
      <c r="A48" s="27"/>
    </row>
    <row r="49" spans="1:1">
      <c r="A49" s="27"/>
    </row>
    <row r="50" spans="1:1">
      <c r="A50" s="27"/>
    </row>
    <row r="51" spans="1:1">
      <c r="A51" s="27"/>
    </row>
    <row r="52" spans="1:1">
      <c r="A52" s="27"/>
    </row>
    <row r="53" spans="1:1">
      <c r="A53" s="27"/>
    </row>
    <row r="54" spans="1:1">
      <c r="A54" s="27"/>
    </row>
    <row r="55" spans="1:1">
      <c r="A55" s="27"/>
    </row>
    <row r="56" spans="1:1">
      <c r="A56" s="27"/>
    </row>
    <row r="57" spans="1:1">
      <c r="A57" s="27"/>
    </row>
    <row r="58" spans="1:1">
      <c r="A58" s="27"/>
    </row>
    <row r="59" spans="1:1">
      <c r="A59" s="27"/>
    </row>
    <row r="60" spans="1:1">
      <c r="A60" s="27"/>
    </row>
    <row r="61" spans="1:1">
      <c r="A61" s="27"/>
    </row>
    <row r="62" spans="1:1">
      <c r="A62" s="27"/>
    </row>
    <row r="63" spans="1:1">
      <c r="A63" s="27"/>
    </row>
    <row r="64" spans="1:1">
      <c r="A64" s="27"/>
    </row>
    <row r="65" spans="1:1">
      <c r="A65" s="27"/>
    </row>
    <row r="66" spans="1:1">
      <c r="A66" s="27"/>
    </row>
    <row r="67" spans="1:1">
      <c r="A67" s="27"/>
    </row>
    <row r="68" spans="1:1">
      <c r="A68" s="27"/>
    </row>
    <row r="69" spans="1:1">
      <c r="A69" s="27"/>
    </row>
    <row r="70" spans="1:1">
      <c r="A70" s="27"/>
    </row>
    <row r="71" spans="1:1">
      <c r="A71" s="27"/>
    </row>
    <row r="72" spans="1:1">
      <c r="A72" s="27"/>
    </row>
    <row r="73" spans="1:1">
      <c r="A73" s="27"/>
    </row>
    <row r="74" spans="1:1">
      <c r="A74" s="27"/>
    </row>
    <row r="75" spans="1:1">
      <c r="A75" s="27"/>
    </row>
    <row r="76" spans="1:1">
      <c r="A76" s="27"/>
    </row>
    <row r="77" spans="1:1">
      <c r="A77" s="27"/>
    </row>
    <row r="78" spans="1:1">
      <c r="A78" s="27"/>
    </row>
    <row r="79" spans="1:1">
      <c r="A79" s="27"/>
    </row>
    <row r="80" spans="1:1">
      <c r="A80" s="27"/>
    </row>
    <row r="81" spans="1:1">
      <c r="A81" s="27"/>
    </row>
    <row r="82" spans="1:1">
      <c r="A82" s="27"/>
    </row>
    <row r="83" spans="1:1">
      <c r="A83" s="27"/>
    </row>
    <row r="84" spans="1:1">
      <c r="A84" s="27"/>
    </row>
    <row r="85" spans="1:1">
      <c r="A85" s="27"/>
    </row>
    <row r="86" spans="1:1">
      <c r="A86" s="27"/>
    </row>
    <row r="87" spans="1:1">
      <c r="A87" s="27"/>
    </row>
  </sheetData>
  <mergeCells count="8">
    <mergeCell ref="AL1:AL2"/>
    <mergeCell ref="A1:A29"/>
    <mergeCell ref="A30:A58"/>
    <mergeCell ref="A59:A87"/>
    <mergeCell ref="AH1:AH2"/>
    <mergeCell ref="AI1:AI2"/>
    <mergeCell ref="AJ1:AJ2"/>
    <mergeCell ref="AK1:AK2"/>
  </mergeCells>
  <conditionalFormatting sqref="C3:AG9">
    <cfRule type="containsText" dxfId="12" priority="1" operator="containsText" text="l">
      <formula>NOT(ISERROR(SEARCH("l",C3)))</formula>
    </cfRule>
    <cfRule type="containsText" dxfId="11" priority="2" operator="containsText" text="ab">
      <formula>NOT(ISERROR(SEARCH("ab",C3)))</formula>
    </cfRule>
    <cfRule type="containsText" dxfId="10" priority="3" operator="containsText" text="p">
      <formula>NOT(ISERROR(SEARCH("p",C3)))</formula>
    </cfRule>
  </conditionalFormatting>
  <dataValidations count="3">
    <dataValidation type="list" allowBlank="1" showInputMessage="1" showErrorMessage="1" sqref="AN1" xr:uid="{00000000-0002-0000-1600-000000000000}">
      <formula1>"January,February,March,Aprail,May,June,July,August,September,October,November,December"</formula1>
    </dataValidation>
    <dataValidation type="list" allowBlank="1" showInputMessage="1" showErrorMessage="1" sqref="AN2" xr:uid="{00000000-0002-0000-1600-000001000000}">
      <formula1>"2020,2021,2022,2023,2024,2025,2026,2027,2028,2029,2030"</formula1>
    </dataValidation>
    <dataValidation type="list" allowBlank="1" showInputMessage="1" showErrorMessage="1" sqref="C3:AG9" xr:uid="{00000000-0002-0000-1600-000002000000}">
      <formula1>"p,ab,l"</formula1>
    </dataValidation>
  </dataValidation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3"/>
  <dimension ref="A1:AN87"/>
  <sheetViews>
    <sheetView topLeftCell="A2" workbookViewId="0">
      <pane xSplit="1" topLeftCell="I1" activePane="topRight" state="frozenSplit"/>
      <selection pane="topRight" activeCell="AL7" sqref="AL7"/>
    </sheetView>
  </sheetViews>
  <sheetFormatPr defaultRowHeight="15"/>
  <cols>
    <col min="1" max="1" width="16.85546875" bestFit="1" customWidth="1"/>
    <col min="2" max="2" width="15.7109375" customWidth="1"/>
    <col min="3" max="3" width="5.140625" style="12" customWidth="1"/>
    <col min="4" max="4" width="4.28515625" style="12" customWidth="1"/>
    <col min="5" max="5" width="5.28515625" style="12" customWidth="1"/>
    <col min="6" max="6" width="4.28515625" style="12" customWidth="1"/>
    <col min="7" max="7" width="3.42578125" style="12" customWidth="1"/>
    <col min="8" max="8" width="3.7109375" style="12" customWidth="1"/>
    <col min="9" max="9" width="4.28515625" style="12" customWidth="1"/>
    <col min="10" max="10" width="5.140625" style="12" customWidth="1"/>
    <col min="11" max="11" width="4.28515625" style="12" customWidth="1"/>
    <col min="12" max="12" width="5.28515625" style="12" customWidth="1"/>
    <col min="13" max="13" width="4.28515625" style="12" customWidth="1"/>
    <col min="14" max="14" width="3.28515625" style="12" customWidth="1"/>
    <col min="15" max="15" width="3.7109375" style="12" customWidth="1"/>
    <col min="16" max="16" width="4.28515625" style="12" customWidth="1"/>
    <col min="17" max="17" width="5.140625" style="12" customWidth="1"/>
    <col min="18" max="18" width="4.28515625" style="12" customWidth="1"/>
    <col min="19" max="19" width="5.28515625" style="12" customWidth="1"/>
    <col min="20" max="20" width="4.28515625" style="12" customWidth="1"/>
    <col min="21" max="21" width="3.28515625" style="12" customWidth="1"/>
    <col min="22" max="22" width="3.7109375" style="12" customWidth="1"/>
    <col min="23" max="23" width="4.28515625" style="12" customWidth="1"/>
    <col min="24" max="24" width="5.140625" style="12" customWidth="1"/>
    <col min="25" max="25" width="4.28515625" style="12" customWidth="1"/>
    <col min="26" max="26" width="5.28515625" style="12" customWidth="1"/>
    <col min="27" max="27" width="4.28515625" style="12" customWidth="1"/>
    <col min="28" max="28" width="3.42578125" style="12" customWidth="1"/>
    <col min="29" max="29" width="3.7109375" style="12" customWidth="1"/>
    <col min="30" max="30" width="4.28515625" style="12" customWidth="1"/>
    <col min="31" max="31" width="5.140625" style="12" customWidth="1"/>
    <col min="32" max="32" width="4.28515625" style="12" customWidth="1"/>
    <col min="33" max="33" width="5.28515625" style="12" customWidth="1"/>
    <col min="34" max="34" width="15.140625" customWidth="1"/>
    <col min="35" max="35" width="7.85546875" customWidth="1"/>
    <col min="36" max="36" width="7.28515625" customWidth="1"/>
    <col min="37" max="37" width="6.140625" customWidth="1"/>
    <col min="38" max="38" width="10" customWidth="1"/>
    <col min="39" max="39" width="12.42578125" customWidth="1"/>
    <col min="40" max="40" width="10.7109375" customWidth="1"/>
  </cols>
  <sheetData>
    <row r="1" spans="1:40">
      <c r="A1" s="27"/>
      <c r="C1" s="17" t="str">
        <f>TEXT(C2,"DDD")</f>
        <v>Tue</v>
      </c>
      <c r="D1" s="17" t="str">
        <f t="shared" ref="D1:AG1" si="0">TEXT(D2,"DDD")</f>
        <v>Wed</v>
      </c>
      <c r="E1" s="17" t="str">
        <f t="shared" si="0"/>
        <v>Thu</v>
      </c>
      <c r="F1" s="17" t="str">
        <f t="shared" si="0"/>
        <v>Fri</v>
      </c>
      <c r="G1" s="17" t="str">
        <f t="shared" si="0"/>
        <v>Sat</v>
      </c>
      <c r="H1" s="17" t="str">
        <f t="shared" si="0"/>
        <v>Sun</v>
      </c>
      <c r="I1" s="17" t="str">
        <f t="shared" si="0"/>
        <v>Mon</v>
      </c>
      <c r="J1" s="17" t="str">
        <f t="shared" si="0"/>
        <v>Tue</v>
      </c>
      <c r="K1" s="17" t="str">
        <f t="shared" si="0"/>
        <v>Wed</v>
      </c>
      <c r="L1" s="17" t="str">
        <f t="shared" si="0"/>
        <v>Thu</v>
      </c>
      <c r="M1" s="17" t="str">
        <f t="shared" si="0"/>
        <v>Fri</v>
      </c>
      <c r="N1" s="17" t="str">
        <f t="shared" si="0"/>
        <v>Sat</v>
      </c>
      <c r="O1" s="17" t="str">
        <f t="shared" si="0"/>
        <v>Sun</v>
      </c>
      <c r="P1" s="17" t="str">
        <f t="shared" si="0"/>
        <v>Mon</v>
      </c>
      <c r="Q1" s="17" t="str">
        <f t="shared" si="0"/>
        <v>Tue</v>
      </c>
      <c r="R1" s="17" t="str">
        <f t="shared" si="0"/>
        <v>Wed</v>
      </c>
      <c r="S1" s="17" t="str">
        <f t="shared" si="0"/>
        <v>Thu</v>
      </c>
      <c r="T1" s="17" t="str">
        <f t="shared" si="0"/>
        <v>Fri</v>
      </c>
      <c r="U1" s="17" t="str">
        <f t="shared" si="0"/>
        <v>Sat</v>
      </c>
      <c r="V1" s="17" t="str">
        <f t="shared" si="0"/>
        <v>Sun</v>
      </c>
      <c r="W1" s="17" t="str">
        <f t="shared" si="0"/>
        <v>Mon</v>
      </c>
      <c r="X1" s="17" t="str">
        <f t="shared" si="0"/>
        <v>Tue</v>
      </c>
      <c r="Y1" s="17" t="str">
        <f t="shared" si="0"/>
        <v>Wed</v>
      </c>
      <c r="Z1" s="17" t="str">
        <f t="shared" si="0"/>
        <v>Thu</v>
      </c>
      <c r="AA1" s="17" t="str">
        <f t="shared" si="0"/>
        <v>Fri</v>
      </c>
      <c r="AB1" s="17" t="str">
        <f t="shared" si="0"/>
        <v>Sat</v>
      </c>
      <c r="AC1" s="17" t="str">
        <f t="shared" si="0"/>
        <v>Sun</v>
      </c>
      <c r="AD1" s="17" t="str">
        <f t="shared" si="0"/>
        <v>Mon</v>
      </c>
      <c r="AE1" s="17" t="str">
        <f t="shared" si="0"/>
        <v>Tue</v>
      </c>
      <c r="AF1" s="17" t="str">
        <f t="shared" si="0"/>
        <v>Wed</v>
      </c>
      <c r="AG1" s="17" t="str">
        <f t="shared" si="0"/>
        <v>Thu</v>
      </c>
      <c r="AH1" s="33" t="s">
        <v>106</v>
      </c>
      <c r="AI1" s="31" t="s">
        <v>107</v>
      </c>
      <c r="AJ1" s="31" t="s">
        <v>108</v>
      </c>
      <c r="AK1" s="31" t="s">
        <v>109</v>
      </c>
      <c r="AL1" s="31" t="s">
        <v>110</v>
      </c>
      <c r="AM1" s="5" t="s">
        <v>81</v>
      </c>
      <c r="AN1" s="10" t="s">
        <v>103</v>
      </c>
    </row>
    <row r="2" spans="1:40">
      <c r="A2" s="27"/>
      <c r="B2" t="s">
        <v>111</v>
      </c>
      <c r="C2" s="18">
        <f>IF(COLUMNS($C$2:C2)&gt;DAY($AN$4),"",$AN$3+COLUMNS($C$2:C2)-1)</f>
        <v>45566</v>
      </c>
      <c r="D2" s="18">
        <f>IF(COLUMNS($C$2:D2)&gt;DAY($AN$4),"",$AN$3+COLUMNS($C$2:D2)-1)</f>
        <v>45567</v>
      </c>
      <c r="E2" s="18">
        <f>IF(COLUMNS($C$2:E2)&gt;DAY($AN$4),"",$AN$3+COLUMNS($C$2:E2)-1)</f>
        <v>45568</v>
      </c>
      <c r="F2" s="18">
        <f>IF(COLUMNS($C$2:F2)&gt;DAY($AN$4),"",$AN$3+COLUMNS($C$2:F2)-1)</f>
        <v>45569</v>
      </c>
      <c r="G2" s="18">
        <f>IF(COLUMNS($C$2:G2)&gt;DAY($AN$4),"",$AN$3+COLUMNS($C$2:G2)-1)</f>
        <v>45570</v>
      </c>
      <c r="H2" s="18">
        <f>IF(COLUMNS($C$2:H2)&gt;DAY($AN$4),"",$AN$3+COLUMNS($C$2:H2)-1)</f>
        <v>45571</v>
      </c>
      <c r="I2" s="18">
        <f>IF(COLUMNS($C$2:I2)&gt;DAY($AN$4),"",$AN$3+COLUMNS($C$2:I2)-1)</f>
        <v>45572</v>
      </c>
      <c r="J2" s="18">
        <f>IF(COLUMNS($C$2:J2)&gt;DAY($AN$4),"",$AN$3+COLUMNS($C$2:J2)-1)</f>
        <v>45573</v>
      </c>
      <c r="K2" s="18">
        <f>IF(COLUMNS($C$2:K2)&gt;DAY($AN$4),"",$AN$3+COLUMNS($C$2:K2)-1)</f>
        <v>45574</v>
      </c>
      <c r="L2" s="18">
        <f>IF(COLUMNS($C$2:L2)&gt;DAY($AN$4),"",$AN$3+COLUMNS($C$2:L2)-1)</f>
        <v>45575</v>
      </c>
      <c r="M2" s="18">
        <f>IF(COLUMNS($C$2:M2)&gt;DAY($AN$4),"",$AN$3+COLUMNS($C$2:M2)-1)</f>
        <v>45576</v>
      </c>
      <c r="N2" s="18">
        <f>IF(COLUMNS($C$2:N2)&gt;DAY($AN$4),"",$AN$3+COLUMNS($C$2:N2)-1)</f>
        <v>45577</v>
      </c>
      <c r="O2" s="18">
        <f>IF(COLUMNS($C$2:O2)&gt;DAY($AN$4),"",$AN$3+COLUMNS($C$2:O2)-1)</f>
        <v>45578</v>
      </c>
      <c r="P2" s="18">
        <f>IF(COLUMNS($C$2:P2)&gt;DAY($AN$4),"",$AN$3+COLUMNS($C$2:P2)-1)</f>
        <v>45579</v>
      </c>
      <c r="Q2" s="18">
        <f>IF(COLUMNS($C$2:Q2)&gt;DAY($AN$4),"",$AN$3+COLUMNS($C$2:Q2)-1)</f>
        <v>45580</v>
      </c>
      <c r="R2" s="18">
        <f>IF(COLUMNS($C$2:R2)&gt;DAY($AN$4),"",$AN$3+COLUMNS($C$2:R2)-1)</f>
        <v>45581</v>
      </c>
      <c r="S2" s="18">
        <f>IF(COLUMNS($C$2:S2)&gt;DAY($AN$4),"",$AN$3+COLUMNS($C$2:S2)-1)</f>
        <v>45582</v>
      </c>
      <c r="T2" s="18">
        <f>IF(COLUMNS($C$2:T2)&gt;DAY($AN$4),"",$AN$3+COLUMNS($C$2:T2)-1)</f>
        <v>45583</v>
      </c>
      <c r="U2" s="18">
        <f>IF(COLUMNS($C$2:U2)&gt;DAY($AN$4),"",$AN$3+COLUMNS($C$2:U2)-1)</f>
        <v>45584</v>
      </c>
      <c r="V2" s="18">
        <f>IF(COLUMNS($C$2:V2)&gt;DAY($AN$4),"",$AN$3+COLUMNS($C$2:V2)-1)</f>
        <v>45585</v>
      </c>
      <c r="W2" s="18">
        <f>IF(COLUMNS($C$2:W2)&gt;DAY($AN$4),"",$AN$3+COLUMNS($C$2:W2)-1)</f>
        <v>45586</v>
      </c>
      <c r="X2" s="18">
        <f>IF(COLUMNS($C$2:X2)&gt;DAY($AN$4),"",$AN$3+COLUMNS($C$2:X2)-1)</f>
        <v>45587</v>
      </c>
      <c r="Y2" s="18">
        <f>IF(COLUMNS($C$2:Y2)&gt;DAY($AN$4),"",$AN$3+COLUMNS($C$2:Y2)-1)</f>
        <v>45588</v>
      </c>
      <c r="Z2" s="18">
        <f>IF(COLUMNS($C$2:Z2)&gt;DAY($AN$4),"",$AN$3+COLUMNS($C$2:Z2)-1)</f>
        <v>45589</v>
      </c>
      <c r="AA2" s="18">
        <f>IF(COLUMNS($C$2:AA2)&gt;DAY($AN$4),"",$AN$3+COLUMNS($C$2:AA2)-1)</f>
        <v>45590</v>
      </c>
      <c r="AB2" s="18">
        <f>IF(COLUMNS($C$2:AB2)&gt;DAY($AN$4),"",$AN$3+COLUMNS($C$2:AB2)-1)</f>
        <v>45591</v>
      </c>
      <c r="AC2" s="18">
        <f>IF(COLUMNS($C$2:AC2)&gt;DAY($AN$4),"",$AN$3+COLUMNS($C$2:AC2)-1)</f>
        <v>45592</v>
      </c>
      <c r="AD2" s="18">
        <f>IF(COLUMNS($C$2:AD2)&gt;DAY($AN$4),"",$AN$3+COLUMNS($C$2:AD2)-1)</f>
        <v>45593</v>
      </c>
      <c r="AE2" s="18">
        <f>IF(COLUMNS($C$2:AE2)&gt;DAY($AN$4),"",$AN$3+COLUMNS($C$2:AE2)-1)</f>
        <v>45594</v>
      </c>
      <c r="AF2" s="18">
        <f>IF(COLUMNS($C$2:AF2)&gt;DAY($AN$4),"",$AN$3+COLUMNS($C$2:AF2)-1)</f>
        <v>45595</v>
      </c>
      <c r="AG2" s="18">
        <f>IF(COLUMNS($C$2:AG2)&gt;DAY($AN$4),"",$AN$3+COLUMNS($C$2:AG2)-1)</f>
        <v>45596</v>
      </c>
      <c r="AH2" s="34"/>
      <c r="AI2" s="32"/>
      <c r="AJ2" s="32"/>
      <c r="AK2" s="32"/>
      <c r="AL2" s="32"/>
      <c r="AM2" s="6" t="s">
        <v>83</v>
      </c>
      <c r="AN2" s="11">
        <v>2024</v>
      </c>
    </row>
    <row r="3" spans="1:40">
      <c r="A3" s="27"/>
      <c r="B3" t="s">
        <v>88</v>
      </c>
      <c r="C3" t="s">
        <v>112</v>
      </c>
      <c r="D3" t="s">
        <v>112</v>
      </c>
      <c r="E3" t="s">
        <v>112</v>
      </c>
      <c r="F3" t="s">
        <v>112</v>
      </c>
      <c r="G3" t="s">
        <v>112</v>
      </c>
      <c r="H3" t="s">
        <v>112</v>
      </c>
      <c r="I3" t="s">
        <v>112</v>
      </c>
      <c r="J3" t="s">
        <v>112</v>
      </c>
      <c r="K3" t="s">
        <v>112</v>
      </c>
      <c r="L3" t="s">
        <v>112</v>
      </c>
      <c r="M3" t="s">
        <v>112</v>
      </c>
      <c r="N3" t="s">
        <v>112</v>
      </c>
      <c r="O3" t="s">
        <v>112</v>
      </c>
      <c r="P3" t="s">
        <v>112</v>
      </c>
      <c r="Q3" t="s">
        <v>112</v>
      </c>
      <c r="R3" t="s">
        <v>112</v>
      </c>
      <c r="S3" t="s">
        <v>112</v>
      </c>
      <c r="T3" t="s">
        <v>112</v>
      </c>
      <c r="U3" t="s">
        <v>112</v>
      </c>
      <c r="V3" t="s">
        <v>112</v>
      </c>
      <c r="W3" t="s">
        <v>112</v>
      </c>
      <c r="X3"/>
      <c r="Y3"/>
      <c r="Z3"/>
      <c r="AA3"/>
      <c r="AB3"/>
      <c r="AC3"/>
      <c r="AD3"/>
      <c r="AE3"/>
      <c r="AF3"/>
      <c r="AG3"/>
      <c r="AH3" s="16">
        <v>50000</v>
      </c>
      <c r="AI3" s="16">
        <f>COUNTIF($C3:$AG3,"P")</f>
        <v>21</v>
      </c>
      <c r="AJ3" s="16">
        <f>COUNTIF($C3:$AG3,"Ab")</f>
        <v>0</v>
      </c>
      <c r="AK3" s="16">
        <f>COUNTIF($C3:$AG3,"L")</f>
        <v>0</v>
      </c>
      <c r="AL3" s="16">
        <f>AH3/30*(AI3+AK3)</f>
        <v>35000</v>
      </c>
      <c r="AM3" s="7" t="s">
        <v>84</v>
      </c>
      <c r="AN3" s="4">
        <f>DATE(AN2,MONTH(AN1&amp;1),1)</f>
        <v>45566</v>
      </c>
    </row>
    <row r="4" spans="1:40">
      <c r="A4" s="27"/>
      <c r="B4" t="s">
        <v>89</v>
      </c>
      <c r="C4" t="s">
        <v>112</v>
      </c>
      <c r="D4" t="s">
        <v>112</v>
      </c>
      <c r="E4" t="s">
        <v>112</v>
      </c>
      <c r="F4" t="s">
        <v>112</v>
      </c>
      <c r="G4" t="s">
        <v>112</v>
      </c>
      <c r="H4" t="s">
        <v>112</v>
      </c>
      <c r="I4" t="s">
        <v>112</v>
      </c>
      <c r="J4" t="s">
        <v>112</v>
      </c>
      <c r="K4" t="s">
        <v>112</v>
      </c>
      <c r="L4" t="s">
        <v>112</v>
      </c>
      <c r="M4" t="s">
        <v>112</v>
      </c>
      <c r="N4" t="s">
        <v>112</v>
      </c>
      <c r="O4" t="s">
        <v>112</v>
      </c>
      <c r="P4" t="s">
        <v>112</v>
      </c>
      <c r="Q4" t="s">
        <v>112</v>
      </c>
      <c r="R4" t="s">
        <v>112</v>
      </c>
      <c r="S4" t="s">
        <v>112</v>
      </c>
      <c r="T4" t="s">
        <v>112</v>
      </c>
      <c r="U4" t="s">
        <v>112</v>
      </c>
      <c r="V4" t="s">
        <v>112</v>
      </c>
      <c r="W4" t="s">
        <v>112</v>
      </c>
      <c r="X4"/>
      <c r="Y4"/>
      <c r="Z4"/>
      <c r="AA4"/>
      <c r="AB4"/>
      <c r="AC4"/>
      <c r="AD4"/>
      <c r="AE4"/>
      <c r="AF4"/>
      <c r="AG4"/>
      <c r="AH4" s="25">
        <v>15000</v>
      </c>
      <c r="AI4" s="16">
        <f t="shared" ref="AI4:AI6" si="1">COUNTIF($C4:$AG4,"P")</f>
        <v>21</v>
      </c>
      <c r="AJ4" s="16">
        <f t="shared" ref="AJ4:AJ6" si="2">COUNTIF($C4:$AG4,"Ab")</f>
        <v>0</v>
      </c>
      <c r="AK4" s="16">
        <f t="shared" ref="AK4:AK6" si="3">COUNTIF($C4:$AG4,"L")</f>
        <v>0</v>
      </c>
      <c r="AL4" s="16">
        <f t="shared" ref="AL4:AL6" si="4">AH4/30*(AI4+AK4)</f>
        <v>10500</v>
      </c>
      <c r="AM4" s="7" t="s">
        <v>85</v>
      </c>
      <c r="AN4" s="4">
        <f>EOMONTH(AN3,0)</f>
        <v>45596</v>
      </c>
    </row>
    <row r="5" spans="1:40">
      <c r="A5" s="27"/>
      <c r="B5" t="s">
        <v>90</v>
      </c>
      <c r="C5" t="s">
        <v>112</v>
      </c>
      <c r="D5" t="s">
        <v>112</v>
      </c>
      <c r="E5" t="s">
        <v>112</v>
      </c>
      <c r="F5" t="s">
        <v>112</v>
      </c>
      <c r="G5" t="s">
        <v>112</v>
      </c>
      <c r="H5" t="s">
        <v>112</v>
      </c>
      <c r="I5" t="s">
        <v>112</v>
      </c>
      <c r="J5" t="s">
        <v>112</v>
      </c>
      <c r="K5" t="s">
        <v>112</v>
      </c>
      <c r="L5" t="s">
        <v>112</v>
      </c>
      <c r="M5" t="s">
        <v>112</v>
      </c>
      <c r="N5" t="s">
        <v>112</v>
      </c>
      <c r="O5" t="s">
        <v>112</v>
      </c>
      <c r="P5" t="s">
        <v>112</v>
      </c>
      <c r="Q5" t="s">
        <v>112</v>
      </c>
      <c r="R5" t="s">
        <v>112</v>
      </c>
      <c r="S5" t="s">
        <v>112</v>
      </c>
      <c r="T5" t="s">
        <v>112</v>
      </c>
      <c r="U5" t="s">
        <v>112</v>
      </c>
      <c r="V5" t="s">
        <v>112</v>
      </c>
      <c r="W5" t="s">
        <v>112</v>
      </c>
      <c r="X5"/>
      <c r="Y5"/>
      <c r="Z5"/>
      <c r="AA5"/>
      <c r="AB5"/>
      <c r="AC5"/>
      <c r="AD5"/>
      <c r="AE5"/>
      <c r="AF5"/>
      <c r="AG5"/>
      <c r="AH5" s="25">
        <v>18000</v>
      </c>
      <c r="AI5" s="16">
        <f t="shared" si="1"/>
        <v>21</v>
      </c>
      <c r="AJ5" s="16">
        <f t="shared" si="2"/>
        <v>0</v>
      </c>
      <c r="AK5" s="16">
        <f t="shared" si="3"/>
        <v>0</v>
      </c>
      <c r="AL5" s="16">
        <f t="shared" si="4"/>
        <v>12600</v>
      </c>
    </row>
    <row r="6" spans="1:40">
      <c r="A6" s="27"/>
      <c r="B6" t="s">
        <v>91</v>
      </c>
      <c r="C6" t="s">
        <v>112</v>
      </c>
      <c r="D6" t="s">
        <v>112</v>
      </c>
      <c r="E6" t="s">
        <v>112</v>
      </c>
      <c r="F6" t="s">
        <v>112</v>
      </c>
      <c r="G6" t="s">
        <v>112</v>
      </c>
      <c r="H6" t="s">
        <v>112</v>
      </c>
      <c r="I6" t="s">
        <v>112</v>
      </c>
      <c r="J6" t="s">
        <v>112</v>
      </c>
      <c r="K6" t="s">
        <v>112</v>
      </c>
      <c r="L6" t="s">
        <v>112</v>
      </c>
      <c r="M6" t="s">
        <v>112</v>
      </c>
      <c r="N6" t="s">
        <v>112</v>
      </c>
      <c r="O6" t="s">
        <v>112</v>
      </c>
      <c r="P6" t="s">
        <v>112</v>
      </c>
      <c r="Q6" t="s">
        <v>112</v>
      </c>
      <c r="R6" t="s">
        <v>112</v>
      </c>
      <c r="S6" t="s">
        <v>112</v>
      </c>
      <c r="T6" t="s">
        <v>112</v>
      </c>
      <c r="U6" t="s">
        <v>112</v>
      </c>
      <c r="V6" t="s">
        <v>112</v>
      </c>
      <c r="W6" t="s">
        <v>112</v>
      </c>
      <c r="X6"/>
      <c r="Y6"/>
      <c r="Z6"/>
      <c r="AA6"/>
      <c r="AB6"/>
      <c r="AC6"/>
      <c r="AD6"/>
      <c r="AE6"/>
      <c r="AF6"/>
      <c r="AG6"/>
      <c r="AH6" s="25">
        <v>10000</v>
      </c>
      <c r="AI6" s="16">
        <f t="shared" si="1"/>
        <v>21</v>
      </c>
      <c r="AJ6" s="16">
        <f t="shared" si="2"/>
        <v>0</v>
      </c>
      <c r="AK6" s="16">
        <f t="shared" si="3"/>
        <v>0</v>
      </c>
      <c r="AL6" s="16">
        <f t="shared" si="4"/>
        <v>7000</v>
      </c>
    </row>
    <row r="7" spans="1:40">
      <c r="A7" s="27"/>
      <c r="C7"/>
      <c r="D7"/>
      <c r="E7"/>
      <c r="F7"/>
      <c r="G7"/>
      <c r="H7"/>
      <c r="I7"/>
      <c r="J7"/>
      <c r="K7"/>
      <c r="L7"/>
      <c r="M7"/>
      <c r="N7"/>
      <c r="O7"/>
      <c r="P7"/>
      <c r="Q7"/>
      <c r="R7"/>
      <c r="S7"/>
      <c r="T7"/>
      <c r="U7"/>
      <c r="V7"/>
      <c r="W7"/>
      <c r="X7"/>
      <c r="Y7"/>
      <c r="Z7"/>
      <c r="AA7"/>
      <c r="AB7"/>
      <c r="AC7"/>
      <c r="AD7"/>
      <c r="AE7"/>
      <c r="AF7"/>
      <c r="AG7"/>
    </row>
    <row r="8" spans="1:40">
      <c r="A8" s="27"/>
      <c r="C8"/>
      <c r="D8"/>
      <c r="E8"/>
      <c r="F8"/>
      <c r="G8"/>
      <c r="H8"/>
      <c r="I8"/>
      <c r="J8"/>
      <c r="K8"/>
      <c r="L8"/>
      <c r="M8"/>
      <c r="N8"/>
      <c r="O8"/>
      <c r="P8"/>
      <c r="Q8"/>
      <c r="R8"/>
      <c r="S8"/>
      <c r="T8"/>
      <c r="U8"/>
      <c r="V8"/>
      <c r="W8"/>
      <c r="X8"/>
      <c r="Y8"/>
      <c r="Z8"/>
      <c r="AA8"/>
      <c r="AB8"/>
      <c r="AC8"/>
      <c r="AD8"/>
      <c r="AE8"/>
      <c r="AF8"/>
      <c r="AG8"/>
    </row>
    <row r="9" spans="1:40">
      <c r="A9" s="27"/>
      <c r="C9"/>
      <c r="D9"/>
      <c r="E9"/>
      <c r="F9"/>
      <c r="G9"/>
      <c r="H9"/>
      <c r="I9"/>
      <c r="J9"/>
      <c r="K9"/>
      <c r="L9"/>
      <c r="M9"/>
      <c r="N9"/>
      <c r="O9"/>
      <c r="P9"/>
      <c r="Q9"/>
      <c r="R9"/>
      <c r="S9"/>
      <c r="T9"/>
      <c r="U9"/>
      <c r="V9"/>
      <c r="W9"/>
      <c r="X9"/>
      <c r="Y9"/>
      <c r="Z9"/>
      <c r="AA9"/>
      <c r="AB9"/>
      <c r="AC9"/>
      <c r="AD9"/>
      <c r="AE9"/>
      <c r="AF9"/>
      <c r="AG9"/>
    </row>
    <row r="10" spans="1:40">
      <c r="A10" s="27"/>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row>
    <row r="11" spans="1:40">
      <c r="A11" s="27"/>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row>
    <row r="12" spans="1:40">
      <c r="A12" s="27"/>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row>
    <row r="13" spans="1:40">
      <c r="A13" s="27"/>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row>
    <row r="14" spans="1:40">
      <c r="A14" s="27"/>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row>
    <row r="15" spans="1:40">
      <c r="A15" s="27"/>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row>
    <row r="16" spans="1:40">
      <c r="A16" s="27"/>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row>
    <row r="17" spans="1:1">
      <c r="A17" s="27"/>
    </row>
    <row r="18" spans="1:1">
      <c r="A18" s="27"/>
    </row>
    <row r="19" spans="1:1">
      <c r="A19" s="27"/>
    </row>
    <row r="20" spans="1:1">
      <c r="A20" s="27"/>
    </row>
    <row r="21" spans="1:1">
      <c r="A21" s="27"/>
    </row>
    <row r="22" spans="1:1">
      <c r="A22" s="27"/>
    </row>
    <row r="23" spans="1:1">
      <c r="A23" s="27"/>
    </row>
    <row r="24" spans="1:1">
      <c r="A24" s="27"/>
    </row>
    <row r="25" spans="1:1">
      <c r="A25" s="27"/>
    </row>
    <row r="26" spans="1:1">
      <c r="A26" s="27"/>
    </row>
    <row r="27" spans="1:1">
      <c r="A27" s="27"/>
    </row>
    <row r="28" spans="1:1">
      <c r="A28" s="27"/>
    </row>
    <row r="29" spans="1:1">
      <c r="A29" s="27"/>
    </row>
    <row r="30" spans="1:1">
      <c r="A30" s="27"/>
    </row>
    <row r="31" spans="1:1">
      <c r="A31" s="27"/>
    </row>
    <row r="32" spans="1:1">
      <c r="A32" s="27"/>
    </row>
    <row r="33" spans="1:1">
      <c r="A33" s="27"/>
    </row>
    <row r="34" spans="1:1">
      <c r="A34" s="27"/>
    </row>
    <row r="35" spans="1:1">
      <c r="A35" s="27"/>
    </row>
    <row r="36" spans="1:1">
      <c r="A36" s="27"/>
    </row>
    <row r="37" spans="1:1">
      <c r="A37" s="27"/>
    </row>
    <row r="38" spans="1:1">
      <c r="A38" s="27"/>
    </row>
    <row r="39" spans="1:1">
      <c r="A39" s="27"/>
    </row>
    <row r="40" spans="1:1">
      <c r="A40" s="27"/>
    </row>
    <row r="41" spans="1:1">
      <c r="A41" s="27"/>
    </row>
    <row r="42" spans="1:1">
      <c r="A42" s="27"/>
    </row>
    <row r="43" spans="1:1">
      <c r="A43" s="27"/>
    </row>
    <row r="44" spans="1:1">
      <c r="A44" s="27"/>
    </row>
    <row r="45" spans="1:1">
      <c r="A45" s="27"/>
    </row>
    <row r="46" spans="1:1">
      <c r="A46" s="27"/>
    </row>
    <row r="47" spans="1:1">
      <c r="A47" s="27"/>
    </row>
    <row r="48" spans="1:1">
      <c r="A48" s="27"/>
    </row>
    <row r="49" spans="1:1">
      <c r="A49" s="27"/>
    </row>
    <row r="50" spans="1:1">
      <c r="A50" s="27"/>
    </row>
    <row r="51" spans="1:1">
      <c r="A51" s="27"/>
    </row>
    <row r="52" spans="1:1">
      <c r="A52" s="27"/>
    </row>
    <row r="53" spans="1:1">
      <c r="A53" s="27"/>
    </row>
    <row r="54" spans="1:1">
      <c r="A54" s="27"/>
    </row>
    <row r="55" spans="1:1">
      <c r="A55" s="27"/>
    </row>
    <row r="56" spans="1:1">
      <c r="A56" s="27"/>
    </row>
    <row r="57" spans="1:1">
      <c r="A57" s="27"/>
    </row>
    <row r="58" spans="1:1">
      <c r="A58" s="27"/>
    </row>
    <row r="59" spans="1:1">
      <c r="A59" s="27"/>
    </row>
    <row r="60" spans="1:1">
      <c r="A60" s="27"/>
    </row>
    <row r="61" spans="1:1">
      <c r="A61" s="27"/>
    </row>
    <row r="62" spans="1:1">
      <c r="A62" s="27"/>
    </row>
    <row r="63" spans="1:1">
      <c r="A63" s="27"/>
    </row>
    <row r="64" spans="1:1">
      <c r="A64" s="27"/>
    </row>
    <row r="65" spans="1:1">
      <c r="A65" s="27"/>
    </row>
    <row r="66" spans="1:1">
      <c r="A66" s="27"/>
    </row>
    <row r="67" spans="1:1">
      <c r="A67" s="27"/>
    </row>
    <row r="68" spans="1:1">
      <c r="A68" s="27"/>
    </row>
    <row r="69" spans="1:1">
      <c r="A69" s="27"/>
    </row>
    <row r="70" spans="1:1">
      <c r="A70" s="27"/>
    </row>
    <row r="71" spans="1:1">
      <c r="A71" s="27"/>
    </row>
    <row r="72" spans="1:1">
      <c r="A72" s="27"/>
    </row>
    <row r="73" spans="1:1">
      <c r="A73" s="27"/>
    </row>
    <row r="74" spans="1:1">
      <c r="A74" s="27"/>
    </row>
    <row r="75" spans="1:1">
      <c r="A75" s="27"/>
    </row>
    <row r="76" spans="1:1">
      <c r="A76" s="27"/>
    </row>
    <row r="77" spans="1:1">
      <c r="A77" s="27"/>
    </row>
    <row r="78" spans="1:1">
      <c r="A78" s="27"/>
    </row>
    <row r="79" spans="1:1">
      <c r="A79" s="27"/>
    </row>
    <row r="80" spans="1:1">
      <c r="A80" s="27"/>
    </row>
    <row r="81" spans="1:1">
      <c r="A81" s="27"/>
    </row>
    <row r="82" spans="1:1">
      <c r="A82" s="27"/>
    </row>
    <row r="83" spans="1:1">
      <c r="A83" s="27"/>
    </row>
    <row r="84" spans="1:1">
      <c r="A84" s="27"/>
    </row>
    <row r="85" spans="1:1">
      <c r="A85" s="27"/>
    </row>
    <row r="86" spans="1:1">
      <c r="A86" s="27"/>
    </row>
    <row r="87" spans="1:1">
      <c r="A87" s="27"/>
    </row>
  </sheetData>
  <mergeCells count="8">
    <mergeCell ref="AL1:AL2"/>
    <mergeCell ref="A1:A29"/>
    <mergeCell ref="A30:A58"/>
    <mergeCell ref="A59:A87"/>
    <mergeCell ref="AH1:AH2"/>
    <mergeCell ref="AI1:AI2"/>
    <mergeCell ref="AJ1:AJ2"/>
    <mergeCell ref="AK1:AK2"/>
  </mergeCells>
  <conditionalFormatting sqref="C3:AG9">
    <cfRule type="containsText" dxfId="9" priority="1" operator="containsText" text="l">
      <formula>NOT(ISERROR(SEARCH("l",C3)))</formula>
    </cfRule>
    <cfRule type="containsText" dxfId="8" priority="2" operator="containsText" text="ab">
      <formula>NOT(ISERROR(SEARCH("ab",C3)))</formula>
    </cfRule>
    <cfRule type="containsText" dxfId="7" priority="3" operator="containsText" text="p">
      <formula>NOT(ISERROR(SEARCH("p",C3)))</formula>
    </cfRule>
  </conditionalFormatting>
  <dataValidations count="3">
    <dataValidation type="list" allowBlank="1" showInputMessage="1" showErrorMessage="1" sqref="AN1" xr:uid="{00000000-0002-0000-1700-000000000000}">
      <formula1>"January,February,March,Aprail,May,June,July,August,September,October,November,December"</formula1>
    </dataValidation>
    <dataValidation type="list" allowBlank="1" showInputMessage="1" showErrorMessage="1" sqref="AN2" xr:uid="{00000000-0002-0000-1700-000001000000}">
      <formula1>"2020,2021,2022,2023,2024,2025,2026,2027,2028,2029,2030"</formula1>
    </dataValidation>
    <dataValidation type="list" allowBlank="1" showInputMessage="1" showErrorMessage="1" sqref="C3:AG9" xr:uid="{00000000-0002-0000-1700-000002000000}">
      <formula1>"p,ab,l"</formula1>
    </dataValidation>
  </dataValidation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4"/>
  <dimension ref="A1:AN87"/>
  <sheetViews>
    <sheetView workbookViewId="0">
      <pane xSplit="1" topLeftCell="H1" activePane="topRight" state="frozenSplit"/>
      <selection pane="topRight" activeCell="AL9" sqref="AL9"/>
    </sheetView>
  </sheetViews>
  <sheetFormatPr defaultRowHeight="15"/>
  <cols>
    <col min="1" max="1" width="16.85546875" bestFit="1" customWidth="1"/>
    <col min="2" max="2" width="15.7109375" customWidth="1"/>
    <col min="3" max="3" width="5.140625" style="12" customWidth="1"/>
    <col min="4" max="4" width="4.28515625" style="12" customWidth="1"/>
    <col min="5" max="5" width="5.28515625" style="12" customWidth="1"/>
    <col min="6" max="6" width="4.28515625" style="12" customWidth="1"/>
    <col min="7" max="7" width="3.42578125" style="12" customWidth="1"/>
    <col min="8" max="8" width="3.7109375" style="12" customWidth="1"/>
    <col min="9" max="9" width="4.28515625" style="12" customWidth="1"/>
    <col min="10" max="10" width="5.140625" style="12" customWidth="1"/>
    <col min="11" max="11" width="4.28515625" style="12" customWidth="1"/>
    <col min="12" max="12" width="5.28515625" style="12" customWidth="1"/>
    <col min="13" max="13" width="4.28515625" style="12" customWidth="1"/>
    <col min="14" max="14" width="3.28515625" style="12" customWidth="1"/>
    <col min="15" max="15" width="3.7109375" style="12" customWidth="1"/>
    <col min="16" max="16" width="4.28515625" style="12" customWidth="1"/>
    <col min="17" max="17" width="5.140625" style="12" customWidth="1"/>
    <col min="18" max="18" width="4.28515625" style="12" customWidth="1"/>
    <col min="19" max="19" width="5.28515625" style="12" customWidth="1"/>
    <col min="20" max="20" width="4.28515625" style="12" customWidth="1"/>
    <col min="21" max="21" width="3.28515625" style="12" customWidth="1"/>
    <col min="22" max="22" width="3.7109375" style="12" customWidth="1"/>
    <col min="23" max="23" width="4.28515625" style="12" customWidth="1"/>
    <col min="24" max="24" width="5.140625" style="12" customWidth="1"/>
    <col min="25" max="25" width="4.28515625" style="12" customWidth="1"/>
    <col min="26" max="26" width="5.28515625" style="12" customWidth="1"/>
    <col min="27" max="27" width="4.28515625" style="12" customWidth="1"/>
    <col min="28" max="28" width="3.42578125" style="12" customWidth="1"/>
    <col min="29" max="29" width="3.7109375" style="12" customWidth="1"/>
    <col min="30" max="30" width="4.28515625" style="12" customWidth="1"/>
    <col min="31" max="31" width="5.140625" style="12" customWidth="1"/>
    <col min="32" max="32" width="4.28515625" style="12" customWidth="1"/>
    <col min="33" max="33" width="5.28515625" style="12" customWidth="1"/>
    <col min="34" max="34" width="15.5703125" customWidth="1"/>
    <col min="35" max="35" width="7.85546875" customWidth="1"/>
    <col min="36" max="36" width="7.28515625" customWidth="1"/>
    <col min="37" max="37" width="6.140625" customWidth="1"/>
    <col min="38" max="38" width="10" customWidth="1"/>
    <col min="39" max="39" width="12.42578125" customWidth="1"/>
    <col min="40" max="40" width="10.7109375" customWidth="1"/>
  </cols>
  <sheetData>
    <row r="1" spans="1:40">
      <c r="A1" s="27"/>
      <c r="C1" s="17" t="str">
        <f>TEXT(C2,"DDD")</f>
        <v>Fri</v>
      </c>
      <c r="D1" s="17" t="str">
        <f t="shared" ref="D1:AG1" si="0">TEXT(D2,"DDD")</f>
        <v>Sat</v>
      </c>
      <c r="E1" s="17" t="str">
        <f t="shared" si="0"/>
        <v>Sun</v>
      </c>
      <c r="F1" s="17" t="str">
        <f t="shared" si="0"/>
        <v>Mon</v>
      </c>
      <c r="G1" s="17" t="str">
        <f t="shared" si="0"/>
        <v>Tue</v>
      </c>
      <c r="H1" s="17" t="str">
        <f t="shared" si="0"/>
        <v>Wed</v>
      </c>
      <c r="I1" s="17" t="str">
        <f t="shared" si="0"/>
        <v>Thu</v>
      </c>
      <c r="J1" s="17" t="str">
        <f t="shared" si="0"/>
        <v>Fri</v>
      </c>
      <c r="K1" s="17" t="str">
        <f t="shared" si="0"/>
        <v>Sat</v>
      </c>
      <c r="L1" s="17" t="str">
        <f t="shared" si="0"/>
        <v>Sun</v>
      </c>
      <c r="M1" s="17" t="str">
        <f t="shared" si="0"/>
        <v>Mon</v>
      </c>
      <c r="N1" s="17" t="str">
        <f t="shared" si="0"/>
        <v>Tue</v>
      </c>
      <c r="O1" s="17" t="str">
        <f t="shared" si="0"/>
        <v>Wed</v>
      </c>
      <c r="P1" s="17" t="str">
        <f t="shared" si="0"/>
        <v>Thu</v>
      </c>
      <c r="Q1" s="17" t="str">
        <f t="shared" si="0"/>
        <v>Fri</v>
      </c>
      <c r="R1" s="17" t="str">
        <f t="shared" si="0"/>
        <v>Sat</v>
      </c>
      <c r="S1" s="17" t="str">
        <f t="shared" si="0"/>
        <v>Sun</v>
      </c>
      <c r="T1" s="17" t="str">
        <f t="shared" si="0"/>
        <v>Mon</v>
      </c>
      <c r="U1" s="17" t="str">
        <f t="shared" si="0"/>
        <v>Tue</v>
      </c>
      <c r="V1" s="17" t="str">
        <f t="shared" si="0"/>
        <v>Wed</v>
      </c>
      <c r="W1" s="17" t="str">
        <f t="shared" si="0"/>
        <v>Thu</v>
      </c>
      <c r="X1" s="17" t="str">
        <f t="shared" si="0"/>
        <v>Fri</v>
      </c>
      <c r="Y1" s="17" t="str">
        <f t="shared" si="0"/>
        <v>Sat</v>
      </c>
      <c r="Z1" s="17" t="str">
        <f t="shared" si="0"/>
        <v>Sun</v>
      </c>
      <c r="AA1" s="17" t="str">
        <f t="shared" si="0"/>
        <v>Mon</v>
      </c>
      <c r="AB1" s="17" t="str">
        <f t="shared" si="0"/>
        <v>Tue</v>
      </c>
      <c r="AC1" s="17" t="str">
        <f t="shared" si="0"/>
        <v>Wed</v>
      </c>
      <c r="AD1" s="17" t="str">
        <f t="shared" si="0"/>
        <v>Thu</v>
      </c>
      <c r="AE1" s="17" t="str">
        <f t="shared" si="0"/>
        <v>Fri</v>
      </c>
      <c r="AF1" s="17" t="str">
        <f t="shared" si="0"/>
        <v>Sat</v>
      </c>
      <c r="AG1" s="17" t="str">
        <f t="shared" si="0"/>
        <v/>
      </c>
      <c r="AH1" s="33" t="s">
        <v>106</v>
      </c>
      <c r="AI1" s="31" t="s">
        <v>107</v>
      </c>
      <c r="AJ1" s="31" t="s">
        <v>108</v>
      </c>
      <c r="AK1" s="31" t="s">
        <v>109</v>
      </c>
      <c r="AL1" s="31" t="s">
        <v>110</v>
      </c>
      <c r="AM1" s="5" t="s">
        <v>81</v>
      </c>
      <c r="AN1" s="10" t="s">
        <v>104</v>
      </c>
    </row>
    <row r="2" spans="1:40">
      <c r="A2" s="27"/>
      <c r="B2" t="s">
        <v>111</v>
      </c>
      <c r="C2" s="18">
        <f>IF(COLUMNS($C$2:C2)&gt;DAY($AN$4),"",$AN$3+COLUMNS($C$2:C2)-1)</f>
        <v>45597</v>
      </c>
      <c r="D2" s="18">
        <f>IF(COLUMNS($C$2:D2)&gt;DAY($AN$4),"",$AN$3+COLUMNS($C$2:D2)-1)</f>
        <v>45598</v>
      </c>
      <c r="E2" s="18">
        <f>IF(COLUMNS($C$2:E2)&gt;DAY($AN$4),"",$AN$3+COLUMNS($C$2:E2)-1)</f>
        <v>45599</v>
      </c>
      <c r="F2" s="18">
        <f>IF(COLUMNS($C$2:F2)&gt;DAY($AN$4),"",$AN$3+COLUMNS($C$2:F2)-1)</f>
        <v>45600</v>
      </c>
      <c r="G2" s="18">
        <f>IF(COLUMNS($C$2:G2)&gt;DAY($AN$4),"",$AN$3+COLUMNS($C$2:G2)-1)</f>
        <v>45601</v>
      </c>
      <c r="H2" s="18">
        <f>IF(COLUMNS($C$2:H2)&gt;DAY($AN$4),"",$AN$3+COLUMNS($C$2:H2)-1)</f>
        <v>45602</v>
      </c>
      <c r="I2" s="18">
        <f>IF(COLUMNS($C$2:I2)&gt;DAY($AN$4),"",$AN$3+COLUMNS($C$2:I2)-1)</f>
        <v>45603</v>
      </c>
      <c r="J2" s="18">
        <f>IF(COLUMNS($C$2:J2)&gt;DAY($AN$4),"",$AN$3+COLUMNS($C$2:J2)-1)</f>
        <v>45604</v>
      </c>
      <c r="K2" s="18">
        <f>IF(COLUMNS($C$2:K2)&gt;DAY($AN$4),"",$AN$3+COLUMNS($C$2:K2)-1)</f>
        <v>45605</v>
      </c>
      <c r="L2" s="18">
        <f>IF(COLUMNS($C$2:L2)&gt;DAY($AN$4),"",$AN$3+COLUMNS($C$2:L2)-1)</f>
        <v>45606</v>
      </c>
      <c r="M2" s="18">
        <f>IF(COLUMNS($C$2:M2)&gt;DAY($AN$4),"",$AN$3+COLUMNS($C$2:M2)-1)</f>
        <v>45607</v>
      </c>
      <c r="N2" s="18">
        <f>IF(COLUMNS($C$2:N2)&gt;DAY($AN$4),"",$AN$3+COLUMNS($C$2:N2)-1)</f>
        <v>45608</v>
      </c>
      <c r="O2" s="18">
        <f>IF(COLUMNS($C$2:O2)&gt;DAY($AN$4),"",$AN$3+COLUMNS($C$2:O2)-1)</f>
        <v>45609</v>
      </c>
      <c r="P2" s="18">
        <f>IF(COLUMNS($C$2:P2)&gt;DAY($AN$4),"",$AN$3+COLUMNS($C$2:P2)-1)</f>
        <v>45610</v>
      </c>
      <c r="Q2" s="18">
        <f>IF(COLUMNS($C$2:Q2)&gt;DAY($AN$4),"",$AN$3+COLUMNS($C$2:Q2)-1)</f>
        <v>45611</v>
      </c>
      <c r="R2" s="18">
        <f>IF(COLUMNS($C$2:R2)&gt;DAY($AN$4),"",$AN$3+COLUMNS($C$2:R2)-1)</f>
        <v>45612</v>
      </c>
      <c r="S2" s="18">
        <f>IF(COLUMNS($C$2:S2)&gt;DAY($AN$4),"",$AN$3+COLUMNS($C$2:S2)-1)</f>
        <v>45613</v>
      </c>
      <c r="T2" s="18">
        <f>IF(COLUMNS($C$2:T2)&gt;DAY($AN$4),"",$AN$3+COLUMNS($C$2:T2)-1)</f>
        <v>45614</v>
      </c>
      <c r="U2" s="18">
        <f>IF(COLUMNS($C$2:U2)&gt;DAY($AN$4),"",$AN$3+COLUMNS($C$2:U2)-1)</f>
        <v>45615</v>
      </c>
      <c r="V2" s="18">
        <f>IF(COLUMNS($C$2:V2)&gt;DAY($AN$4),"",$AN$3+COLUMNS($C$2:V2)-1)</f>
        <v>45616</v>
      </c>
      <c r="W2" s="18">
        <f>IF(COLUMNS($C$2:W2)&gt;DAY($AN$4),"",$AN$3+COLUMNS($C$2:W2)-1)</f>
        <v>45617</v>
      </c>
      <c r="X2" s="18">
        <f>IF(COLUMNS($C$2:X2)&gt;DAY($AN$4),"",$AN$3+COLUMNS($C$2:X2)-1)</f>
        <v>45618</v>
      </c>
      <c r="Y2" s="18">
        <f>IF(COLUMNS($C$2:Y2)&gt;DAY($AN$4),"",$AN$3+COLUMNS($C$2:Y2)-1)</f>
        <v>45619</v>
      </c>
      <c r="Z2" s="18">
        <f>IF(COLUMNS($C$2:Z2)&gt;DAY($AN$4),"",$AN$3+COLUMNS($C$2:Z2)-1)</f>
        <v>45620</v>
      </c>
      <c r="AA2" s="18">
        <f>IF(COLUMNS($C$2:AA2)&gt;DAY($AN$4),"",$AN$3+COLUMNS($C$2:AA2)-1)</f>
        <v>45621</v>
      </c>
      <c r="AB2" s="18">
        <f>IF(COLUMNS($C$2:AB2)&gt;DAY($AN$4),"",$AN$3+COLUMNS($C$2:AB2)-1)</f>
        <v>45622</v>
      </c>
      <c r="AC2" s="18">
        <f>IF(COLUMNS($C$2:AC2)&gt;DAY($AN$4),"",$AN$3+COLUMNS($C$2:AC2)-1)</f>
        <v>45623</v>
      </c>
      <c r="AD2" s="18">
        <f>IF(COLUMNS($C$2:AD2)&gt;DAY($AN$4),"",$AN$3+COLUMNS($C$2:AD2)-1)</f>
        <v>45624</v>
      </c>
      <c r="AE2" s="18">
        <f>IF(COLUMNS($C$2:AE2)&gt;DAY($AN$4),"",$AN$3+COLUMNS($C$2:AE2)-1)</f>
        <v>45625</v>
      </c>
      <c r="AF2" s="18">
        <f>IF(COLUMNS($C$2:AF2)&gt;DAY($AN$4),"",$AN$3+COLUMNS($C$2:AF2)-1)</f>
        <v>45626</v>
      </c>
      <c r="AG2" s="18" t="str">
        <f>IF(COLUMNS($C$2:AG2)&gt;DAY($AN$4),"",$AN$3+COLUMNS($C$2:AG2)-1)</f>
        <v/>
      </c>
      <c r="AH2" s="34"/>
      <c r="AI2" s="32"/>
      <c r="AJ2" s="32"/>
      <c r="AK2" s="32"/>
      <c r="AL2" s="32"/>
      <c r="AM2" s="6" t="s">
        <v>83</v>
      </c>
      <c r="AN2" s="11">
        <v>2024</v>
      </c>
    </row>
    <row r="3" spans="1:40">
      <c r="A3" s="27"/>
      <c r="B3" t="s">
        <v>88</v>
      </c>
      <c r="C3"/>
      <c r="D3"/>
      <c r="E3"/>
      <c r="F3"/>
      <c r="G3"/>
      <c r="H3"/>
      <c r="I3"/>
      <c r="J3"/>
      <c r="K3"/>
      <c r="L3"/>
      <c r="M3"/>
      <c r="N3"/>
      <c r="O3"/>
      <c r="P3"/>
      <c r="Q3"/>
      <c r="R3"/>
      <c r="S3"/>
      <c r="T3"/>
      <c r="U3"/>
      <c r="V3"/>
      <c r="W3"/>
      <c r="X3"/>
      <c r="Y3"/>
      <c r="Z3"/>
      <c r="AA3"/>
      <c r="AB3"/>
      <c r="AC3"/>
      <c r="AD3"/>
      <c r="AE3"/>
      <c r="AF3"/>
      <c r="AG3"/>
      <c r="AH3" s="16">
        <v>50000</v>
      </c>
      <c r="AI3" s="16">
        <f>COUNTIF($C3:$AG3,"P")</f>
        <v>0</v>
      </c>
      <c r="AJ3" s="16">
        <f>COUNTIF($C3:$AG3,"Ab")</f>
        <v>0</v>
      </c>
      <c r="AK3" s="16">
        <f>COUNTIF($C3:$AG3,"L")</f>
        <v>0</v>
      </c>
      <c r="AL3" s="16">
        <f>AH3/30*(AI3+AK3)</f>
        <v>0</v>
      </c>
      <c r="AM3" s="7" t="s">
        <v>84</v>
      </c>
      <c r="AN3" s="4">
        <f>DATE(AN2,MONTH(AN1&amp;1),1)</f>
        <v>45597</v>
      </c>
    </row>
    <row r="4" spans="1:40">
      <c r="A4" s="27"/>
      <c r="B4" t="s">
        <v>89</v>
      </c>
      <c r="C4"/>
      <c r="D4"/>
      <c r="E4"/>
      <c r="F4"/>
      <c r="G4"/>
      <c r="H4"/>
      <c r="I4"/>
      <c r="J4"/>
      <c r="K4"/>
      <c r="L4"/>
      <c r="M4"/>
      <c r="N4"/>
      <c r="O4"/>
      <c r="P4"/>
      <c r="Q4"/>
      <c r="R4"/>
      <c r="S4"/>
      <c r="T4"/>
      <c r="U4"/>
      <c r="V4"/>
      <c r="W4"/>
      <c r="X4"/>
      <c r="Y4"/>
      <c r="Z4"/>
      <c r="AA4"/>
      <c r="AB4"/>
      <c r="AC4"/>
      <c r="AD4"/>
      <c r="AE4"/>
      <c r="AF4"/>
      <c r="AG4"/>
      <c r="AH4" s="25">
        <v>15000</v>
      </c>
      <c r="AI4" s="16">
        <f t="shared" ref="AI4:AI6" si="1">COUNTIF($C4:$AG4,"P")</f>
        <v>0</v>
      </c>
      <c r="AJ4" s="16">
        <f t="shared" ref="AJ4:AJ6" si="2">COUNTIF($C4:$AG4,"Ab")</f>
        <v>0</v>
      </c>
      <c r="AK4" s="16">
        <f t="shared" ref="AK4:AK6" si="3">COUNTIF($C4:$AG4,"L")</f>
        <v>0</v>
      </c>
      <c r="AL4" s="16">
        <f t="shared" ref="AL4:AL6" si="4">AH4/30*(AI4+AK4)</f>
        <v>0</v>
      </c>
      <c r="AM4" s="7" t="s">
        <v>85</v>
      </c>
      <c r="AN4" s="4">
        <f>EOMONTH(AN3,0)</f>
        <v>45626</v>
      </c>
    </row>
    <row r="5" spans="1:40">
      <c r="A5" s="27"/>
      <c r="B5" t="s">
        <v>90</v>
      </c>
      <c r="C5"/>
      <c r="D5"/>
      <c r="E5"/>
      <c r="F5"/>
      <c r="G5"/>
      <c r="H5"/>
      <c r="I5"/>
      <c r="J5"/>
      <c r="K5"/>
      <c r="L5"/>
      <c r="M5"/>
      <c r="N5"/>
      <c r="O5"/>
      <c r="P5"/>
      <c r="Q5"/>
      <c r="R5"/>
      <c r="S5"/>
      <c r="T5"/>
      <c r="U5"/>
      <c r="V5"/>
      <c r="W5"/>
      <c r="X5"/>
      <c r="Y5"/>
      <c r="Z5"/>
      <c r="AA5"/>
      <c r="AB5"/>
      <c r="AC5"/>
      <c r="AD5"/>
      <c r="AE5"/>
      <c r="AF5"/>
      <c r="AG5"/>
      <c r="AH5" s="25">
        <v>18000</v>
      </c>
      <c r="AI5" s="16">
        <f t="shared" si="1"/>
        <v>0</v>
      </c>
      <c r="AJ5" s="16">
        <f t="shared" si="2"/>
        <v>0</v>
      </c>
      <c r="AK5" s="16">
        <f t="shared" si="3"/>
        <v>0</v>
      </c>
      <c r="AL5" s="16">
        <f t="shared" si="4"/>
        <v>0</v>
      </c>
    </row>
    <row r="6" spans="1:40">
      <c r="A6" s="27"/>
      <c r="B6" t="s">
        <v>91</v>
      </c>
      <c r="C6"/>
      <c r="D6"/>
      <c r="E6"/>
      <c r="F6"/>
      <c r="G6"/>
      <c r="H6"/>
      <c r="I6"/>
      <c r="J6"/>
      <c r="K6"/>
      <c r="L6"/>
      <c r="M6"/>
      <c r="N6"/>
      <c r="O6"/>
      <c r="P6"/>
      <c r="Q6"/>
      <c r="R6"/>
      <c r="S6"/>
      <c r="T6"/>
      <c r="U6"/>
      <c r="V6"/>
      <c r="W6"/>
      <c r="X6"/>
      <c r="Y6"/>
      <c r="Z6"/>
      <c r="AA6"/>
      <c r="AB6"/>
      <c r="AC6"/>
      <c r="AD6"/>
      <c r="AE6"/>
      <c r="AF6"/>
      <c r="AG6"/>
      <c r="AH6" s="25">
        <v>10000</v>
      </c>
      <c r="AI6" s="16">
        <f t="shared" si="1"/>
        <v>0</v>
      </c>
      <c r="AJ6" s="16">
        <f t="shared" si="2"/>
        <v>0</v>
      </c>
      <c r="AK6" s="16">
        <f t="shared" si="3"/>
        <v>0</v>
      </c>
      <c r="AL6" s="16">
        <f t="shared" si="4"/>
        <v>0</v>
      </c>
    </row>
    <row r="7" spans="1:40">
      <c r="A7" s="27"/>
      <c r="C7"/>
      <c r="D7"/>
      <c r="E7"/>
      <c r="F7"/>
      <c r="G7"/>
      <c r="H7"/>
      <c r="I7"/>
      <c r="J7"/>
      <c r="K7"/>
      <c r="L7"/>
      <c r="M7"/>
      <c r="N7"/>
      <c r="O7"/>
      <c r="P7"/>
      <c r="Q7"/>
      <c r="R7"/>
      <c r="S7"/>
      <c r="T7"/>
      <c r="U7"/>
      <c r="V7"/>
      <c r="W7"/>
      <c r="X7"/>
      <c r="Y7"/>
      <c r="Z7"/>
      <c r="AA7"/>
      <c r="AB7"/>
      <c r="AC7"/>
      <c r="AD7"/>
      <c r="AE7"/>
      <c r="AF7"/>
      <c r="AG7"/>
    </row>
    <row r="8" spans="1:40">
      <c r="A8" s="27"/>
      <c r="C8"/>
      <c r="D8"/>
      <c r="E8"/>
      <c r="F8"/>
      <c r="G8"/>
      <c r="H8"/>
      <c r="I8"/>
      <c r="J8"/>
      <c r="K8"/>
      <c r="L8"/>
      <c r="M8"/>
      <c r="N8"/>
      <c r="O8"/>
      <c r="P8"/>
      <c r="Q8"/>
      <c r="R8"/>
      <c r="S8"/>
      <c r="T8"/>
      <c r="U8"/>
      <c r="V8"/>
      <c r="W8"/>
      <c r="X8"/>
      <c r="Y8"/>
      <c r="Z8"/>
      <c r="AA8"/>
      <c r="AB8"/>
      <c r="AC8"/>
      <c r="AD8"/>
      <c r="AE8"/>
      <c r="AF8"/>
      <c r="AG8"/>
    </row>
    <row r="9" spans="1:40">
      <c r="A9" s="27"/>
      <c r="C9"/>
      <c r="D9"/>
      <c r="E9"/>
      <c r="F9"/>
      <c r="G9"/>
      <c r="H9"/>
      <c r="I9"/>
      <c r="J9"/>
      <c r="K9"/>
      <c r="L9"/>
      <c r="M9"/>
      <c r="N9"/>
      <c r="O9"/>
      <c r="P9"/>
      <c r="Q9"/>
      <c r="R9"/>
      <c r="S9"/>
      <c r="T9"/>
      <c r="U9"/>
      <c r="V9"/>
      <c r="W9"/>
      <c r="X9"/>
      <c r="Y9"/>
      <c r="Z9"/>
      <c r="AA9"/>
      <c r="AB9"/>
      <c r="AC9"/>
      <c r="AD9"/>
      <c r="AE9"/>
      <c r="AF9"/>
      <c r="AG9"/>
    </row>
    <row r="10" spans="1:40">
      <c r="A10" s="27"/>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row>
    <row r="11" spans="1:40">
      <c r="A11" s="27"/>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row>
    <row r="12" spans="1:40">
      <c r="A12" s="27"/>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row>
    <row r="13" spans="1:40">
      <c r="A13" s="27"/>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row>
    <row r="14" spans="1:40">
      <c r="A14" s="27"/>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row>
    <row r="15" spans="1:40">
      <c r="A15" s="27"/>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row>
    <row r="16" spans="1:40">
      <c r="A16" s="27"/>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row>
    <row r="17" spans="1:1">
      <c r="A17" s="27"/>
    </row>
    <row r="18" spans="1:1">
      <c r="A18" s="27"/>
    </row>
    <row r="19" spans="1:1">
      <c r="A19" s="27"/>
    </row>
    <row r="20" spans="1:1">
      <c r="A20" s="27"/>
    </row>
    <row r="21" spans="1:1">
      <c r="A21" s="27"/>
    </row>
    <row r="22" spans="1:1">
      <c r="A22" s="27"/>
    </row>
    <row r="23" spans="1:1">
      <c r="A23" s="27"/>
    </row>
    <row r="24" spans="1:1">
      <c r="A24" s="27"/>
    </row>
    <row r="25" spans="1:1">
      <c r="A25" s="27"/>
    </row>
    <row r="26" spans="1:1">
      <c r="A26" s="27"/>
    </row>
    <row r="27" spans="1:1">
      <c r="A27" s="27"/>
    </row>
    <row r="28" spans="1:1">
      <c r="A28" s="27"/>
    </row>
    <row r="29" spans="1:1">
      <c r="A29" s="27"/>
    </row>
    <row r="30" spans="1:1">
      <c r="A30" s="27"/>
    </row>
    <row r="31" spans="1:1">
      <c r="A31" s="27"/>
    </row>
    <row r="32" spans="1:1">
      <c r="A32" s="27"/>
    </row>
    <row r="33" spans="1:1">
      <c r="A33" s="27"/>
    </row>
    <row r="34" spans="1:1">
      <c r="A34" s="27"/>
    </row>
    <row r="35" spans="1:1">
      <c r="A35" s="27"/>
    </row>
    <row r="36" spans="1:1">
      <c r="A36" s="27"/>
    </row>
    <row r="37" spans="1:1">
      <c r="A37" s="27"/>
    </row>
    <row r="38" spans="1:1">
      <c r="A38" s="27"/>
    </row>
    <row r="39" spans="1:1">
      <c r="A39" s="27"/>
    </row>
    <row r="40" spans="1:1">
      <c r="A40" s="27"/>
    </row>
    <row r="41" spans="1:1">
      <c r="A41" s="27"/>
    </row>
    <row r="42" spans="1:1">
      <c r="A42" s="27"/>
    </row>
    <row r="43" spans="1:1">
      <c r="A43" s="27"/>
    </row>
    <row r="44" spans="1:1">
      <c r="A44" s="27"/>
    </row>
    <row r="45" spans="1:1">
      <c r="A45" s="27"/>
    </row>
    <row r="46" spans="1:1">
      <c r="A46" s="27"/>
    </row>
    <row r="47" spans="1:1">
      <c r="A47" s="27"/>
    </row>
    <row r="48" spans="1:1">
      <c r="A48" s="27"/>
    </row>
    <row r="49" spans="1:1">
      <c r="A49" s="27"/>
    </row>
    <row r="50" spans="1:1">
      <c r="A50" s="27"/>
    </row>
    <row r="51" spans="1:1">
      <c r="A51" s="27"/>
    </row>
    <row r="52" spans="1:1">
      <c r="A52" s="27"/>
    </row>
    <row r="53" spans="1:1">
      <c r="A53" s="27"/>
    </row>
    <row r="54" spans="1:1">
      <c r="A54" s="27"/>
    </row>
    <row r="55" spans="1:1">
      <c r="A55" s="27"/>
    </row>
    <row r="56" spans="1:1">
      <c r="A56" s="27"/>
    </row>
    <row r="57" spans="1:1">
      <c r="A57" s="27"/>
    </row>
    <row r="58" spans="1:1">
      <c r="A58" s="27"/>
    </row>
    <row r="59" spans="1:1">
      <c r="A59" s="27"/>
    </row>
    <row r="60" spans="1:1">
      <c r="A60" s="27"/>
    </row>
    <row r="61" spans="1:1">
      <c r="A61" s="27"/>
    </row>
    <row r="62" spans="1:1">
      <c r="A62" s="27"/>
    </row>
    <row r="63" spans="1:1">
      <c r="A63" s="27"/>
    </row>
    <row r="64" spans="1:1">
      <c r="A64" s="27"/>
    </row>
    <row r="65" spans="1:1">
      <c r="A65" s="27"/>
    </row>
    <row r="66" spans="1:1">
      <c r="A66" s="27"/>
    </row>
    <row r="67" spans="1:1">
      <c r="A67" s="27"/>
    </row>
    <row r="68" spans="1:1">
      <c r="A68" s="27"/>
    </row>
    <row r="69" spans="1:1">
      <c r="A69" s="27"/>
    </row>
    <row r="70" spans="1:1">
      <c r="A70" s="27"/>
    </row>
    <row r="71" spans="1:1">
      <c r="A71" s="27"/>
    </row>
    <row r="72" spans="1:1">
      <c r="A72" s="27"/>
    </row>
    <row r="73" spans="1:1">
      <c r="A73" s="27"/>
    </row>
    <row r="74" spans="1:1">
      <c r="A74" s="27"/>
    </row>
    <row r="75" spans="1:1">
      <c r="A75" s="27"/>
    </row>
    <row r="76" spans="1:1">
      <c r="A76" s="27"/>
    </row>
    <row r="77" spans="1:1">
      <c r="A77" s="27"/>
    </row>
    <row r="78" spans="1:1">
      <c r="A78" s="27"/>
    </row>
    <row r="79" spans="1:1">
      <c r="A79" s="27"/>
    </row>
    <row r="80" spans="1:1">
      <c r="A80" s="27"/>
    </row>
    <row r="81" spans="1:1">
      <c r="A81" s="27"/>
    </row>
    <row r="82" spans="1:1">
      <c r="A82" s="27"/>
    </row>
    <row r="83" spans="1:1">
      <c r="A83" s="27"/>
    </row>
    <row r="84" spans="1:1">
      <c r="A84" s="27"/>
    </row>
    <row r="85" spans="1:1">
      <c r="A85" s="27"/>
    </row>
    <row r="86" spans="1:1">
      <c r="A86" s="27"/>
    </row>
    <row r="87" spans="1:1">
      <c r="A87" s="27"/>
    </row>
  </sheetData>
  <mergeCells count="8">
    <mergeCell ref="AL1:AL2"/>
    <mergeCell ref="A1:A29"/>
    <mergeCell ref="A30:A58"/>
    <mergeCell ref="A59:A87"/>
    <mergeCell ref="AH1:AH2"/>
    <mergeCell ref="AI1:AI2"/>
    <mergeCell ref="AJ1:AJ2"/>
    <mergeCell ref="AK1:AK2"/>
  </mergeCells>
  <conditionalFormatting sqref="C3:AG9">
    <cfRule type="containsText" dxfId="6" priority="1" operator="containsText" text="l">
      <formula>NOT(ISERROR(SEARCH("l",C3)))</formula>
    </cfRule>
    <cfRule type="containsText" dxfId="5" priority="2" operator="containsText" text="ab">
      <formula>NOT(ISERROR(SEARCH("ab",C3)))</formula>
    </cfRule>
    <cfRule type="containsText" dxfId="4" priority="3" operator="containsText" text="p">
      <formula>NOT(ISERROR(SEARCH("p",C3)))</formula>
    </cfRule>
  </conditionalFormatting>
  <dataValidations count="3">
    <dataValidation type="list" allowBlank="1" showInputMessage="1" showErrorMessage="1" sqref="AN1" xr:uid="{00000000-0002-0000-1800-000000000000}">
      <formula1>"January,February,March,Aprail,May,June,July,August,September,October,November,December"</formula1>
    </dataValidation>
    <dataValidation type="list" allowBlank="1" showInputMessage="1" showErrorMessage="1" sqref="AN2" xr:uid="{00000000-0002-0000-1800-000001000000}">
      <formula1>"2020,2021,2022,2023,2024,2025,2026,2027,2028,2029,2030"</formula1>
    </dataValidation>
    <dataValidation type="list" allowBlank="1" showInputMessage="1" showErrorMessage="1" sqref="C3:AG9" xr:uid="{00000000-0002-0000-1800-000002000000}">
      <formula1>"p,ab,l"</formula1>
    </dataValidation>
  </dataValidation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5"/>
  <dimension ref="A1:AN87"/>
  <sheetViews>
    <sheetView workbookViewId="0">
      <pane xSplit="1" topLeftCell="J1" activePane="topRight" state="frozenSplit"/>
      <selection pane="topRight" activeCell="AM7" sqref="AM7"/>
    </sheetView>
  </sheetViews>
  <sheetFormatPr defaultRowHeight="15"/>
  <cols>
    <col min="1" max="1" width="16.85546875" bestFit="1" customWidth="1"/>
    <col min="2" max="2" width="15.7109375" customWidth="1"/>
    <col min="3" max="3" width="5.140625" style="12" customWidth="1"/>
    <col min="4" max="4" width="4.28515625" style="12" customWidth="1"/>
    <col min="5" max="5" width="5.28515625" style="12" customWidth="1"/>
    <col min="6" max="6" width="4.28515625" style="12" customWidth="1"/>
    <col min="7" max="7" width="3.42578125" style="12" customWidth="1"/>
    <col min="8" max="8" width="3.7109375" style="12" customWidth="1"/>
    <col min="9" max="9" width="4.28515625" style="12" customWidth="1"/>
    <col min="10" max="10" width="5.140625" style="12" customWidth="1"/>
    <col min="11" max="11" width="4.28515625" style="12" customWidth="1"/>
    <col min="12" max="12" width="5.28515625" style="12" customWidth="1"/>
    <col min="13" max="13" width="4.28515625" style="12" customWidth="1"/>
    <col min="14" max="14" width="3.28515625" style="12" customWidth="1"/>
    <col min="15" max="15" width="3.7109375" style="12" customWidth="1"/>
    <col min="16" max="16" width="4.28515625" style="12" customWidth="1"/>
    <col min="17" max="17" width="5.140625" style="12" customWidth="1"/>
    <col min="18" max="18" width="4.28515625" style="12" customWidth="1"/>
    <col min="19" max="19" width="5.28515625" style="12" customWidth="1"/>
    <col min="20" max="20" width="4.28515625" style="12" customWidth="1"/>
    <col min="21" max="21" width="3.28515625" style="12" customWidth="1"/>
    <col min="22" max="22" width="3.7109375" style="12" customWidth="1"/>
    <col min="23" max="23" width="4.28515625" style="12" customWidth="1"/>
    <col min="24" max="24" width="5.140625" style="12" customWidth="1"/>
    <col min="25" max="25" width="4.28515625" style="12" customWidth="1"/>
    <col min="26" max="26" width="5.28515625" style="12" customWidth="1"/>
    <col min="27" max="27" width="4.28515625" style="12" customWidth="1"/>
    <col min="28" max="28" width="3.42578125" style="12" customWidth="1"/>
    <col min="29" max="29" width="3.7109375" style="12" customWidth="1"/>
    <col min="30" max="30" width="4.28515625" style="12" customWidth="1"/>
    <col min="31" max="31" width="5.140625" style="12" customWidth="1"/>
    <col min="32" max="32" width="4.28515625" style="12" customWidth="1"/>
    <col min="33" max="33" width="5.28515625" style="12" customWidth="1"/>
    <col min="34" max="34" width="15.28515625" customWidth="1"/>
    <col min="35" max="35" width="7.85546875" customWidth="1"/>
    <col min="36" max="36" width="7.28515625" customWidth="1"/>
    <col min="37" max="37" width="6.140625" customWidth="1"/>
    <col min="38" max="38" width="10" customWidth="1"/>
    <col min="39" max="39" width="12.42578125" customWidth="1"/>
    <col min="40" max="40" width="10.7109375" customWidth="1"/>
  </cols>
  <sheetData>
    <row r="1" spans="1:40">
      <c r="A1" s="27"/>
      <c r="C1" s="17" t="str">
        <f>TEXT(C2,"DDD")</f>
        <v>Sun</v>
      </c>
      <c r="D1" s="17" t="str">
        <f t="shared" ref="D1:AG1" si="0">TEXT(D2,"DDD")</f>
        <v>Mon</v>
      </c>
      <c r="E1" s="17" t="str">
        <f t="shared" si="0"/>
        <v>Tue</v>
      </c>
      <c r="F1" s="17" t="str">
        <f t="shared" si="0"/>
        <v>Wed</v>
      </c>
      <c r="G1" s="17" t="str">
        <f t="shared" si="0"/>
        <v>Thu</v>
      </c>
      <c r="H1" s="17" t="str">
        <f t="shared" si="0"/>
        <v>Fri</v>
      </c>
      <c r="I1" s="17" t="str">
        <f t="shared" si="0"/>
        <v>Sat</v>
      </c>
      <c r="J1" s="17" t="str">
        <f t="shared" si="0"/>
        <v>Sun</v>
      </c>
      <c r="K1" s="17" t="str">
        <f t="shared" si="0"/>
        <v>Mon</v>
      </c>
      <c r="L1" s="17" t="str">
        <f t="shared" si="0"/>
        <v>Tue</v>
      </c>
      <c r="M1" s="17" t="str">
        <f t="shared" si="0"/>
        <v>Wed</v>
      </c>
      <c r="N1" s="17" t="str">
        <f t="shared" si="0"/>
        <v>Thu</v>
      </c>
      <c r="O1" s="17" t="str">
        <f t="shared" si="0"/>
        <v>Fri</v>
      </c>
      <c r="P1" s="17" t="str">
        <f t="shared" si="0"/>
        <v>Sat</v>
      </c>
      <c r="Q1" s="17" t="str">
        <f t="shared" si="0"/>
        <v>Sun</v>
      </c>
      <c r="R1" s="17" t="str">
        <f t="shared" si="0"/>
        <v>Mon</v>
      </c>
      <c r="S1" s="17" t="str">
        <f t="shared" si="0"/>
        <v>Tue</v>
      </c>
      <c r="T1" s="17" t="str">
        <f t="shared" si="0"/>
        <v>Wed</v>
      </c>
      <c r="U1" s="17" t="str">
        <f t="shared" si="0"/>
        <v>Thu</v>
      </c>
      <c r="V1" s="17" t="str">
        <f t="shared" si="0"/>
        <v>Fri</v>
      </c>
      <c r="W1" s="17" t="str">
        <f t="shared" si="0"/>
        <v>Sat</v>
      </c>
      <c r="X1" s="17" t="str">
        <f t="shared" si="0"/>
        <v>Sun</v>
      </c>
      <c r="Y1" s="17" t="str">
        <f t="shared" si="0"/>
        <v>Mon</v>
      </c>
      <c r="Z1" s="17" t="str">
        <f t="shared" si="0"/>
        <v>Tue</v>
      </c>
      <c r="AA1" s="17" t="str">
        <f t="shared" si="0"/>
        <v>Wed</v>
      </c>
      <c r="AB1" s="17" t="str">
        <f t="shared" si="0"/>
        <v>Thu</v>
      </c>
      <c r="AC1" s="17" t="str">
        <f t="shared" si="0"/>
        <v>Fri</v>
      </c>
      <c r="AD1" s="17" t="str">
        <f t="shared" si="0"/>
        <v>Sat</v>
      </c>
      <c r="AE1" s="17" t="str">
        <f t="shared" si="0"/>
        <v>Sun</v>
      </c>
      <c r="AF1" s="17" t="str">
        <f t="shared" si="0"/>
        <v>Mon</v>
      </c>
      <c r="AG1" s="17" t="str">
        <f t="shared" si="0"/>
        <v>Tue</v>
      </c>
      <c r="AH1" s="33" t="s">
        <v>106</v>
      </c>
      <c r="AI1" s="31" t="s">
        <v>107</v>
      </c>
      <c r="AJ1" s="31" t="s">
        <v>108</v>
      </c>
      <c r="AK1" s="31" t="s">
        <v>109</v>
      </c>
      <c r="AL1" s="31" t="s">
        <v>110</v>
      </c>
      <c r="AM1" s="5" t="s">
        <v>81</v>
      </c>
      <c r="AN1" s="10" t="s">
        <v>105</v>
      </c>
    </row>
    <row r="2" spans="1:40">
      <c r="A2" s="27"/>
      <c r="B2" t="s">
        <v>111</v>
      </c>
      <c r="C2" s="18">
        <f>IF(COLUMNS($C$2:C2)&gt;DAY($AN$4),"",$AN$3+COLUMNS($C$2:C2)-1)</f>
        <v>45627</v>
      </c>
      <c r="D2" s="18">
        <f>IF(COLUMNS($C$2:D2)&gt;DAY($AN$4),"",$AN$3+COLUMNS($C$2:D2)-1)</f>
        <v>45628</v>
      </c>
      <c r="E2" s="18">
        <f>IF(COLUMNS($C$2:E2)&gt;DAY($AN$4),"",$AN$3+COLUMNS($C$2:E2)-1)</f>
        <v>45629</v>
      </c>
      <c r="F2" s="18">
        <f>IF(COLUMNS($C$2:F2)&gt;DAY($AN$4),"",$AN$3+COLUMNS($C$2:F2)-1)</f>
        <v>45630</v>
      </c>
      <c r="G2" s="18">
        <f>IF(COLUMNS($C$2:G2)&gt;DAY($AN$4),"",$AN$3+COLUMNS($C$2:G2)-1)</f>
        <v>45631</v>
      </c>
      <c r="H2" s="18">
        <f>IF(COLUMNS($C$2:H2)&gt;DAY($AN$4),"",$AN$3+COLUMNS($C$2:H2)-1)</f>
        <v>45632</v>
      </c>
      <c r="I2" s="18">
        <f>IF(COLUMNS($C$2:I2)&gt;DAY($AN$4),"",$AN$3+COLUMNS($C$2:I2)-1)</f>
        <v>45633</v>
      </c>
      <c r="J2" s="18">
        <f>IF(COLUMNS($C$2:J2)&gt;DAY($AN$4),"",$AN$3+COLUMNS($C$2:J2)-1)</f>
        <v>45634</v>
      </c>
      <c r="K2" s="18">
        <f>IF(COLUMNS($C$2:K2)&gt;DAY($AN$4),"",$AN$3+COLUMNS($C$2:K2)-1)</f>
        <v>45635</v>
      </c>
      <c r="L2" s="18">
        <f>IF(COLUMNS($C$2:L2)&gt;DAY($AN$4),"",$AN$3+COLUMNS($C$2:L2)-1)</f>
        <v>45636</v>
      </c>
      <c r="M2" s="18">
        <f>IF(COLUMNS($C$2:M2)&gt;DAY($AN$4),"",$AN$3+COLUMNS($C$2:M2)-1)</f>
        <v>45637</v>
      </c>
      <c r="N2" s="18">
        <f>IF(COLUMNS($C$2:N2)&gt;DAY($AN$4),"",$AN$3+COLUMNS($C$2:N2)-1)</f>
        <v>45638</v>
      </c>
      <c r="O2" s="18">
        <f>IF(COLUMNS($C$2:O2)&gt;DAY($AN$4),"",$AN$3+COLUMNS($C$2:O2)-1)</f>
        <v>45639</v>
      </c>
      <c r="P2" s="18">
        <f>IF(COLUMNS($C$2:P2)&gt;DAY($AN$4),"",$AN$3+COLUMNS($C$2:P2)-1)</f>
        <v>45640</v>
      </c>
      <c r="Q2" s="18">
        <f>IF(COLUMNS($C$2:Q2)&gt;DAY($AN$4),"",$AN$3+COLUMNS($C$2:Q2)-1)</f>
        <v>45641</v>
      </c>
      <c r="R2" s="18">
        <f>IF(COLUMNS($C$2:R2)&gt;DAY($AN$4),"",$AN$3+COLUMNS($C$2:R2)-1)</f>
        <v>45642</v>
      </c>
      <c r="S2" s="18">
        <f>IF(COLUMNS($C$2:S2)&gt;DAY($AN$4),"",$AN$3+COLUMNS($C$2:S2)-1)</f>
        <v>45643</v>
      </c>
      <c r="T2" s="18">
        <f>IF(COLUMNS($C$2:T2)&gt;DAY($AN$4),"",$AN$3+COLUMNS($C$2:T2)-1)</f>
        <v>45644</v>
      </c>
      <c r="U2" s="18">
        <f>IF(COLUMNS($C$2:U2)&gt;DAY($AN$4),"",$AN$3+COLUMNS($C$2:U2)-1)</f>
        <v>45645</v>
      </c>
      <c r="V2" s="18">
        <f>IF(COLUMNS($C$2:V2)&gt;DAY($AN$4),"",$AN$3+COLUMNS($C$2:V2)-1)</f>
        <v>45646</v>
      </c>
      <c r="W2" s="18">
        <f>IF(COLUMNS($C$2:W2)&gt;DAY($AN$4),"",$AN$3+COLUMNS($C$2:W2)-1)</f>
        <v>45647</v>
      </c>
      <c r="X2" s="18">
        <f>IF(COLUMNS($C$2:X2)&gt;DAY($AN$4),"",$AN$3+COLUMNS($C$2:X2)-1)</f>
        <v>45648</v>
      </c>
      <c r="Y2" s="18">
        <f>IF(COLUMNS($C$2:Y2)&gt;DAY($AN$4),"",$AN$3+COLUMNS($C$2:Y2)-1)</f>
        <v>45649</v>
      </c>
      <c r="Z2" s="18">
        <f>IF(COLUMNS($C$2:Z2)&gt;DAY($AN$4),"",$AN$3+COLUMNS($C$2:Z2)-1)</f>
        <v>45650</v>
      </c>
      <c r="AA2" s="18">
        <f>IF(COLUMNS($C$2:AA2)&gt;DAY($AN$4),"",$AN$3+COLUMNS($C$2:AA2)-1)</f>
        <v>45651</v>
      </c>
      <c r="AB2" s="18">
        <f>IF(COLUMNS($C$2:AB2)&gt;DAY($AN$4),"",$AN$3+COLUMNS($C$2:AB2)-1)</f>
        <v>45652</v>
      </c>
      <c r="AC2" s="18">
        <f>IF(COLUMNS($C$2:AC2)&gt;DAY($AN$4),"",$AN$3+COLUMNS($C$2:AC2)-1)</f>
        <v>45653</v>
      </c>
      <c r="AD2" s="18">
        <f>IF(COLUMNS($C$2:AD2)&gt;DAY($AN$4),"",$AN$3+COLUMNS($C$2:AD2)-1)</f>
        <v>45654</v>
      </c>
      <c r="AE2" s="18">
        <f>IF(COLUMNS($C$2:AE2)&gt;DAY($AN$4),"",$AN$3+COLUMNS($C$2:AE2)-1)</f>
        <v>45655</v>
      </c>
      <c r="AF2" s="18">
        <f>IF(COLUMNS($C$2:AF2)&gt;DAY($AN$4),"",$AN$3+COLUMNS($C$2:AF2)-1)</f>
        <v>45656</v>
      </c>
      <c r="AG2" s="18">
        <f>IF(COLUMNS($C$2:AG2)&gt;DAY($AN$4),"",$AN$3+COLUMNS($C$2:AG2)-1)</f>
        <v>45657</v>
      </c>
      <c r="AH2" s="34"/>
      <c r="AI2" s="32"/>
      <c r="AJ2" s="32"/>
      <c r="AK2" s="32"/>
      <c r="AL2" s="32"/>
      <c r="AM2" s="6" t="s">
        <v>83</v>
      </c>
      <c r="AN2" s="11">
        <v>2024</v>
      </c>
    </row>
    <row r="3" spans="1:40">
      <c r="A3" s="27"/>
      <c r="B3" t="s">
        <v>88</v>
      </c>
      <c r="C3"/>
      <c r="D3"/>
      <c r="E3"/>
      <c r="F3"/>
      <c r="G3"/>
      <c r="H3"/>
      <c r="I3"/>
      <c r="J3"/>
      <c r="K3"/>
      <c r="L3"/>
      <c r="M3"/>
      <c r="N3"/>
      <c r="O3"/>
      <c r="P3"/>
      <c r="Q3"/>
      <c r="R3"/>
      <c r="S3"/>
      <c r="T3"/>
      <c r="U3"/>
      <c r="V3"/>
      <c r="W3"/>
      <c r="X3"/>
      <c r="Y3"/>
      <c r="Z3"/>
      <c r="AA3"/>
      <c r="AB3"/>
      <c r="AC3"/>
      <c r="AD3"/>
      <c r="AE3"/>
      <c r="AF3"/>
      <c r="AG3"/>
      <c r="AH3" s="16">
        <v>50000</v>
      </c>
      <c r="AI3" s="16">
        <f>COUNTIF($C3:$AG3,"P")</f>
        <v>0</v>
      </c>
      <c r="AJ3" s="16">
        <f>COUNTIF($C3:$AG3,"Ab")</f>
        <v>0</v>
      </c>
      <c r="AK3" s="16">
        <f>COUNTIF($C3:$AG3,"L")</f>
        <v>0</v>
      </c>
      <c r="AL3" s="16">
        <f>AH3/30*(AI3+AK3)</f>
        <v>0</v>
      </c>
      <c r="AM3" s="7" t="s">
        <v>84</v>
      </c>
      <c r="AN3" s="4">
        <f>DATE(AN2,MONTH(AN1&amp;1),1)</f>
        <v>45627</v>
      </c>
    </row>
    <row r="4" spans="1:40">
      <c r="A4" s="27"/>
      <c r="B4" t="s">
        <v>89</v>
      </c>
      <c r="C4"/>
      <c r="D4"/>
      <c r="E4"/>
      <c r="F4"/>
      <c r="G4"/>
      <c r="H4"/>
      <c r="I4"/>
      <c r="J4"/>
      <c r="K4"/>
      <c r="L4"/>
      <c r="M4"/>
      <c r="N4"/>
      <c r="O4"/>
      <c r="P4"/>
      <c r="Q4"/>
      <c r="R4"/>
      <c r="S4"/>
      <c r="T4"/>
      <c r="U4"/>
      <c r="V4"/>
      <c r="W4"/>
      <c r="X4"/>
      <c r="Y4"/>
      <c r="Z4"/>
      <c r="AA4"/>
      <c r="AB4"/>
      <c r="AC4"/>
      <c r="AD4"/>
      <c r="AE4"/>
      <c r="AF4"/>
      <c r="AG4"/>
      <c r="AH4" s="25">
        <v>15000</v>
      </c>
      <c r="AI4" s="16">
        <f t="shared" ref="AI4:AI6" si="1">COUNTIF($C4:$AG4,"P")</f>
        <v>0</v>
      </c>
      <c r="AJ4" s="16">
        <f t="shared" ref="AJ4:AJ6" si="2">COUNTIF($C4:$AG4,"Ab")</f>
        <v>0</v>
      </c>
      <c r="AK4" s="16">
        <f t="shared" ref="AK4:AK6" si="3">COUNTIF($C4:$AG4,"L")</f>
        <v>0</v>
      </c>
      <c r="AL4" s="16">
        <f t="shared" ref="AL4:AL6" si="4">AH4/30*(AI4+AK4)</f>
        <v>0</v>
      </c>
      <c r="AM4" s="7" t="s">
        <v>85</v>
      </c>
      <c r="AN4" s="4">
        <f>EOMONTH(AN3,0)</f>
        <v>45657</v>
      </c>
    </row>
    <row r="5" spans="1:40">
      <c r="A5" s="27"/>
      <c r="B5" t="s">
        <v>90</v>
      </c>
      <c r="C5"/>
      <c r="D5"/>
      <c r="E5"/>
      <c r="F5"/>
      <c r="G5"/>
      <c r="H5"/>
      <c r="I5"/>
      <c r="J5"/>
      <c r="K5"/>
      <c r="L5"/>
      <c r="M5"/>
      <c r="N5"/>
      <c r="O5"/>
      <c r="P5"/>
      <c r="Q5"/>
      <c r="R5"/>
      <c r="S5"/>
      <c r="T5"/>
      <c r="U5"/>
      <c r="V5"/>
      <c r="W5"/>
      <c r="X5"/>
      <c r="Y5"/>
      <c r="Z5"/>
      <c r="AA5"/>
      <c r="AB5"/>
      <c r="AC5"/>
      <c r="AD5"/>
      <c r="AE5"/>
      <c r="AF5"/>
      <c r="AG5"/>
      <c r="AH5" s="25">
        <v>18000</v>
      </c>
      <c r="AI5" s="16">
        <f t="shared" si="1"/>
        <v>0</v>
      </c>
      <c r="AJ5" s="16">
        <f t="shared" si="2"/>
        <v>0</v>
      </c>
      <c r="AK5" s="16">
        <f t="shared" si="3"/>
        <v>0</v>
      </c>
      <c r="AL5" s="16">
        <f t="shared" si="4"/>
        <v>0</v>
      </c>
    </row>
    <row r="6" spans="1:40">
      <c r="A6" s="27"/>
      <c r="B6" t="s">
        <v>91</v>
      </c>
      <c r="C6"/>
      <c r="D6"/>
      <c r="E6"/>
      <c r="F6"/>
      <c r="G6"/>
      <c r="H6"/>
      <c r="I6"/>
      <c r="J6"/>
      <c r="K6"/>
      <c r="L6"/>
      <c r="M6"/>
      <c r="N6"/>
      <c r="O6"/>
      <c r="P6"/>
      <c r="Q6"/>
      <c r="R6"/>
      <c r="S6"/>
      <c r="T6"/>
      <c r="U6"/>
      <c r="V6"/>
      <c r="W6"/>
      <c r="X6"/>
      <c r="Y6"/>
      <c r="Z6"/>
      <c r="AA6"/>
      <c r="AB6"/>
      <c r="AC6"/>
      <c r="AD6"/>
      <c r="AE6"/>
      <c r="AF6"/>
      <c r="AG6"/>
      <c r="AH6" s="25">
        <v>10000</v>
      </c>
      <c r="AI6" s="16">
        <f t="shared" si="1"/>
        <v>0</v>
      </c>
      <c r="AJ6" s="16">
        <f t="shared" si="2"/>
        <v>0</v>
      </c>
      <c r="AK6" s="16">
        <f t="shared" si="3"/>
        <v>0</v>
      </c>
      <c r="AL6" s="16">
        <f t="shared" si="4"/>
        <v>0</v>
      </c>
    </row>
    <row r="7" spans="1:40">
      <c r="A7" s="27"/>
      <c r="C7"/>
      <c r="D7"/>
      <c r="E7"/>
      <c r="F7"/>
      <c r="G7"/>
      <c r="H7"/>
      <c r="I7"/>
      <c r="J7"/>
      <c r="K7"/>
      <c r="L7"/>
      <c r="M7"/>
      <c r="N7"/>
      <c r="O7"/>
      <c r="P7"/>
      <c r="Q7"/>
      <c r="R7"/>
      <c r="S7"/>
      <c r="T7"/>
      <c r="U7"/>
      <c r="V7"/>
      <c r="W7"/>
      <c r="X7"/>
      <c r="Y7"/>
      <c r="Z7"/>
      <c r="AA7"/>
      <c r="AB7"/>
      <c r="AC7"/>
      <c r="AD7"/>
      <c r="AE7"/>
      <c r="AF7"/>
      <c r="AG7"/>
    </row>
    <row r="8" spans="1:40">
      <c r="A8" s="27"/>
      <c r="C8"/>
      <c r="D8"/>
      <c r="E8"/>
      <c r="F8"/>
      <c r="G8"/>
      <c r="H8"/>
      <c r="I8"/>
      <c r="J8"/>
      <c r="K8"/>
      <c r="L8"/>
      <c r="M8"/>
      <c r="N8"/>
      <c r="O8"/>
      <c r="P8"/>
      <c r="Q8"/>
      <c r="R8"/>
      <c r="S8"/>
      <c r="T8"/>
      <c r="U8"/>
      <c r="V8"/>
      <c r="W8"/>
      <c r="X8"/>
      <c r="Y8"/>
      <c r="Z8"/>
      <c r="AA8"/>
      <c r="AB8"/>
      <c r="AC8"/>
      <c r="AD8"/>
      <c r="AE8"/>
      <c r="AF8"/>
      <c r="AG8"/>
    </row>
    <row r="9" spans="1:40">
      <c r="A9" s="27"/>
      <c r="C9"/>
      <c r="D9"/>
      <c r="E9"/>
      <c r="F9"/>
      <c r="G9"/>
      <c r="H9"/>
      <c r="I9"/>
      <c r="J9"/>
      <c r="K9"/>
      <c r="L9"/>
      <c r="M9"/>
      <c r="N9"/>
      <c r="O9"/>
      <c r="P9"/>
      <c r="Q9"/>
      <c r="R9"/>
      <c r="S9"/>
      <c r="T9"/>
      <c r="U9"/>
      <c r="V9"/>
      <c r="W9"/>
      <c r="X9"/>
      <c r="Y9"/>
      <c r="Z9"/>
      <c r="AA9"/>
      <c r="AB9"/>
      <c r="AC9"/>
      <c r="AD9"/>
      <c r="AE9"/>
      <c r="AF9"/>
      <c r="AG9"/>
    </row>
    <row r="10" spans="1:40">
      <c r="A10" s="27"/>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row>
    <row r="11" spans="1:40">
      <c r="A11" s="27"/>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row>
    <row r="12" spans="1:40">
      <c r="A12" s="27"/>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row>
    <row r="13" spans="1:40">
      <c r="A13" s="27"/>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row>
    <row r="14" spans="1:40">
      <c r="A14" s="27"/>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row>
    <row r="15" spans="1:40">
      <c r="A15" s="27"/>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row>
    <row r="16" spans="1:40">
      <c r="A16" s="27"/>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row>
    <row r="17" spans="1:1">
      <c r="A17" s="27"/>
    </row>
    <row r="18" spans="1:1">
      <c r="A18" s="27"/>
    </row>
    <row r="19" spans="1:1">
      <c r="A19" s="27"/>
    </row>
    <row r="20" spans="1:1">
      <c r="A20" s="27"/>
    </row>
    <row r="21" spans="1:1">
      <c r="A21" s="27"/>
    </row>
    <row r="22" spans="1:1">
      <c r="A22" s="27"/>
    </row>
    <row r="23" spans="1:1">
      <c r="A23" s="27"/>
    </row>
    <row r="24" spans="1:1">
      <c r="A24" s="27"/>
    </row>
    <row r="25" spans="1:1">
      <c r="A25" s="27"/>
    </row>
    <row r="26" spans="1:1">
      <c r="A26" s="27"/>
    </row>
    <row r="27" spans="1:1">
      <c r="A27" s="27"/>
    </row>
    <row r="28" spans="1:1">
      <c r="A28" s="27"/>
    </row>
    <row r="29" spans="1:1">
      <c r="A29" s="27"/>
    </row>
    <row r="30" spans="1:1">
      <c r="A30" s="27"/>
    </row>
    <row r="31" spans="1:1">
      <c r="A31" s="27"/>
    </row>
    <row r="32" spans="1:1">
      <c r="A32" s="27"/>
    </row>
    <row r="33" spans="1:1">
      <c r="A33" s="27"/>
    </row>
    <row r="34" spans="1:1">
      <c r="A34" s="27"/>
    </row>
    <row r="35" spans="1:1">
      <c r="A35" s="27"/>
    </row>
    <row r="36" spans="1:1">
      <c r="A36" s="27"/>
    </row>
    <row r="37" spans="1:1">
      <c r="A37" s="27"/>
    </row>
    <row r="38" spans="1:1">
      <c r="A38" s="27"/>
    </row>
    <row r="39" spans="1:1">
      <c r="A39" s="27"/>
    </row>
    <row r="40" spans="1:1">
      <c r="A40" s="27"/>
    </row>
    <row r="41" spans="1:1">
      <c r="A41" s="27"/>
    </row>
    <row r="42" spans="1:1">
      <c r="A42" s="27"/>
    </row>
    <row r="43" spans="1:1">
      <c r="A43" s="27"/>
    </row>
    <row r="44" spans="1:1">
      <c r="A44" s="27"/>
    </row>
    <row r="45" spans="1:1">
      <c r="A45" s="27"/>
    </row>
    <row r="46" spans="1:1">
      <c r="A46" s="27"/>
    </row>
    <row r="47" spans="1:1">
      <c r="A47" s="27"/>
    </row>
    <row r="48" spans="1:1">
      <c r="A48" s="27"/>
    </row>
    <row r="49" spans="1:1">
      <c r="A49" s="27"/>
    </row>
    <row r="50" spans="1:1">
      <c r="A50" s="27"/>
    </row>
    <row r="51" spans="1:1">
      <c r="A51" s="27"/>
    </row>
    <row r="52" spans="1:1">
      <c r="A52" s="27"/>
    </row>
    <row r="53" spans="1:1">
      <c r="A53" s="27"/>
    </row>
    <row r="54" spans="1:1">
      <c r="A54" s="27"/>
    </row>
    <row r="55" spans="1:1">
      <c r="A55" s="27"/>
    </row>
    <row r="56" spans="1:1">
      <c r="A56" s="27"/>
    </row>
    <row r="57" spans="1:1">
      <c r="A57" s="27"/>
    </row>
    <row r="58" spans="1:1">
      <c r="A58" s="27"/>
    </row>
    <row r="59" spans="1:1">
      <c r="A59" s="27"/>
    </row>
    <row r="60" spans="1:1">
      <c r="A60" s="27"/>
    </row>
    <row r="61" spans="1:1">
      <c r="A61" s="27"/>
    </row>
    <row r="62" spans="1:1">
      <c r="A62" s="27"/>
    </row>
    <row r="63" spans="1:1">
      <c r="A63" s="27"/>
    </row>
    <row r="64" spans="1:1">
      <c r="A64" s="27"/>
    </row>
    <row r="65" spans="1:1">
      <c r="A65" s="27"/>
    </row>
    <row r="66" spans="1:1">
      <c r="A66" s="27"/>
    </row>
    <row r="67" spans="1:1">
      <c r="A67" s="27"/>
    </row>
    <row r="68" spans="1:1">
      <c r="A68" s="27"/>
    </row>
    <row r="69" spans="1:1">
      <c r="A69" s="27"/>
    </row>
    <row r="70" spans="1:1">
      <c r="A70" s="27"/>
    </row>
    <row r="71" spans="1:1">
      <c r="A71" s="27"/>
    </row>
    <row r="72" spans="1:1">
      <c r="A72" s="27"/>
    </row>
    <row r="73" spans="1:1">
      <c r="A73" s="27"/>
    </row>
    <row r="74" spans="1:1">
      <c r="A74" s="27"/>
    </row>
    <row r="75" spans="1:1">
      <c r="A75" s="27"/>
    </row>
    <row r="76" spans="1:1">
      <c r="A76" s="27"/>
    </row>
    <row r="77" spans="1:1">
      <c r="A77" s="27"/>
    </row>
    <row r="78" spans="1:1">
      <c r="A78" s="27"/>
    </row>
    <row r="79" spans="1:1">
      <c r="A79" s="27"/>
    </row>
    <row r="80" spans="1:1">
      <c r="A80" s="27"/>
    </row>
    <row r="81" spans="1:1">
      <c r="A81" s="27"/>
    </row>
    <row r="82" spans="1:1">
      <c r="A82" s="27"/>
    </row>
    <row r="83" spans="1:1">
      <c r="A83" s="27"/>
    </row>
    <row r="84" spans="1:1">
      <c r="A84" s="27"/>
    </row>
    <row r="85" spans="1:1">
      <c r="A85" s="27"/>
    </row>
    <row r="86" spans="1:1">
      <c r="A86" s="27"/>
    </row>
    <row r="87" spans="1:1">
      <c r="A87" s="27"/>
    </row>
  </sheetData>
  <mergeCells count="8">
    <mergeCell ref="AL1:AL2"/>
    <mergeCell ref="A1:A29"/>
    <mergeCell ref="A30:A58"/>
    <mergeCell ref="A59:A87"/>
    <mergeCell ref="AH1:AH2"/>
    <mergeCell ref="AI1:AI2"/>
    <mergeCell ref="AJ1:AJ2"/>
    <mergeCell ref="AK1:AK2"/>
  </mergeCells>
  <conditionalFormatting sqref="C3:AG9">
    <cfRule type="containsText" dxfId="3" priority="1" operator="containsText" text="l">
      <formula>NOT(ISERROR(SEARCH("l",C3)))</formula>
    </cfRule>
    <cfRule type="containsText" dxfId="2" priority="2" operator="containsText" text="ab">
      <formula>NOT(ISERROR(SEARCH("ab",C3)))</formula>
    </cfRule>
    <cfRule type="containsText" dxfId="1" priority="3" operator="containsText" text="p">
      <formula>NOT(ISERROR(SEARCH("p",C3)))</formula>
    </cfRule>
  </conditionalFormatting>
  <dataValidations count="3">
    <dataValidation type="list" allowBlank="1" showInputMessage="1" showErrorMessage="1" sqref="AN1" xr:uid="{00000000-0002-0000-1900-000000000000}">
      <formula1>"January,February,March,Aprail,May,June,July,August,September,October,November,December"</formula1>
    </dataValidation>
    <dataValidation type="list" allowBlank="1" showInputMessage="1" showErrorMessage="1" sqref="AN2" xr:uid="{00000000-0002-0000-1900-000001000000}">
      <formula1>"2020,2021,2022,2023,2024,2025,2026,2027,2028,2029,2030"</formula1>
    </dataValidation>
    <dataValidation type="list" allowBlank="1" showInputMessage="1" showErrorMessage="1" sqref="C3:AG9" xr:uid="{00000000-0002-0000-1900-000002000000}">
      <formula1>"p,ab,l"</formula1>
    </dataValidation>
  </dataValidations>
  <pageMargins left="0.7" right="0.7" top="0.75" bottom="0.75" header="0.3" footer="0.3"/>
  <pageSetup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A29"/>
  <sheetViews>
    <sheetView showGridLines="0" tabSelected="1" workbookViewId="0">
      <pane xSplit="1" topLeftCell="B1" activePane="topRight" state="frozenSplit"/>
      <selection pane="topRight" activeCell="P15" sqref="P15"/>
    </sheetView>
  </sheetViews>
  <sheetFormatPr defaultRowHeight="15"/>
  <cols>
    <col min="1" max="1" width="16.42578125" customWidth="1"/>
    <col min="2" max="2" width="16.85546875" customWidth="1"/>
    <col min="3" max="3" width="16.85546875" bestFit="1" customWidth="1"/>
    <col min="13" max="13" width="13.85546875" customWidth="1"/>
    <col min="14" max="14" width="16.28515625" customWidth="1"/>
    <col min="15" max="15" width="8" customWidth="1"/>
    <col min="16" max="16" width="11.28515625" customWidth="1"/>
    <col min="17" max="25" width="16.28515625" customWidth="1"/>
    <col min="26" max="36" width="16.28515625" bestFit="1" customWidth="1"/>
    <col min="37" max="37" width="18" bestFit="1" customWidth="1"/>
    <col min="38" max="38" width="18.42578125" bestFit="1" customWidth="1"/>
    <col min="39" max="39" width="18.7109375" bestFit="1" customWidth="1"/>
    <col min="40" max="40" width="18.28515625" bestFit="1" customWidth="1"/>
    <col min="41" max="41" width="19" bestFit="1" customWidth="1"/>
    <col min="42" max="42" width="18.140625" bestFit="1" customWidth="1"/>
    <col min="43" max="43" width="17.5703125" bestFit="1" customWidth="1"/>
    <col min="44" max="44" width="18.5703125" bestFit="1" customWidth="1"/>
    <col min="45" max="45" width="18.42578125" bestFit="1" customWidth="1"/>
    <col min="46" max="46" width="20.5703125" bestFit="1" customWidth="1"/>
    <col min="47" max="47" width="21.140625" bestFit="1" customWidth="1"/>
    <col min="48" max="48" width="20.85546875" bestFit="1" customWidth="1"/>
  </cols>
  <sheetData>
    <row r="1" spans="1:1">
      <c r="A1" s="27"/>
    </row>
    <row r="2" spans="1:1">
      <c r="A2" s="27"/>
    </row>
    <row r="3" spans="1:1">
      <c r="A3" s="27"/>
    </row>
    <row r="4" spans="1:1">
      <c r="A4" s="27"/>
    </row>
    <row r="5" spans="1:1">
      <c r="A5" s="27"/>
    </row>
    <row r="6" spans="1:1">
      <c r="A6" s="27"/>
    </row>
    <row r="7" spans="1:1">
      <c r="A7" s="27"/>
    </row>
    <row r="8" spans="1:1">
      <c r="A8" s="27"/>
    </row>
    <row r="9" spans="1:1">
      <c r="A9" s="27"/>
    </row>
    <row r="10" spans="1:1">
      <c r="A10" s="27"/>
    </row>
    <row r="11" spans="1:1">
      <c r="A11" s="27"/>
    </row>
    <row r="12" spans="1:1">
      <c r="A12" s="27"/>
    </row>
    <row r="13" spans="1:1">
      <c r="A13" s="27"/>
    </row>
    <row r="14" spans="1:1">
      <c r="A14" s="27"/>
    </row>
    <row r="15" spans="1:1">
      <c r="A15" s="27"/>
    </row>
    <row r="16" spans="1:1">
      <c r="A16" s="27"/>
    </row>
    <row r="17" spans="1:1">
      <c r="A17" s="27"/>
    </row>
    <row r="18" spans="1:1">
      <c r="A18" s="27"/>
    </row>
    <row r="19" spans="1:1">
      <c r="A19" s="27"/>
    </row>
    <row r="20" spans="1:1">
      <c r="A20" s="27"/>
    </row>
    <row r="21" spans="1:1">
      <c r="A21" s="27"/>
    </row>
    <row r="22" spans="1:1">
      <c r="A22" s="27"/>
    </row>
    <row r="23" spans="1:1">
      <c r="A23" s="27"/>
    </row>
    <row r="24" spans="1:1">
      <c r="A24" s="27"/>
    </row>
    <row r="25" spans="1:1">
      <c r="A25" s="27"/>
    </row>
    <row r="26" spans="1:1">
      <c r="A26" s="27"/>
    </row>
    <row r="27" spans="1:1">
      <c r="A27" s="27"/>
    </row>
    <row r="28" spans="1:1">
      <c r="A28" s="27"/>
    </row>
    <row r="29" spans="1:1">
      <c r="A29" s="27"/>
    </row>
  </sheetData>
  <mergeCells count="1">
    <mergeCell ref="A1:A2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72"/>
  <sheetViews>
    <sheetView workbookViewId="0">
      <selection activeCell="H1" sqref="H1"/>
    </sheetView>
  </sheetViews>
  <sheetFormatPr defaultRowHeight="15"/>
  <cols>
    <col min="1" max="1" width="19.28515625" bestFit="1" customWidth="1"/>
    <col min="2" max="2" width="11.28515625" customWidth="1"/>
    <col min="3" max="3" width="6.7109375" customWidth="1"/>
    <col min="4" max="4" width="7" customWidth="1"/>
    <col min="5" max="5" width="13.140625" customWidth="1"/>
    <col min="6" max="6" width="7.28515625" customWidth="1"/>
    <col min="7" max="7" width="6.42578125" customWidth="1"/>
    <col min="8" max="8" width="13.85546875" customWidth="1"/>
    <col min="9" max="9" width="8.28515625" customWidth="1"/>
    <col min="10" max="10" width="13.7109375" customWidth="1"/>
    <col min="11" max="11" width="13.28515625" customWidth="1"/>
    <col min="12" max="12" width="14" customWidth="1"/>
    <col min="13" max="13" width="13.140625" customWidth="1"/>
    <col min="14" max="14" width="12.42578125" customWidth="1"/>
    <col min="15" max="15" width="13.5703125" customWidth="1"/>
    <col min="16" max="16" width="13.42578125" customWidth="1"/>
    <col min="17" max="17" width="13.42578125" bestFit="1" customWidth="1"/>
  </cols>
  <sheetData>
    <row r="1" spans="1:21">
      <c r="A1" s="19" t="s">
        <v>115</v>
      </c>
      <c r="B1" s="19" t="s">
        <v>94</v>
      </c>
      <c r="D1" s="19" t="s">
        <v>115</v>
      </c>
      <c r="E1" s="23" t="s">
        <v>116</v>
      </c>
      <c r="H1" s="20" t="s">
        <v>0</v>
      </c>
      <c r="I1" t="s">
        <v>18</v>
      </c>
      <c r="K1" s="1"/>
      <c r="L1" s="1"/>
      <c r="M1" s="1"/>
      <c r="N1" s="1"/>
      <c r="O1" s="1"/>
      <c r="P1" s="1"/>
      <c r="Q1" s="1"/>
      <c r="R1" s="1"/>
      <c r="S1" s="1"/>
      <c r="T1" s="1"/>
      <c r="U1" s="1"/>
    </row>
    <row r="2" spans="1:21">
      <c r="A2" s="5" t="s">
        <v>82</v>
      </c>
      <c r="B2" s="5">
        <f ca="1">'Daily Sales(JAN)'!AP16</f>
        <v>190232.33333333331</v>
      </c>
      <c r="D2" s="5" t="s">
        <v>82</v>
      </c>
      <c r="E2" s="5">
        <f ca="1">SUM('Daily Sales(JAN)'!AH3:AH57)</f>
        <v>9418</v>
      </c>
    </row>
    <row r="3" spans="1:21">
      <c r="A3" s="5" t="s">
        <v>95</v>
      </c>
      <c r="B3" s="5">
        <f ca="1">Februray!AP16</f>
        <v>182466.33333333331</v>
      </c>
      <c r="D3" s="5" t="s">
        <v>95</v>
      </c>
      <c r="E3" s="5">
        <f ca="1">SUM(Februray!AH3:AH57)</f>
        <v>8890</v>
      </c>
      <c r="H3" s="20" t="s">
        <v>117</v>
      </c>
    </row>
    <row r="4" spans="1:21">
      <c r="A4" s="5" t="s">
        <v>96</v>
      </c>
      <c r="B4" s="5">
        <f ca="1">March!AP16</f>
        <v>193515</v>
      </c>
      <c r="D4" s="5" t="s">
        <v>96</v>
      </c>
      <c r="E4" s="5">
        <f ca="1">SUM(March!AH3:AH57)</f>
        <v>9348</v>
      </c>
      <c r="H4" s="21" t="s">
        <v>118</v>
      </c>
      <c r="I4" s="22">
        <v>190</v>
      </c>
    </row>
    <row r="5" spans="1:21">
      <c r="A5" s="5" t="s">
        <v>119</v>
      </c>
      <c r="B5" s="5">
        <f ca="1">Aprail!AP16</f>
        <v>180992</v>
      </c>
      <c r="D5" s="5" t="s">
        <v>119</v>
      </c>
      <c r="E5" s="5">
        <f ca="1">SUM(Aprail!AH3:AH57)</f>
        <v>8955</v>
      </c>
      <c r="H5" s="21" t="s">
        <v>120</v>
      </c>
      <c r="I5" s="22">
        <v>129</v>
      </c>
    </row>
    <row r="6" spans="1:21">
      <c r="A6" s="5" t="s">
        <v>98</v>
      </c>
      <c r="B6" s="5">
        <f ca="1">May!AP16</f>
        <v>188268</v>
      </c>
      <c r="D6" s="5" t="s">
        <v>98</v>
      </c>
      <c r="E6" s="5">
        <f ca="1">SUM(May!AH3:AH57)</f>
        <v>9428</v>
      </c>
      <c r="H6" s="21" t="s">
        <v>121</v>
      </c>
      <c r="I6" s="22">
        <v>176</v>
      </c>
    </row>
    <row r="7" spans="1:21">
      <c r="A7" s="5" t="s">
        <v>99</v>
      </c>
      <c r="B7" s="5">
        <f ca="1">June!AP16</f>
        <v>184470.33333333331</v>
      </c>
      <c r="D7" s="5" t="s">
        <v>99</v>
      </c>
      <c r="E7" s="5">
        <f ca="1">SUM(June!AH3:AH57)</f>
        <v>9096</v>
      </c>
      <c r="H7" s="21" t="s">
        <v>122</v>
      </c>
      <c r="I7" s="22">
        <v>171</v>
      </c>
    </row>
    <row r="8" spans="1:21">
      <c r="A8" s="5" t="s">
        <v>100</v>
      </c>
      <c r="B8" s="5">
        <f ca="1">July!AP16</f>
        <v>195375.33333333331</v>
      </c>
      <c r="D8" s="5" t="s">
        <v>100</v>
      </c>
      <c r="E8" s="5">
        <f ca="1">SUM(July!AH3:AH57)</f>
        <v>9618</v>
      </c>
      <c r="H8" s="21" t="s">
        <v>123</v>
      </c>
      <c r="I8" s="22">
        <v>179</v>
      </c>
    </row>
    <row r="9" spans="1:21">
      <c r="A9" s="5" t="s">
        <v>101</v>
      </c>
      <c r="B9" s="5">
        <f>August!AP16</f>
        <v>192313.33333333331</v>
      </c>
      <c r="D9" s="5" t="s">
        <v>101</v>
      </c>
      <c r="E9" s="5">
        <f>SUM(August!AH3:AH57)</f>
        <v>9419</v>
      </c>
      <c r="H9" s="21" t="s">
        <v>124</v>
      </c>
      <c r="I9" s="22">
        <v>160</v>
      </c>
    </row>
    <row r="10" spans="1:21">
      <c r="A10" s="5" t="s">
        <v>102</v>
      </c>
      <c r="B10" s="5">
        <f ca="1">September!AP16</f>
        <v>177662</v>
      </c>
      <c r="D10" s="5" t="s">
        <v>102</v>
      </c>
      <c r="E10" s="5">
        <f ca="1">SUM(September!AH3:AH57)</f>
        <v>9147</v>
      </c>
      <c r="H10" s="21" t="s">
        <v>125</v>
      </c>
      <c r="I10" s="22">
        <v>168</v>
      </c>
    </row>
    <row r="11" spans="1:21">
      <c r="A11" s="5" t="s">
        <v>103</v>
      </c>
      <c r="B11" s="5">
        <f>October!AP16</f>
        <v>-73780</v>
      </c>
      <c r="D11" s="5" t="s">
        <v>103</v>
      </c>
      <c r="E11" s="5">
        <f>SUM(October!AH3:AH57)</f>
        <v>83</v>
      </c>
      <c r="H11" s="21" t="s">
        <v>126</v>
      </c>
      <c r="I11" s="22">
        <v>160</v>
      </c>
    </row>
    <row r="12" spans="1:21">
      <c r="A12" s="5" t="s">
        <v>104</v>
      </c>
      <c r="B12" s="5">
        <f>November!AP16</f>
        <v>-8680</v>
      </c>
      <c r="D12" s="5" t="s">
        <v>104</v>
      </c>
      <c r="E12" s="5">
        <f>SUM(November!AH3:AH57)</f>
        <v>83</v>
      </c>
      <c r="H12" s="21" t="s">
        <v>127</v>
      </c>
      <c r="I12" s="22">
        <v>186</v>
      </c>
    </row>
    <row r="13" spans="1:21">
      <c r="A13" s="5" t="s">
        <v>105</v>
      </c>
      <c r="B13" s="5">
        <f>December!AP16</f>
        <v>-8680</v>
      </c>
      <c r="D13" s="5" t="s">
        <v>105</v>
      </c>
      <c r="E13" s="5">
        <f>SUM(December!AH3:AH57)</f>
        <v>83</v>
      </c>
    </row>
    <row r="16" spans="1:21">
      <c r="A16" s="1"/>
      <c r="B16" s="1"/>
      <c r="C16" s="1"/>
      <c r="D16" s="1"/>
      <c r="E16" s="1"/>
      <c r="F16" s="1"/>
    </row>
    <row r="17" spans="2:6">
      <c r="B17" s="1"/>
      <c r="C17" s="1"/>
      <c r="D17" s="1"/>
      <c r="E17" s="1"/>
      <c r="F17" s="1"/>
    </row>
    <row r="60" spans="18:18">
      <c r="R60" s="3"/>
    </row>
    <row r="61" spans="18:18">
      <c r="R61" s="3"/>
    </row>
    <row r="62" spans="18:18">
      <c r="R62" s="3"/>
    </row>
    <row r="63" spans="18:18">
      <c r="R63" s="3"/>
    </row>
    <row r="64" spans="18:18">
      <c r="R64" s="3"/>
    </row>
    <row r="65" spans="18:18">
      <c r="R65" s="3"/>
    </row>
    <row r="66" spans="18:18">
      <c r="R66" s="3"/>
    </row>
    <row r="67" spans="18:18">
      <c r="R67" s="3"/>
    </row>
    <row r="68" spans="18:18">
      <c r="R68" s="3"/>
    </row>
    <row r="69" spans="18:18">
      <c r="R69" s="3"/>
    </row>
    <row r="70" spans="18:18">
      <c r="R70" s="3"/>
    </row>
    <row r="71" spans="18:18">
      <c r="R71" s="3"/>
    </row>
    <row r="72" spans="18:18">
      <c r="R72" s="3"/>
    </row>
  </sheetData>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containsText" priority="1" operator="containsText" id="{A7002E5E-D679-41AF-862F-02A30F5E96D2}">
            <xm:f>NOT(ISERROR(SEARCH(MAX($C$2:$H$2),C2)))</xm:f>
            <xm:f>MAX($C$2:$H$2)</xm:f>
            <x14:dxf>
              <font>
                <color rgb="FF006100"/>
              </font>
              <fill>
                <patternFill>
                  <bgColor rgb="FFC6EFCE"/>
                </patternFill>
              </fill>
            </x14:dxf>
          </x14:cfRule>
          <xm:sqref>J19:U56 N60:N72 C18:F59 K2:U3 K11:U18 R4:U10</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6"/>
  <dimension ref="A1:A29"/>
  <sheetViews>
    <sheetView showGridLines="0" workbookViewId="0">
      <pane xSplit="1" topLeftCell="B1" activePane="topRight" state="frozen"/>
      <selection pane="topRight" sqref="A1:A29"/>
    </sheetView>
  </sheetViews>
  <sheetFormatPr defaultRowHeight="15"/>
  <cols>
    <col min="1" max="1" width="14.28515625" customWidth="1"/>
  </cols>
  <sheetData>
    <row r="1" spans="1:1">
      <c r="A1" s="27"/>
    </row>
    <row r="2" spans="1:1">
      <c r="A2" s="27"/>
    </row>
    <row r="3" spans="1:1">
      <c r="A3" s="27"/>
    </row>
    <row r="4" spans="1:1">
      <c r="A4" s="27"/>
    </row>
    <row r="5" spans="1:1">
      <c r="A5" s="27"/>
    </row>
    <row r="6" spans="1:1">
      <c r="A6" s="27"/>
    </row>
    <row r="7" spans="1:1">
      <c r="A7" s="27"/>
    </row>
    <row r="8" spans="1:1">
      <c r="A8" s="27"/>
    </row>
    <row r="9" spans="1:1">
      <c r="A9" s="27"/>
    </row>
    <row r="10" spans="1:1">
      <c r="A10" s="27"/>
    </row>
    <row r="11" spans="1:1">
      <c r="A11" s="27"/>
    </row>
    <row r="12" spans="1:1">
      <c r="A12" s="27"/>
    </row>
    <row r="13" spans="1:1">
      <c r="A13" s="27"/>
    </row>
    <row r="14" spans="1:1">
      <c r="A14" s="27"/>
    </row>
    <row r="15" spans="1:1">
      <c r="A15" s="27"/>
    </row>
    <row r="16" spans="1:1">
      <c r="A16" s="27"/>
    </row>
    <row r="17" spans="1:1">
      <c r="A17" s="27"/>
    </row>
    <row r="18" spans="1:1">
      <c r="A18" s="27"/>
    </row>
    <row r="19" spans="1:1">
      <c r="A19" s="27"/>
    </row>
    <row r="20" spans="1:1">
      <c r="A20" s="27"/>
    </row>
    <row r="21" spans="1:1">
      <c r="A21" s="27"/>
    </row>
    <row r="22" spans="1:1">
      <c r="A22" s="27"/>
    </row>
    <row r="23" spans="1:1">
      <c r="A23" s="27"/>
    </row>
    <row r="24" spans="1:1">
      <c r="A24" s="27"/>
    </row>
    <row r="25" spans="1:1">
      <c r="A25" s="27"/>
    </row>
    <row r="26" spans="1:1">
      <c r="A26" s="27"/>
    </row>
    <row r="27" spans="1:1">
      <c r="A27" s="27"/>
    </row>
    <row r="28" spans="1:1">
      <c r="A28" s="27"/>
    </row>
    <row r="29" spans="1:1">
      <c r="A29" s="27"/>
    </row>
  </sheetData>
  <mergeCells count="1">
    <mergeCell ref="A1:A2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disha</dc:creator>
  <cp:keywords/>
  <dc:description/>
  <cp:lastModifiedBy>Guest User</cp:lastModifiedBy>
  <cp:revision/>
  <dcterms:created xsi:type="dcterms:W3CDTF">2024-10-25T06:23:40Z</dcterms:created>
  <dcterms:modified xsi:type="dcterms:W3CDTF">2025-05-29T06:42:26Z</dcterms:modified>
  <cp:category/>
  <cp:contentStatus/>
</cp:coreProperties>
</file>